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ursor\Logistic SAP\docs\"/>
    </mc:Choice>
  </mc:AlternateContent>
  <xr:revisionPtr revIDLastSave="0" documentId="13_ncr:1_{3D52EBE7-4E8E-4A2B-94E7-80253ACEEAD7}" xr6:coauthVersionLast="47" xr6:coauthVersionMax="47" xr10:uidLastSave="{00000000-0000-0000-0000-000000000000}"/>
  <bookViews>
    <workbookView xWindow="-110" yWindow="-110" windowWidth="19420" windowHeight="11500" tabRatio="897" firstSheet="1" activeTab="1" xr2:uid="{00000000-000D-0000-FFFF-FFFF00000000}"/>
  </bookViews>
  <sheets>
    <sheet name="OSCLAIM-ALLREGION (PIVOT)" sheetId="15" state="hidden" r:id="rId1"/>
    <sheet name="OSCLAIM-ALLREGION" sheetId="1" r:id="rId2"/>
    <sheet name="REAL_1sd5Mar" sheetId="26" state="hidden" r:id="rId3"/>
    <sheet name="REAL_BTG" sheetId="18" state="hidden" r:id="rId4"/>
    <sheet name="REAL_TJP" sheetId="19" state="hidden" r:id="rId5"/>
    <sheet name="REAL_LGU" sheetId="21" state="hidden" r:id="rId6"/>
    <sheet name="REAL_TJM" sheetId="25" state="hidden" r:id="rId7"/>
    <sheet name="REAL_KRW" sheetId="20" state="hidden" r:id="rId8"/>
    <sheet name="REAL_TJB" sheetId="24" state="hidden" r:id="rId9"/>
    <sheet name="OSCLAIM-BTG" sheetId="3" state="hidden" r:id="rId10"/>
    <sheet name="OSCLAIM-TJP" sheetId="4" state="hidden" r:id="rId11"/>
    <sheet name="OSCLAIM-LGU" sheetId="7" state="hidden" r:id="rId12"/>
    <sheet name="OSCLAIM-TJM" sheetId="13" state="hidden" r:id="rId13"/>
    <sheet name="OSCLAIM-SAL" sheetId="10" state="hidden" r:id="rId14"/>
    <sheet name="OSCLAIM-KRW" sheetId="6" state="hidden" r:id="rId15"/>
    <sheet name="OSCLAIM-BKS" sheetId="2" state="hidden" r:id="rId16"/>
    <sheet name="OSCLAIM-MKE" sheetId="8" state="hidden" r:id="rId17"/>
    <sheet name="OSCLAIM-RIU" sheetId="9" state="hidden" r:id="rId18"/>
    <sheet name="OSCLAIM-KMI" sheetId="5" state="hidden" r:id="rId19"/>
    <sheet name="OSCLAIM-TJB" sheetId="12" state="hidden" r:id="rId20"/>
  </sheets>
  <definedNames>
    <definedName name="_xlnm._FilterDatabase" localSheetId="1" hidden="1">'OSCLAIM-ALLREGION'!$A$8:$AA$572</definedName>
    <definedName name="_xlnm._FilterDatabase" localSheetId="0" hidden="1">'OSCLAIM-ALLREGION (PIVOT)'!$A$8:$AJ$357</definedName>
    <definedName name="_xlnm._FilterDatabase" localSheetId="9" hidden="1">'OSCLAIM-BTG'!$A$8:$V$175</definedName>
    <definedName name="_xlnm._FilterDatabase" localSheetId="18" hidden="1">'OSCLAIM-KMI'!$A$8:$V$8</definedName>
    <definedName name="_xlnm._FilterDatabase" localSheetId="10" hidden="1">'OSCLAIM-TJP'!$A$8:$V$8</definedName>
    <definedName name="_xlnm._FilterDatabase" localSheetId="2" hidden="1">REAL_1sd5Mar!$A$9:$AI$86</definedName>
    <definedName name="_xlnm._FilterDatabase" localSheetId="3" hidden="1">REAL_BTG!$A$8:$AI$115</definedName>
    <definedName name="_xlnm._FilterDatabase" localSheetId="7" hidden="1">REAL_KRW!$A$8:$AI$13</definedName>
    <definedName name="_xlnm._FilterDatabase" localSheetId="5" hidden="1">REAL_LGU!$A$8:$AI$80</definedName>
    <definedName name="_xlnm._FilterDatabase" localSheetId="8" hidden="1">REAL_TJB!$A$8:$AI$13</definedName>
    <definedName name="_xlnm._FilterDatabase" localSheetId="6" hidden="1">REAL_TJM!$A$8:$AI$20</definedName>
    <definedName name="_xlnm._FilterDatabase" localSheetId="4" hidden="1">REAL_TJP!$A$8:$AI$141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57" i="15" l="1"/>
  <c r="AJ357" i="15" s="1"/>
  <c r="O356" i="15"/>
  <c r="AG356" i="15" s="1"/>
  <c r="O355" i="15"/>
  <c r="AJ355" i="15" s="1"/>
  <c r="O354" i="15"/>
  <c r="AJ354" i="15" s="1"/>
  <c r="O353" i="15"/>
  <c r="O352" i="15"/>
  <c r="AJ352" i="15" s="1"/>
  <c r="O351" i="15"/>
  <c r="AH351" i="15" s="1"/>
  <c r="O350" i="15"/>
  <c r="AJ350" i="15" s="1"/>
  <c r="O349" i="15"/>
  <c r="AJ349" i="15" s="1"/>
  <c r="O348" i="15"/>
  <c r="AJ348" i="15" s="1"/>
  <c r="O347" i="15"/>
  <c r="AJ347" i="15" s="1"/>
  <c r="O346" i="15"/>
  <c r="AH346" i="15" s="1"/>
  <c r="O345" i="15"/>
  <c r="AJ345" i="15" s="1"/>
  <c r="O344" i="15"/>
  <c r="O343" i="15"/>
  <c r="AH343" i="15" s="1"/>
  <c r="O342" i="15"/>
  <c r="AJ342" i="15" s="1"/>
  <c r="O341" i="15"/>
  <c r="AJ341" i="15" s="1"/>
  <c r="O340" i="15"/>
  <c r="AJ340" i="15" s="1"/>
  <c r="O339" i="15"/>
  <c r="AJ339" i="15" s="1"/>
  <c r="O338" i="15"/>
  <c r="AG338" i="15" s="1"/>
  <c r="O337" i="15"/>
  <c r="O336" i="15"/>
  <c r="AI336" i="15" s="1"/>
  <c r="O335" i="15"/>
  <c r="AJ335" i="15" s="1"/>
  <c r="O334" i="15"/>
  <c r="AJ334" i="15" s="1"/>
  <c r="O333" i="15"/>
  <c r="AJ333" i="15" s="1"/>
  <c r="O332" i="15"/>
  <c r="AJ332" i="15" s="1"/>
  <c r="O331" i="15"/>
  <c r="AJ331" i="15" s="1"/>
  <c r="O330" i="15"/>
  <c r="AJ330" i="15" s="1"/>
  <c r="O329" i="15"/>
  <c r="O328" i="15"/>
  <c r="AJ328" i="15" s="1"/>
  <c r="O327" i="15"/>
  <c r="AJ327" i="15" s="1"/>
  <c r="O326" i="15"/>
  <c r="AJ326" i="15" s="1"/>
  <c r="O325" i="15"/>
  <c r="O324" i="15"/>
  <c r="AI324" i="15" s="1"/>
  <c r="O323" i="15"/>
  <c r="AJ323" i="15" s="1"/>
  <c r="O322" i="15"/>
  <c r="AJ322" i="15" s="1"/>
  <c r="O321" i="15"/>
  <c r="AJ321" i="15" s="1"/>
  <c r="O320" i="15"/>
  <c r="AG320" i="15" s="1"/>
  <c r="O319" i="15"/>
  <c r="AI319" i="15" s="1"/>
  <c r="O318" i="15"/>
  <c r="AH318" i="15" s="1"/>
  <c r="O317" i="15"/>
  <c r="AG317" i="15" s="1"/>
  <c r="O316" i="15"/>
  <c r="AI316" i="15" s="1"/>
  <c r="O315" i="15"/>
  <c r="O314" i="15"/>
  <c r="AJ314" i="15" s="1"/>
  <c r="O313" i="15"/>
  <c r="AJ313" i="15" s="1"/>
  <c r="O312" i="15"/>
  <c r="AJ312" i="15" s="1"/>
  <c r="O311" i="15"/>
  <c r="O310" i="15"/>
  <c r="AI310" i="15" s="1"/>
  <c r="O309" i="15"/>
  <c r="AI309" i="15" s="1"/>
  <c r="O308" i="15"/>
  <c r="AG308" i="15" s="1"/>
  <c r="O307" i="15"/>
  <c r="O306" i="15"/>
  <c r="AJ306" i="15" s="1"/>
  <c r="O305" i="15"/>
  <c r="AJ305" i="15" s="1"/>
  <c r="O304" i="15"/>
  <c r="AH304" i="15" s="1"/>
  <c r="O303" i="15"/>
  <c r="O302" i="15"/>
  <c r="AJ302" i="15" s="1"/>
  <c r="O301" i="15"/>
  <c r="AI301" i="15" s="1"/>
  <c r="O300" i="15"/>
  <c r="AJ300" i="15" s="1"/>
  <c r="O299" i="15"/>
  <c r="O298" i="15"/>
  <c r="AJ298" i="15" s="1"/>
  <c r="O297" i="15"/>
  <c r="AJ297" i="15" s="1"/>
  <c r="O296" i="15"/>
  <c r="AJ296" i="15" s="1"/>
  <c r="O295" i="15"/>
  <c r="AI295" i="15" s="1"/>
  <c r="O294" i="15"/>
  <c r="O293" i="15"/>
  <c r="AJ293" i="15" s="1"/>
  <c r="O292" i="15"/>
  <c r="AJ292" i="15" s="1"/>
  <c r="O291" i="15"/>
  <c r="AJ291" i="15" s="1"/>
  <c r="O290" i="15"/>
  <c r="AI290" i="15" s="1"/>
  <c r="O289" i="15"/>
  <c r="O288" i="15"/>
  <c r="AJ288" i="15" s="1"/>
  <c r="O287" i="15"/>
  <c r="AG287" i="15" s="1"/>
  <c r="O286" i="15"/>
  <c r="AH286" i="15" s="1"/>
  <c r="O285" i="15"/>
  <c r="AH285" i="15" s="1"/>
  <c r="O284" i="15"/>
  <c r="AI284" i="15" s="1"/>
  <c r="O283" i="15"/>
  <c r="O282" i="15"/>
  <c r="AI282" i="15" s="1"/>
  <c r="O281" i="15"/>
  <c r="AH281" i="15" s="1"/>
  <c r="O280" i="15"/>
  <c r="AJ280" i="15" s="1"/>
  <c r="O279" i="15"/>
  <c r="AJ279" i="15" s="1"/>
  <c r="O278" i="15"/>
  <c r="AG278" i="15" s="1"/>
  <c r="O277" i="15"/>
  <c r="AH277" i="15" s="1"/>
  <c r="O276" i="15"/>
  <c r="AJ276" i="15" s="1"/>
  <c r="O275" i="15"/>
  <c r="AJ275" i="15" s="1"/>
  <c r="O274" i="15"/>
  <c r="O273" i="15"/>
  <c r="AJ273" i="15" s="1"/>
  <c r="O272" i="15"/>
  <c r="AJ272" i="15" s="1"/>
  <c r="O271" i="15"/>
  <c r="AJ271" i="15" s="1"/>
  <c r="O270" i="15"/>
  <c r="AJ270" i="15" s="1"/>
  <c r="O269" i="15"/>
  <c r="AJ269" i="15" s="1"/>
  <c r="O268" i="15"/>
  <c r="AJ268" i="15" s="1"/>
  <c r="O267" i="15"/>
  <c r="AJ267" i="15" s="1"/>
  <c r="O266" i="15"/>
  <c r="AJ266" i="15" s="1"/>
  <c r="O265" i="15"/>
  <c r="AG265" i="15" s="1"/>
  <c r="O264" i="15"/>
  <c r="AJ264" i="15" s="1"/>
  <c r="O263" i="15"/>
  <c r="AJ263" i="15" s="1"/>
  <c r="O262" i="15"/>
  <c r="AJ262" i="15" s="1"/>
  <c r="O261" i="15"/>
  <c r="AI261" i="15" s="1"/>
  <c r="O260" i="15"/>
  <c r="AJ260" i="15" s="1"/>
  <c r="O259" i="15"/>
  <c r="O258" i="15"/>
  <c r="AJ258" i="15" s="1"/>
  <c r="O257" i="15"/>
  <c r="AJ257" i="15" s="1"/>
  <c r="O256" i="15"/>
  <c r="AI256" i="15" s="1"/>
  <c r="O255" i="15"/>
  <c r="AJ255" i="15" s="1"/>
  <c r="O254" i="15"/>
  <c r="AJ254" i="15" s="1"/>
  <c r="O253" i="15"/>
  <c r="O252" i="15"/>
  <c r="AH252" i="15" s="1"/>
  <c r="O251" i="15"/>
  <c r="AJ251" i="15" s="1"/>
  <c r="O250" i="15"/>
  <c r="O249" i="15"/>
  <c r="AI249" i="15" s="1"/>
  <c r="O248" i="15"/>
  <c r="AH248" i="15" s="1"/>
  <c r="O247" i="15"/>
  <c r="AI247" i="15" s="1"/>
  <c r="O246" i="15"/>
  <c r="AJ246" i="15" s="1"/>
  <c r="O245" i="15"/>
  <c r="O244" i="15"/>
  <c r="AH244" i="15" s="1"/>
  <c r="O243" i="15"/>
  <c r="O242" i="15"/>
  <c r="AI242" i="15" s="1"/>
  <c r="O241" i="15"/>
  <c r="AJ241" i="15" s="1"/>
  <c r="O240" i="15"/>
  <c r="AJ240" i="15" s="1"/>
  <c r="O239" i="15"/>
  <c r="O238" i="15"/>
  <c r="O237" i="15"/>
  <c r="O236" i="15"/>
  <c r="O235" i="15"/>
  <c r="AH235" i="15" s="1"/>
  <c r="O234" i="15"/>
  <c r="AJ234" i="15" s="1"/>
  <c r="O233" i="15"/>
  <c r="AJ233" i="15" s="1"/>
  <c r="O232" i="15"/>
  <c r="AI232" i="15" s="1"/>
  <c r="O231" i="15"/>
  <c r="O230" i="15"/>
  <c r="AJ230" i="15" s="1"/>
  <c r="O229" i="15"/>
  <c r="AH229" i="15" s="1"/>
  <c r="O228" i="15"/>
  <c r="AG228" i="15" s="1"/>
  <c r="O227" i="15"/>
  <c r="AJ227" i="15" s="1"/>
  <c r="O226" i="15"/>
  <c r="AJ226" i="15" s="1"/>
  <c r="O225" i="15"/>
  <c r="AJ225" i="15" s="1"/>
  <c r="O224" i="15"/>
  <c r="AJ224" i="15" s="1"/>
  <c r="O223" i="15"/>
  <c r="AJ223" i="15" s="1"/>
  <c r="O222" i="15"/>
  <c r="AJ222" i="15" s="1"/>
  <c r="O221" i="15"/>
  <c r="AJ221" i="15" s="1"/>
  <c r="O220" i="15"/>
  <c r="AJ220" i="15" s="1"/>
  <c r="O219" i="15"/>
  <c r="AJ219" i="15" s="1"/>
  <c r="O218" i="15"/>
  <c r="AJ218" i="15" s="1"/>
  <c r="O217" i="15"/>
  <c r="AI217" i="15" s="1"/>
  <c r="O216" i="15"/>
  <c r="AJ216" i="15" s="1"/>
  <c r="O215" i="15"/>
  <c r="O214" i="15"/>
  <c r="AJ214" i="15" s="1"/>
  <c r="O213" i="15"/>
  <c r="AJ213" i="15" s="1"/>
  <c r="O212" i="15"/>
  <c r="AJ212" i="15" s="1"/>
  <c r="O211" i="15"/>
  <c r="AJ211" i="15" s="1"/>
  <c r="O210" i="15"/>
  <c r="AJ210" i="15" s="1"/>
  <c r="O209" i="15"/>
  <c r="AI209" i="15" s="1"/>
  <c r="O208" i="15"/>
  <c r="AJ208" i="15" s="1"/>
  <c r="O207" i="15"/>
  <c r="O206" i="15"/>
  <c r="AJ206" i="15" s="1"/>
  <c r="O205" i="15"/>
  <c r="AJ205" i="15" s="1"/>
  <c r="O204" i="15"/>
  <c r="AJ204" i="15" s="1"/>
  <c r="O203" i="15"/>
  <c r="AJ203" i="15" s="1"/>
  <c r="O202" i="15"/>
  <c r="AJ202" i="15" s="1"/>
  <c r="O201" i="15"/>
  <c r="AJ201" i="15" s="1"/>
  <c r="O200" i="15"/>
  <c r="AH200" i="15" s="1"/>
  <c r="O199" i="15"/>
  <c r="O198" i="15"/>
  <c r="AG198" i="15" s="1"/>
  <c r="O197" i="15"/>
  <c r="O196" i="15"/>
  <c r="AJ196" i="15" s="1"/>
  <c r="O195" i="15"/>
  <c r="AH195" i="15" s="1"/>
  <c r="O194" i="15"/>
  <c r="AJ194" i="15" s="1"/>
  <c r="O193" i="15"/>
  <c r="AJ193" i="15" s="1"/>
  <c r="O192" i="15"/>
  <c r="AI192" i="15" s="1"/>
  <c r="O191" i="15"/>
  <c r="AJ191" i="15" s="1"/>
  <c r="O190" i="15"/>
  <c r="O189" i="15"/>
  <c r="AG189" i="15" s="1"/>
  <c r="O188" i="15"/>
  <c r="AG188" i="15" s="1"/>
  <c r="O187" i="15"/>
  <c r="AG187" i="15" s="1"/>
  <c r="O186" i="15"/>
  <c r="AJ186" i="15" s="1"/>
  <c r="O185" i="15"/>
  <c r="AJ185" i="15" s="1"/>
  <c r="O184" i="15"/>
  <c r="AI184" i="15" s="1"/>
  <c r="O183" i="15"/>
  <c r="AJ183" i="15" s="1"/>
  <c r="O182" i="15"/>
  <c r="AG182" i="15" s="1"/>
  <c r="O181" i="15"/>
  <c r="AJ181" i="15" s="1"/>
  <c r="O180" i="15"/>
  <c r="AJ180" i="15" s="1"/>
  <c r="O179" i="15"/>
  <c r="AJ179" i="15" s="1"/>
  <c r="O178" i="15"/>
  <c r="AJ178" i="15" s="1"/>
  <c r="O177" i="15"/>
  <c r="AJ177" i="15" s="1"/>
  <c r="O176" i="15"/>
  <c r="O175" i="15"/>
  <c r="AH175" i="15" s="1"/>
  <c r="O174" i="15"/>
  <c r="AJ174" i="15" s="1"/>
  <c r="O173" i="15"/>
  <c r="AJ173" i="15" s="1"/>
  <c r="O172" i="15"/>
  <c r="AG172" i="15" s="1"/>
  <c r="O171" i="15"/>
  <c r="AJ171" i="15" s="1"/>
  <c r="O170" i="15"/>
  <c r="O169" i="15"/>
  <c r="AG169" i="15" s="1"/>
  <c r="O168" i="15"/>
  <c r="AG168" i="15" s="1"/>
  <c r="O167" i="15"/>
  <c r="AH167" i="15" s="1"/>
  <c r="O166" i="15"/>
  <c r="AJ166" i="15" s="1"/>
  <c r="O165" i="15"/>
  <c r="AJ165" i="15" s="1"/>
  <c r="O164" i="15"/>
  <c r="O163" i="15"/>
  <c r="AJ163" i="15" s="1"/>
  <c r="O162" i="15"/>
  <c r="O161" i="15"/>
  <c r="AG161" i="15" s="1"/>
  <c r="O160" i="15"/>
  <c r="AI160" i="15" s="1"/>
  <c r="O159" i="15"/>
  <c r="AH159" i="15" s="1"/>
  <c r="O158" i="15"/>
  <c r="AJ158" i="15" s="1"/>
  <c r="O157" i="15"/>
  <c r="O156" i="15"/>
  <c r="AJ156" i="15" s="1"/>
  <c r="O155" i="15"/>
  <c r="AJ155" i="15" s="1"/>
  <c r="O154" i="15"/>
  <c r="AG154" i="15" s="1"/>
  <c r="O153" i="15"/>
  <c r="AG153" i="15" s="1"/>
  <c r="O152" i="15"/>
  <c r="AG152" i="15" s="1"/>
  <c r="O151" i="15"/>
  <c r="AJ151" i="15" s="1"/>
  <c r="O150" i="15"/>
  <c r="AJ150" i="15" s="1"/>
  <c r="O149" i="15"/>
  <c r="O148" i="15"/>
  <c r="AJ148" i="15" s="1"/>
  <c r="O147" i="15"/>
  <c r="AJ147" i="15" s="1"/>
  <c r="O146" i="15"/>
  <c r="AH146" i="15" s="1"/>
  <c r="O145" i="15"/>
  <c r="AJ145" i="15" s="1"/>
  <c r="O144" i="15"/>
  <c r="AH144" i="15" s="1"/>
  <c r="O143" i="15"/>
  <c r="AJ143" i="15" s="1"/>
  <c r="O142" i="15"/>
  <c r="AJ142" i="15" s="1"/>
  <c r="O141" i="15"/>
  <c r="O140" i="15"/>
  <c r="AJ140" i="15" s="1"/>
  <c r="O139" i="15"/>
  <c r="AJ139" i="15" s="1"/>
  <c r="O138" i="15"/>
  <c r="AH138" i="15" s="1"/>
  <c r="O137" i="15"/>
  <c r="AG137" i="15" s="1"/>
  <c r="O136" i="15"/>
  <c r="AH136" i="15" s="1"/>
  <c r="O135" i="15"/>
  <c r="AJ135" i="15" s="1"/>
  <c r="O134" i="15"/>
  <c r="AJ134" i="15" s="1"/>
  <c r="O133" i="15"/>
  <c r="O132" i="15"/>
  <c r="AJ132" i="15" s="1"/>
  <c r="O131" i="15"/>
  <c r="AJ131" i="15" s="1"/>
  <c r="O130" i="15"/>
  <c r="AI130" i="15" s="1"/>
  <c r="O129" i="15"/>
  <c r="AG129" i="15" s="1"/>
  <c r="O128" i="15"/>
  <c r="AH128" i="15" s="1"/>
  <c r="O127" i="15"/>
  <c r="AJ127" i="15" s="1"/>
  <c r="O126" i="15"/>
  <c r="AJ126" i="15" s="1"/>
  <c r="O125" i="15"/>
  <c r="O124" i="15"/>
  <c r="AJ124" i="15" s="1"/>
  <c r="O123" i="15"/>
  <c r="AJ123" i="15" s="1"/>
  <c r="O122" i="15"/>
  <c r="AJ122" i="15" s="1"/>
  <c r="O121" i="15"/>
  <c r="AG121" i="15" s="1"/>
  <c r="O120" i="15"/>
  <c r="AJ120" i="15" s="1"/>
  <c r="O119" i="15"/>
  <c r="AJ119" i="15" s="1"/>
  <c r="O118" i="15"/>
  <c r="AJ118" i="15" s="1"/>
  <c r="O117" i="15"/>
  <c r="AJ117" i="15" s="1"/>
  <c r="O116" i="15"/>
  <c r="AJ116" i="15" s="1"/>
  <c r="O115" i="15"/>
  <c r="AJ115" i="15" s="1"/>
  <c r="O114" i="15"/>
  <c r="AJ114" i="15" s="1"/>
  <c r="O113" i="15"/>
  <c r="AG113" i="15" s="1"/>
  <c r="O112" i="15"/>
  <c r="AJ112" i="15" s="1"/>
  <c r="O111" i="15"/>
  <c r="AI111" i="15" s="1"/>
  <c r="O110" i="15"/>
  <c r="AJ110" i="15" s="1"/>
  <c r="O109" i="15"/>
  <c r="AJ109" i="15" s="1"/>
  <c r="O108" i="15"/>
  <c r="AJ108" i="15" s="1"/>
  <c r="O107" i="15"/>
  <c r="AJ107" i="15" s="1"/>
  <c r="O106" i="15"/>
  <c r="AJ106" i="15" s="1"/>
  <c r="O105" i="15"/>
  <c r="AJ105" i="15" s="1"/>
  <c r="O104" i="15"/>
  <c r="AJ104" i="15" s="1"/>
  <c r="O103" i="15"/>
  <c r="AJ103" i="15" s="1"/>
  <c r="O102" i="15"/>
  <c r="AJ102" i="15" s="1"/>
  <c r="O101" i="15"/>
  <c r="AJ101" i="15" s="1"/>
  <c r="O100" i="15"/>
  <c r="AJ100" i="15" s="1"/>
  <c r="O99" i="15"/>
  <c r="AI99" i="15" s="1"/>
  <c r="O98" i="15"/>
  <c r="AJ98" i="15" s="1"/>
  <c r="O97" i="15"/>
  <c r="AJ97" i="15" s="1"/>
  <c r="O96" i="15"/>
  <c r="AJ96" i="15" s="1"/>
  <c r="O95" i="15"/>
  <c r="AJ95" i="15" s="1"/>
  <c r="O94" i="15"/>
  <c r="AJ94" i="15" s="1"/>
  <c r="O93" i="15"/>
  <c r="O92" i="15"/>
  <c r="O91" i="15"/>
  <c r="AI91" i="15" s="1"/>
  <c r="O90" i="15"/>
  <c r="O89" i="15"/>
  <c r="AG89" i="15" s="1"/>
  <c r="O88" i="15"/>
  <c r="AJ88" i="15" s="1"/>
  <c r="O87" i="15"/>
  <c r="AJ87" i="15" s="1"/>
  <c r="O86" i="15"/>
  <c r="O85" i="15"/>
  <c r="O84" i="15"/>
  <c r="O83" i="15"/>
  <c r="AI83" i="15" s="1"/>
  <c r="O82" i="15"/>
  <c r="AJ82" i="15" s="1"/>
  <c r="O81" i="15"/>
  <c r="AG81" i="15" s="1"/>
  <c r="O80" i="15"/>
  <c r="AJ80" i="15" s="1"/>
  <c r="O79" i="15"/>
  <c r="AJ79" i="15" s="1"/>
  <c r="O78" i="15"/>
  <c r="O77" i="15"/>
  <c r="O76" i="15"/>
  <c r="O75" i="15"/>
  <c r="O74" i="15"/>
  <c r="AG74" i="15" s="1"/>
  <c r="O73" i="15"/>
  <c r="AG73" i="15" s="1"/>
  <c r="O72" i="15"/>
  <c r="AJ72" i="15" s="1"/>
  <c r="O71" i="15"/>
  <c r="AJ71" i="15" s="1"/>
  <c r="O70" i="15"/>
  <c r="O69" i="15"/>
  <c r="O68" i="15"/>
  <c r="AH68" i="15" s="1"/>
  <c r="O67" i="15"/>
  <c r="O66" i="15"/>
  <c r="AG66" i="15" s="1"/>
  <c r="O65" i="15"/>
  <c r="AJ65" i="15" s="1"/>
  <c r="O64" i="15"/>
  <c r="AJ64" i="15" s="1"/>
  <c r="O63" i="15"/>
  <c r="AJ63" i="15" s="1"/>
  <c r="O62" i="15"/>
  <c r="O61" i="15"/>
  <c r="O60" i="15"/>
  <c r="AG60" i="15" s="1"/>
  <c r="O59" i="15"/>
  <c r="O58" i="15"/>
  <c r="AI58" i="15" s="1"/>
  <c r="O57" i="15"/>
  <c r="AI57" i="15" s="1"/>
  <c r="O56" i="15"/>
  <c r="AI56" i="15" s="1"/>
  <c r="O55" i="15"/>
  <c r="AJ55" i="15" s="1"/>
  <c r="O54" i="15"/>
  <c r="O53" i="15"/>
  <c r="O52" i="15"/>
  <c r="AJ52" i="15" s="1"/>
  <c r="O51" i="15"/>
  <c r="AJ51" i="15" s="1"/>
  <c r="O50" i="15"/>
  <c r="AH50" i="15" s="1"/>
  <c r="O49" i="15"/>
  <c r="AI49" i="15" s="1"/>
  <c r="O48" i="15"/>
  <c r="O47" i="15"/>
  <c r="O46" i="15"/>
  <c r="O45" i="15"/>
  <c r="AG45" i="15" s="1"/>
  <c r="O44" i="15"/>
  <c r="AJ44" i="15" s="1"/>
  <c r="O43" i="15"/>
  <c r="AJ43" i="15" s="1"/>
  <c r="O42" i="15"/>
  <c r="AJ42" i="15" s="1"/>
  <c r="O41" i="15"/>
  <c r="AI41" i="15" s="1"/>
  <c r="O40" i="15"/>
  <c r="O39" i="15"/>
  <c r="AJ39" i="15" s="1"/>
  <c r="O38" i="15"/>
  <c r="AI38" i="15" s="1"/>
  <c r="O37" i="15"/>
  <c r="O36" i="15"/>
  <c r="AJ36" i="15" s="1"/>
  <c r="O35" i="15"/>
  <c r="AH35" i="15" s="1"/>
  <c r="O34" i="15"/>
  <c r="AJ34" i="15" s="1"/>
  <c r="O33" i="15"/>
  <c r="AI33" i="15" s="1"/>
  <c r="O32" i="15"/>
  <c r="O31" i="15"/>
  <c r="O30" i="15"/>
  <c r="AG30" i="15" s="1"/>
  <c r="O29" i="15"/>
  <c r="O28" i="15"/>
  <c r="AJ28" i="15" s="1"/>
  <c r="O27" i="15"/>
  <c r="AH27" i="15" s="1"/>
  <c r="O26" i="15"/>
  <c r="AG26" i="15" s="1"/>
  <c r="O25" i="15"/>
  <c r="AI25" i="15" s="1"/>
  <c r="O24" i="15"/>
  <c r="O23" i="15"/>
  <c r="O22" i="15"/>
  <c r="O21" i="15"/>
  <c r="AG21" i="15" s="1"/>
  <c r="O20" i="15"/>
  <c r="AJ20" i="15" s="1"/>
  <c r="O19" i="15"/>
  <c r="AJ19" i="15" s="1"/>
  <c r="O18" i="15"/>
  <c r="AJ18" i="15" s="1"/>
  <c r="O17" i="15"/>
  <c r="AI17" i="15" s="1"/>
  <c r="O16" i="15"/>
  <c r="O15" i="15"/>
  <c r="AJ15" i="15" s="1"/>
  <c r="O14" i="15"/>
  <c r="AJ14" i="15" s="1"/>
  <c r="O13" i="15"/>
  <c r="AG13" i="15" s="1"/>
  <c r="O12" i="15"/>
  <c r="AJ12" i="15" s="1"/>
  <c r="O11" i="15"/>
  <c r="AH11" i="15" s="1"/>
  <c r="O10" i="15"/>
  <c r="O9" i="15"/>
  <c r="AJ304" i="15" l="1"/>
  <c r="AJ228" i="15"/>
  <c r="AJ343" i="15"/>
  <c r="AJ128" i="15"/>
  <c r="AJ60" i="15"/>
  <c r="AI159" i="15"/>
  <c r="AJ285" i="15"/>
  <c r="AJ256" i="15"/>
  <c r="AJ169" i="15"/>
  <c r="AJ81" i="15"/>
  <c r="AJ57" i="15"/>
  <c r="AJ281" i="15"/>
  <c r="AJ252" i="15"/>
  <c r="AJ168" i="15"/>
  <c r="AJ56" i="15"/>
  <c r="AH43" i="15"/>
  <c r="AI50" i="15"/>
  <c r="AG256" i="15"/>
  <c r="AG263" i="15"/>
  <c r="AJ356" i="15"/>
  <c r="AJ287" i="15"/>
  <c r="AJ277" i="15"/>
  <c r="AJ249" i="15"/>
  <c r="AJ209" i="15"/>
  <c r="AJ161" i="15"/>
  <c r="AJ73" i="15"/>
  <c r="AJ248" i="15"/>
  <c r="AJ152" i="15"/>
  <c r="AJ49" i="15"/>
  <c r="AH336" i="15"/>
  <c r="AJ351" i="15"/>
  <c r="AJ144" i="15"/>
  <c r="AJ68" i="15"/>
  <c r="AJ41" i="15"/>
  <c r="AJ308" i="15"/>
  <c r="AJ188" i="15"/>
  <c r="AJ136" i="15"/>
  <c r="AJ184" i="15"/>
  <c r="AJ129" i="15"/>
  <c r="AJ89" i="15"/>
  <c r="AI185" i="15"/>
  <c r="AI274" i="15"/>
  <c r="AJ274" i="15"/>
  <c r="AH289" i="15"/>
  <c r="AJ289" i="15"/>
  <c r="AI176" i="15"/>
  <c r="AH176" i="15"/>
  <c r="AI199" i="15"/>
  <c r="AJ199" i="15"/>
  <c r="AG207" i="15"/>
  <c r="AJ207" i="15"/>
  <c r="AH215" i="15"/>
  <c r="AJ215" i="15"/>
  <c r="AI231" i="15"/>
  <c r="AJ231" i="15"/>
  <c r="AG239" i="15"/>
  <c r="AJ239" i="15"/>
  <c r="AJ192" i="15"/>
  <c r="AJ137" i="15"/>
  <c r="AI307" i="15"/>
  <c r="AJ307" i="15"/>
  <c r="AH92" i="15"/>
  <c r="AJ92" i="15"/>
  <c r="AJ250" i="15"/>
  <c r="AG250" i="15"/>
  <c r="AJ282" i="15"/>
  <c r="AJ160" i="15"/>
  <c r="AJ33" i="15"/>
  <c r="AI294" i="15"/>
  <c r="AJ294" i="15"/>
  <c r="AG162" i="15"/>
  <c r="AJ162" i="15"/>
  <c r="AG69" i="15"/>
  <c r="AJ69" i="15"/>
  <c r="AH125" i="15"/>
  <c r="AJ125" i="15"/>
  <c r="AH133" i="15"/>
  <c r="AJ133" i="15"/>
  <c r="AH141" i="15"/>
  <c r="AJ141" i="15"/>
  <c r="AH149" i="15"/>
  <c r="AJ149" i="15"/>
  <c r="AH157" i="15"/>
  <c r="AJ157" i="15"/>
  <c r="AH164" i="15"/>
  <c r="AJ164" i="15"/>
  <c r="AG243" i="15"/>
  <c r="AJ243" i="15"/>
  <c r="AH243" i="15"/>
  <c r="AJ318" i="15"/>
  <c r="AJ265" i="15"/>
  <c r="AJ244" i="15"/>
  <c r="AJ153" i="15"/>
  <c r="AJ121" i="15"/>
  <c r="AJ25" i="15"/>
  <c r="AJ232" i="15"/>
  <c r="AG29" i="15"/>
  <c r="AJ29" i="15"/>
  <c r="AI67" i="15"/>
  <c r="AJ67" i="15"/>
  <c r="AH225" i="15"/>
  <c r="AG225" i="15"/>
  <c r="AG76" i="15"/>
  <c r="AJ76" i="15"/>
  <c r="AG31" i="15"/>
  <c r="AJ31" i="15"/>
  <c r="AG61" i="15"/>
  <c r="AJ61" i="15"/>
  <c r="AG77" i="15"/>
  <c r="AJ77" i="15"/>
  <c r="AH16" i="15"/>
  <c r="AJ16" i="15"/>
  <c r="AH24" i="15"/>
  <c r="AJ24" i="15"/>
  <c r="AH32" i="15"/>
  <c r="AJ32" i="15"/>
  <c r="AH40" i="15"/>
  <c r="AJ40" i="15"/>
  <c r="AI47" i="15"/>
  <c r="AJ47" i="15"/>
  <c r="AG54" i="15"/>
  <c r="AJ54" i="15"/>
  <c r="AI62" i="15"/>
  <c r="AJ62" i="15"/>
  <c r="AI70" i="15"/>
  <c r="AJ70" i="15"/>
  <c r="AI78" i="15"/>
  <c r="AJ78" i="15"/>
  <c r="AI86" i="15"/>
  <c r="AJ86" i="15"/>
  <c r="AI236" i="15"/>
  <c r="AG236" i="15"/>
  <c r="AI259" i="15"/>
  <c r="AJ259" i="15"/>
  <c r="AG303" i="15"/>
  <c r="AJ303" i="15"/>
  <c r="AG311" i="15"/>
  <c r="AJ311" i="15"/>
  <c r="AI329" i="15"/>
  <c r="AJ329" i="15"/>
  <c r="AI344" i="15"/>
  <c r="AJ344" i="15"/>
  <c r="AJ200" i="15"/>
  <c r="AI90" i="15"/>
  <c r="AJ90" i="15"/>
  <c r="AI315" i="15"/>
  <c r="AJ315" i="15"/>
  <c r="AG37" i="15"/>
  <c r="AJ37" i="15"/>
  <c r="AI75" i="15"/>
  <c r="AJ75" i="15"/>
  <c r="AH75" i="15"/>
  <c r="AG84" i="15"/>
  <c r="AJ84" i="15"/>
  <c r="AI46" i="15"/>
  <c r="AJ46" i="15"/>
  <c r="AI93" i="15"/>
  <c r="AJ93" i="15"/>
  <c r="AI197" i="15"/>
  <c r="AJ197" i="15"/>
  <c r="AG237" i="15"/>
  <c r="AJ237" i="15"/>
  <c r="AG253" i="15"/>
  <c r="AJ253" i="15"/>
  <c r="AI283" i="15"/>
  <c r="AJ283" i="15"/>
  <c r="AG325" i="15"/>
  <c r="AJ325" i="15"/>
  <c r="AI337" i="15"/>
  <c r="AJ337" i="15"/>
  <c r="AI353" i="15"/>
  <c r="AJ353" i="15"/>
  <c r="AJ295" i="15"/>
  <c r="AJ217" i="15"/>
  <c r="AJ176" i="15"/>
  <c r="AJ113" i="15"/>
  <c r="AJ17" i="15"/>
  <c r="AI299" i="15"/>
  <c r="AJ299" i="15"/>
  <c r="AI59" i="15"/>
  <c r="AJ59" i="15"/>
  <c r="AI170" i="15"/>
  <c r="AJ170" i="15"/>
  <c r="AG22" i="15"/>
  <c r="AI22" i="15"/>
  <c r="AJ22" i="15"/>
  <c r="AI23" i="15"/>
  <c r="AJ23" i="15"/>
  <c r="AG53" i="15"/>
  <c r="AJ53" i="15"/>
  <c r="AG85" i="15"/>
  <c r="AJ85" i="15"/>
  <c r="AI9" i="15"/>
  <c r="AJ9" i="15"/>
  <c r="AH48" i="15"/>
  <c r="AJ48" i="15"/>
  <c r="AI245" i="15"/>
  <c r="AJ245" i="15"/>
  <c r="AH10" i="15"/>
  <c r="AJ10" i="15"/>
  <c r="AI190" i="15"/>
  <c r="AG190" i="15"/>
  <c r="AJ190" i="15"/>
  <c r="AI238" i="15"/>
  <c r="AJ238" i="15"/>
  <c r="AJ236" i="15"/>
  <c r="AJ172" i="15"/>
  <c r="AJ346" i="15"/>
  <c r="AJ338" i="15"/>
  <c r="AJ320" i="15"/>
  <c r="AJ317" i="15"/>
  <c r="AJ290" i="15"/>
  <c r="AJ247" i="15"/>
  <c r="AJ175" i="15"/>
  <c r="AJ167" i="15"/>
  <c r="AJ159" i="15"/>
  <c r="AJ111" i="15"/>
  <c r="AJ324" i="15"/>
  <c r="AJ319" i="15"/>
  <c r="AJ316" i="15"/>
  <c r="AJ310" i="15"/>
  <c r="AJ198" i="15"/>
  <c r="AJ182" i="15"/>
  <c r="AJ38" i="15"/>
  <c r="AJ30" i="15"/>
  <c r="AJ336" i="15"/>
  <c r="AJ309" i="15"/>
  <c r="AJ301" i="15"/>
  <c r="AJ286" i="15"/>
  <c r="AJ278" i="15"/>
  <c r="AJ261" i="15"/>
  <c r="AJ229" i="15"/>
  <c r="AJ189" i="15"/>
  <c r="AJ45" i="15"/>
  <c r="AJ21" i="15"/>
  <c r="AJ13" i="15"/>
  <c r="AJ284" i="15"/>
  <c r="AJ235" i="15"/>
  <c r="AJ195" i="15"/>
  <c r="AJ187" i="15"/>
  <c r="AJ99" i="15"/>
  <c r="AJ91" i="15"/>
  <c r="AJ83" i="15"/>
  <c r="AJ35" i="15"/>
  <c r="AJ27" i="15"/>
  <c r="AJ11" i="15"/>
  <c r="AJ242" i="15"/>
  <c r="AJ154" i="15"/>
  <c r="AJ146" i="15"/>
  <c r="AJ138" i="15"/>
  <c r="AJ130" i="15"/>
  <c r="AJ74" i="15"/>
  <c r="AJ66" i="15"/>
  <c r="AJ58" i="15"/>
  <c r="AJ50" i="15"/>
  <c r="AJ26" i="15"/>
  <c r="AI146" i="15"/>
  <c r="AG215" i="15"/>
  <c r="AG275" i="15"/>
  <c r="AG281" i="15"/>
  <c r="AG146" i="15"/>
  <c r="AI198" i="15"/>
  <c r="AG277" i="15"/>
  <c r="AH166" i="15"/>
  <c r="AH173" i="15"/>
  <c r="AG284" i="15"/>
  <c r="AI207" i="15"/>
  <c r="AG254" i="15"/>
  <c r="AG348" i="15"/>
  <c r="AH9" i="15"/>
  <c r="AI143" i="15"/>
  <c r="AH155" i="15"/>
  <c r="AG295" i="15"/>
  <c r="AH99" i="15"/>
  <c r="AH269" i="15"/>
  <c r="AH297" i="15"/>
  <c r="AI325" i="15"/>
  <c r="AI340" i="15"/>
  <c r="AG166" i="15"/>
  <c r="AI177" i="15"/>
  <c r="AH184" i="15"/>
  <c r="AG193" i="15"/>
  <c r="AG336" i="15"/>
  <c r="AG10" i="15"/>
  <c r="AI10" i="15"/>
  <c r="AI48" i="15"/>
  <c r="AI61" i="15"/>
  <c r="AH67" i="15"/>
  <c r="AI138" i="15"/>
  <c r="AI173" i="15"/>
  <c r="AH239" i="15"/>
  <c r="AH250" i="15"/>
  <c r="AH254" i="15"/>
  <c r="AH275" i="15"/>
  <c r="AH348" i="15"/>
  <c r="AG48" i="15"/>
  <c r="AI16" i="15"/>
  <c r="AI28" i="15"/>
  <c r="AH116" i="15"/>
  <c r="AG185" i="15"/>
  <c r="AI239" i="15"/>
  <c r="AI250" i="15"/>
  <c r="AI254" i="15"/>
  <c r="AI275" i="15"/>
  <c r="AI343" i="15"/>
  <c r="AI348" i="15"/>
  <c r="AH111" i="15"/>
  <c r="AH185" i="15"/>
  <c r="AI215" i="15"/>
  <c r="AH228" i="15"/>
  <c r="AH274" i="15"/>
  <c r="AG301" i="15"/>
  <c r="AI317" i="15"/>
  <c r="AH301" i="15"/>
  <c r="AH339" i="15"/>
  <c r="AI53" i="15"/>
  <c r="AH130" i="15"/>
  <c r="AI172" i="15"/>
  <c r="AG175" i="15"/>
  <c r="AI183" i="15"/>
  <c r="AI248" i="15"/>
  <c r="AG252" i="15"/>
  <c r="AG258" i="15"/>
  <c r="AG266" i="15"/>
  <c r="AH283" i="15"/>
  <c r="AG307" i="15"/>
  <c r="AH310" i="15"/>
  <c r="AG71" i="15"/>
  <c r="AG106" i="15"/>
  <c r="AH114" i="15"/>
  <c r="AG156" i="15"/>
  <c r="AG165" i="15"/>
  <c r="AH211" i="15"/>
  <c r="AG227" i="15"/>
  <c r="AH237" i="15"/>
  <c r="AI244" i="15"/>
  <c r="AI252" i="15"/>
  <c r="AH258" i="15"/>
  <c r="AI262" i="15"/>
  <c r="AH266" i="15"/>
  <c r="AG299" i="15"/>
  <c r="AH316" i="15"/>
  <c r="AI15" i="15"/>
  <c r="AI18" i="15"/>
  <c r="AH44" i="15"/>
  <c r="AG114" i="15"/>
  <c r="AG42" i="15"/>
  <c r="AI44" i="15"/>
  <c r="AG57" i="15"/>
  <c r="AI71" i="15"/>
  <c r="AH91" i="15"/>
  <c r="AG95" i="15"/>
  <c r="AH169" i="15"/>
  <c r="AG16" i="15"/>
  <c r="AH19" i="15"/>
  <c r="AH42" i="15"/>
  <c r="AG50" i="15"/>
  <c r="AH57" i="15"/>
  <c r="AI95" i="15"/>
  <c r="AH106" i="15"/>
  <c r="AG111" i="15"/>
  <c r="AI114" i="15"/>
  <c r="AG138" i="15"/>
  <c r="AH143" i="15"/>
  <c r="AI169" i="15"/>
  <c r="AG173" i="15"/>
  <c r="AH201" i="15"/>
  <c r="AI211" i="15"/>
  <c r="AI237" i="15"/>
  <c r="AI258" i="15"/>
  <c r="AI266" i="15"/>
  <c r="AH308" i="15"/>
  <c r="AH322" i="15"/>
  <c r="AH326" i="15"/>
  <c r="AG335" i="15"/>
  <c r="AG337" i="15"/>
  <c r="AI308" i="15"/>
  <c r="AI322" i="15"/>
  <c r="AH335" i="15"/>
  <c r="AH337" i="15"/>
  <c r="AG32" i="15"/>
  <c r="AI154" i="15"/>
  <c r="AH300" i="15"/>
  <c r="AG319" i="15"/>
  <c r="AG324" i="15"/>
  <c r="AI335" i="15"/>
  <c r="AH355" i="15"/>
  <c r="AI79" i="15"/>
  <c r="AG90" i="15"/>
  <c r="AG92" i="15"/>
  <c r="AI128" i="15"/>
  <c r="AG148" i="15"/>
  <c r="AI32" i="15"/>
  <c r="AH56" i="15"/>
  <c r="AH58" i="15"/>
  <c r="AH90" i="15"/>
  <c r="AI103" i="15"/>
  <c r="AG159" i="15"/>
  <c r="AI166" i="15"/>
  <c r="AH170" i="15"/>
  <c r="AG177" i="15"/>
  <c r="AH182" i="15"/>
  <c r="AH193" i="15"/>
  <c r="AI225" i="15"/>
  <c r="AG247" i="15"/>
  <c r="AH259" i="15"/>
  <c r="AI277" i="15"/>
  <c r="AH287" i="15"/>
  <c r="AH305" i="15"/>
  <c r="AG309" i="15"/>
  <c r="AH313" i="15"/>
  <c r="AH324" i="15"/>
  <c r="AG332" i="15"/>
  <c r="AH338" i="15"/>
  <c r="AG343" i="15"/>
  <c r="AH347" i="15"/>
  <c r="AG351" i="15"/>
  <c r="AI42" i="15"/>
  <c r="AI106" i="15"/>
  <c r="AG38" i="15"/>
  <c r="AG56" i="15"/>
  <c r="AG58" i="15"/>
  <c r="AG103" i="15"/>
  <c r="AH174" i="15"/>
  <c r="AH177" i="15"/>
  <c r="AI193" i="15"/>
  <c r="AH230" i="15"/>
  <c r="AH247" i="15"/>
  <c r="AI313" i="15"/>
  <c r="AH332" i="15"/>
  <c r="AI351" i="15"/>
  <c r="AG100" i="15"/>
  <c r="AH242" i="15"/>
  <c r="AH21" i="15"/>
  <c r="AH26" i="15"/>
  <c r="AI30" i="15"/>
  <c r="AH36" i="15"/>
  <c r="AH59" i="15"/>
  <c r="AH66" i="15"/>
  <c r="AG72" i="15"/>
  <c r="AH74" i="15"/>
  <c r="AI77" i="15"/>
  <c r="AG80" i="15"/>
  <c r="AG82" i="15"/>
  <c r="AH88" i="15"/>
  <c r="AG96" i="15"/>
  <c r="AH98" i="15"/>
  <c r="AH100" i="15"/>
  <c r="AG104" i="15"/>
  <c r="AG119" i="15"/>
  <c r="AG122" i="15"/>
  <c r="AH124" i="15"/>
  <c r="AG127" i="15"/>
  <c r="AH131" i="15"/>
  <c r="AG135" i="15"/>
  <c r="AH140" i="15"/>
  <c r="AH171" i="15"/>
  <c r="AH191" i="15"/>
  <c r="AG191" i="15"/>
  <c r="AI195" i="15"/>
  <c r="AH222" i="15"/>
  <c r="AI267" i="15"/>
  <c r="AH267" i="15"/>
  <c r="AH13" i="15"/>
  <c r="AG88" i="15"/>
  <c r="AG98" i="15"/>
  <c r="AG34" i="15"/>
  <c r="AI26" i="15"/>
  <c r="AH34" i="15"/>
  <c r="AI36" i="15"/>
  <c r="AG40" i="15"/>
  <c r="AG55" i="15"/>
  <c r="AG64" i="15"/>
  <c r="AI66" i="15"/>
  <c r="AH72" i="15"/>
  <c r="AI74" i="15"/>
  <c r="AH80" i="15"/>
  <c r="AH82" i="15"/>
  <c r="AI88" i="15"/>
  <c r="AH96" i="15"/>
  <c r="AI98" i="15"/>
  <c r="AH104" i="15"/>
  <c r="AG108" i="15"/>
  <c r="AH115" i="15"/>
  <c r="AH119" i="15"/>
  <c r="AG120" i="15"/>
  <c r="AH122" i="15"/>
  <c r="AH123" i="15"/>
  <c r="AH127" i="15"/>
  <c r="AH135" i="15"/>
  <c r="AH139" i="15"/>
  <c r="AG144" i="15"/>
  <c r="AI191" i="15"/>
  <c r="AG196" i="15"/>
  <c r="AI196" i="15"/>
  <c r="AH202" i="15"/>
  <c r="AG214" i="15"/>
  <c r="AG217" i="15"/>
  <c r="AG222" i="15"/>
  <c r="AG268" i="15"/>
  <c r="AI268" i="15"/>
  <c r="AI354" i="15"/>
  <c r="AG242" i="15"/>
  <c r="AH260" i="15"/>
  <c r="AG124" i="15"/>
  <c r="AI352" i="15"/>
  <c r="AH352" i="15"/>
  <c r="AG352" i="15"/>
  <c r="AH20" i="15"/>
  <c r="AG17" i="15"/>
  <c r="AG18" i="15"/>
  <c r="AG24" i="15"/>
  <c r="AG28" i="15"/>
  <c r="AI34" i="15"/>
  <c r="AI40" i="15"/>
  <c r="AG46" i="15"/>
  <c r="AG52" i="15"/>
  <c r="AH55" i="15"/>
  <c r="AH64" i="15"/>
  <c r="AI72" i="15"/>
  <c r="AI80" i="15"/>
  <c r="AI82" i="15"/>
  <c r="AI96" i="15"/>
  <c r="AI104" i="15"/>
  <c r="AH108" i="15"/>
  <c r="AG112" i="15"/>
  <c r="AI119" i="15"/>
  <c r="AH120" i="15"/>
  <c r="AI122" i="15"/>
  <c r="AI127" i="15"/>
  <c r="AG132" i="15"/>
  <c r="AI135" i="15"/>
  <c r="AG136" i="15"/>
  <c r="AI144" i="15"/>
  <c r="AH147" i="15"/>
  <c r="AG151" i="15"/>
  <c r="AH162" i="15"/>
  <c r="AH163" i="15"/>
  <c r="AH179" i="15"/>
  <c r="AH203" i="15"/>
  <c r="AG209" i="15"/>
  <c r="AH214" i="15"/>
  <c r="AH217" i="15"/>
  <c r="AH223" i="15"/>
  <c r="AG223" i="15"/>
  <c r="AI234" i="15"/>
  <c r="AG234" i="15"/>
  <c r="AH268" i="15"/>
  <c r="AG20" i="15"/>
  <c r="AG140" i="15"/>
  <c r="AG164" i="15"/>
  <c r="AI200" i="15"/>
  <c r="AG200" i="15"/>
  <c r="AI13" i="15"/>
  <c r="AI20" i="15"/>
  <c r="AH17" i="15"/>
  <c r="AH18" i="15"/>
  <c r="AI24" i="15"/>
  <c r="AH28" i="15"/>
  <c r="AI55" i="15"/>
  <c r="AI64" i="15"/>
  <c r="AH112" i="15"/>
  <c r="AG116" i="15"/>
  <c r="AI120" i="15"/>
  <c r="AG130" i="15"/>
  <c r="AH132" i="15"/>
  <c r="AI136" i="15"/>
  <c r="AH151" i="15"/>
  <c r="AH152" i="15"/>
  <c r="AI162" i="15"/>
  <c r="AI179" i="15"/>
  <c r="AH207" i="15"/>
  <c r="AH209" i="15"/>
  <c r="AI223" i="15"/>
  <c r="AH234" i="15"/>
  <c r="AI328" i="15"/>
  <c r="AH328" i="15"/>
  <c r="AG328" i="15"/>
  <c r="AH206" i="15"/>
  <c r="AI279" i="15"/>
  <c r="AH279" i="15"/>
  <c r="AG279" i="15"/>
  <c r="AG36" i="15"/>
  <c r="AH107" i="15"/>
  <c r="AH232" i="15"/>
  <c r="AI112" i="15"/>
  <c r="AI151" i="15"/>
  <c r="AH160" i="15"/>
  <c r="AH199" i="15"/>
  <c r="AI208" i="15"/>
  <c r="AH208" i="15"/>
  <c r="AH241" i="15"/>
  <c r="AG241" i="15"/>
  <c r="AG272" i="15"/>
  <c r="AI272" i="15"/>
  <c r="AH272" i="15"/>
  <c r="AI296" i="15"/>
  <c r="AH296" i="15"/>
  <c r="AG296" i="15"/>
  <c r="AG195" i="15"/>
  <c r="AG39" i="15"/>
  <c r="AG63" i="15"/>
  <c r="AG171" i="15"/>
  <c r="AI171" i="15"/>
  <c r="AG204" i="15"/>
  <c r="AI204" i="15"/>
  <c r="AG9" i="15"/>
  <c r="AG44" i="15"/>
  <c r="AG47" i="15"/>
  <c r="AH61" i="15"/>
  <c r="AH71" i="15"/>
  <c r="AH79" i="15"/>
  <c r="AH83" i="15"/>
  <c r="AH95" i="15"/>
  <c r="AH103" i="15"/>
  <c r="AG128" i="15"/>
  <c r="AG143" i="15"/>
  <c r="AH148" i="15"/>
  <c r="AI152" i="15"/>
  <c r="AH154" i="15"/>
  <c r="AG160" i="15"/>
  <c r="AH183" i="15"/>
  <c r="AG183" i="15"/>
  <c r="AH198" i="15"/>
  <c r="AG199" i="15"/>
  <c r="AI201" i="15"/>
  <c r="AG201" i="15"/>
  <c r="AI241" i="15"/>
  <c r="AH255" i="15"/>
  <c r="AI255" i="15"/>
  <c r="AG255" i="15"/>
  <c r="AH273" i="15"/>
  <c r="AG330" i="15"/>
  <c r="AI330" i="15"/>
  <c r="AH330" i="15"/>
  <c r="AI345" i="15"/>
  <c r="AH345" i="15"/>
  <c r="AG345" i="15"/>
  <c r="AI269" i="15"/>
  <c r="AG282" i="15"/>
  <c r="AH288" i="15"/>
  <c r="AH311" i="15"/>
  <c r="AH320" i="15"/>
  <c r="AG340" i="15"/>
  <c r="AG230" i="15"/>
  <c r="AG244" i="15"/>
  <c r="AG248" i="15"/>
  <c r="AH253" i="15"/>
  <c r="AG259" i="15"/>
  <c r="AG262" i="15"/>
  <c r="AH270" i="15"/>
  <c r="AG274" i="15"/>
  <c r="AI278" i="15"/>
  <c r="AH282" i="15"/>
  <c r="AG283" i="15"/>
  <c r="AG297" i="15"/>
  <c r="AG300" i="15"/>
  <c r="AG305" i="15"/>
  <c r="AI311" i="15"/>
  <c r="AG316" i="15"/>
  <c r="AI320" i="15"/>
  <c r="AH340" i="15"/>
  <c r="AI230" i="15"/>
  <c r="AH295" i="15"/>
  <c r="AI297" i="15"/>
  <c r="AI300" i="15"/>
  <c r="AH303" i="15"/>
  <c r="AI305" i="15"/>
  <c r="AH309" i="15"/>
  <c r="AG327" i="15"/>
  <c r="AG329" i="15"/>
  <c r="AH331" i="15"/>
  <c r="AI332" i="15"/>
  <c r="AI338" i="15"/>
  <c r="AG344" i="15"/>
  <c r="AI346" i="15"/>
  <c r="AG353" i="15"/>
  <c r="AH356" i="15"/>
  <c r="AI303" i="15"/>
  <c r="AH327" i="15"/>
  <c r="AH329" i="15"/>
  <c r="AH344" i="15"/>
  <c r="AH353" i="15"/>
  <c r="AI356" i="15"/>
  <c r="AH156" i="15"/>
  <c r="AI175" i="15"/>
  <c r="AI182" i="15"/>
  <c r="AI228" i="15"/>
  <c r="AG269" i="15"/>
  <c r="AI281" i="15"/>
  <c r="AI287" i="15"/>
  <c r="AG313" i="15"/>
  <c r="AH317" i="15"/>
  <c r="AH319" i="15"/>
  <c r="AG322" i="15"/>
  <c r="AH325" i="15"/>
  <c r="AI327" i="15"/>
  <c r="AH62" i="15"/>
  <c r="AG62" i="15"/>
  <c r="AI73" i="15"/>
  <c r="AH73" i="15"/>
  <c r="AI84" i="15"/>
  <c r="AH93" i="15"/>
  <c r="AG93" i="15"/>
  <c r="AI121" i="15"/>
  <c r="AH121" i="15"/>
  <c r="AI134" i="15"/>
  <c r="AH134" i="15"/>
  <c r="AG134" i="15"/>
  <c r="AI137" i="15"/>
  <c r="AH137" i="15"/>
  <c r="AI150" i="15"/>
  <c r="AH150" i="15"/>
  <c r="AG150" i="15"/>
  <c r="AI153" i="15"/>
  <c r="AH153" i="15"/>
  <c r="AH189" i="15"/>
  <c r="AI189" i="15"/>
  <c r="AG285" i="15"/>
  <c r="AI285" i="15"/>
  <c r="AH14" i="15"/>
  <c r="AG12" i="15"/>
  <c r="AI51" i="15"/>
  <c r="AG51" i="15"/>
  <c r="AI105" i="15"/>
  <c r="AH105" i="15"/>
  <c r="AH12" i="15"/>
  <c r="AI14" i="15"/>
  <c r="AH23" i="15"/>
  <c r="AG25" i="15"/>
  <c r="AI27" i="15"/>
  <c r="AG27" i="15"/>
  <c r="AH29" i="15"/>
  <c r="AH31" i="15"/>
  <c r="AG33" i="15"/>
  <c r="AI35" i="15"/>
  <c r="AG35" i="15"/>
  <c r="AH37" i="15"/>
  <c r="AH39" i="15"/>
  <c r="AG41" i="15"/>
  <c r="AI43" i="15"/>
  <c r="AG43" i="15"/>
  <c r="AH45" i="15"/>
  <c r="AH47" i="15"/>
  <c r="AG49" i="15"/>
  <c r="AH51" i="15"/>
  <c r="AH54" i="15"/>
  <c r="AI60" i="15"/>
  <c r="AH69" i="15"/>
  <c r="AH78" i="15"/>
  <c r="AG78" i="15"/>
  <c r="AH84" i="15"/>
  <c r="AG87" i="15"/>
  <c r="AI89" i="15"/>
  <c r="AH89" i="15"/>
  <c r="AG105" i="15"/>
  <c r="AI142" i="15"/>
  <c r="AH142" i="15"/>
  <c r="AG142" i="15"/>
  <c r="AI218" i="15"/>
  <c r="AG218" i="15"/>
  <c r="AH218" i="15"/>
  <c r="AH257" i="15"/>
  <c r="AG257" i="15"/>
  <c r="AI257" i="15"/>
  <c r="AI276" i="15"/>
  <c r="AH276" i="15"/>
  <c r="AG276" i="15"/>
  <c r="AI333" i="15"/>
  <c r="AH333" i="15"/>
  <c r="AG333" i="15"/>
  <c r="AI113" i="15"/>
  <c r="AH113" i="15"/>
  <c r="AI29" i="15"/>
  <c r="AH41" i="15"/>
  <c r="AH94" i="15"/>
  <c r="AG94" i="15"/>
  <c r="AI126" i="15"/>
  <c r="AH126" i="15"/>
  <c r="AG126" i="15"/>
  <c r="AI158" i="15"/>
  <c r="AH158" i="15"/>
  <c r="AG158" i="15"/>
  <c r="AI216" i="15"/>
  <c r="AH216" i="15"/>
  <c r="AI226" i="15"/>
  <c r="AG226" i="15"/>
  <c r="AI12" i="15"/>
  <c r="AI31" i="15"/>
  <c r="AH33" i="15"/>
  <c r="AI37" i="15"/>
  <c r="AI39" i="15"/>
  <c r="AI45" i="15"/>
  <c r="AI65" i="15"/>
  <c r="AH65" i="15"/>
  <c r="AI69" i="15"/>
  <c r="AH87" i="15"/>
  <c r="AG15" i="15"/>
  <c r="AI19" i="15"/>
  <c r="AG19" i="15"/>
  <c r="AI21" i="15"/>
  <c r="AH52" i="15"/>
  <c r="AI54" i="15"/>
  <c r="AH60" i="15"/>
  <c r="AH63" i="15"/>
  <c r="AG65" i="15"/>
  <c r="AH85" i="15"/>
  <c r="AI87" i="15"/>
  <c r="AI94" i="15"/>
  <c r="AH101" i="15"/>
  <c r="AG101" i="15"/>
  <c r="AI101" i="15"/>
  <c r="AH109" i="15"/>
  <c r="AG109" i="15"/>
  <c r="AI109" i="15"/>
  <c r="AH117" i="15"/>
  <c r="AG117" i="15"/>
  <c r="AI117" i="15"/>
  <c r="AI145" i="15"/>
  <c r="AH145" i="15"/>
  <c r="AG180" i="15"/>
  <c r="AI180" i="15"/>
  <c r="AG216" i="15"/>
  <c r="AG220" i="15"/>
  <c r="AI220" i="15"/>
  <c r="AH226" i="15"/>
  <c r="AG23" i="15"/>
  <c r="AH25" i="15"/>
  <c r="AH49" i="15"/>
  <c r="AI76" i="15"/>
  <c r="AI11" i="15"/>
  <c r="AG11" i="15"/>
  <c r="AH15" i="15"/>
  <c r="AH22" i="15"/>
  <c r="AH30" i="15"/>
  <c r="AH38" i="15"/>
  <c r="AH46" i="15"/>
  <c r="AI52" i="15"/>
  <c r="AI63" i="15"/>
  <c r="AH70" i="15"/>
  <c r="AG70" i="15"/>
  <c r="AH76" i="15"/>
  <c r="AG79" i="15"/>
  <c r="AI81" i="15"/>
  <c r="AH81" i="15"/>
  <c r="AI85" i="15"/>
  <c r="AI92" i="15"/>
  <c r="AI129" i="15"/>
  <c r="AH129" i="15"/>
  <c r="AG145" i="15"/>
  <c r="AH180" i="15"/>
  <c r="AI187" i="15"/>
  <c r="AH187" i="15"/>
  <c r="AG212" i="15"/>
  <c r="AI212" i="15"/>
  <c r="AH212" i="15"/>
  <c r="AH220" i="15"/>
  <c r="AI233" i="15"/>
  <c r="AG233" i="15"/>
  <c r="AH233" i="15"/>
  <c r="AI265" i="15"/>
  <c r="AH265" i="15"/>
  <c r="AH102" i="15"/>
  <c r="AG102" i="15"/>
  <c r="AH110" i="15"/>
  <c r="AG110" i="15"/>
  <c r="AH118" i="15"/>
  <c r="AG118" i="15"/>
  <c r="AH205" i="15"/>
  <c r="AI205" i="15"/>
  <c r="AG205" i="15"/>
  <c r="AI224" i="15"/>
  <c r="AH224" i="15"/>
  <c r="AG14" i="15"/>
  <c r="AI68" i="15"/>
  <c r="AI97" i="15"/>
  <c r="AH97" i="15"/>
  <c r="AH53" i="15"/>
  <c r="AG68" i="15"/>
  <c r="AH77" i="15"/>
  <c r="AH86" i="15"/>
  <c r="AG86" i="15"/>
  <c r="AG97" i="15"/>
  <c r="AI102" i="15"/>
  <c r="AI110" i="15"/>
  <c r="AI118" i="15"/>
  <c r="AI161" i="15"/>
  <c r="AH161" i="15"/>
  <c r="AI168" i="15"/>
  <c r="AH168" i="15"/>
  <c r="AG224" i="15"/>
  <c r="AI235" i="15"/>
  <c r="AG235" i="15"/>
  <c r="AI125" i="15"/>
  <c r="AI133" i="15"/>
  <c r="AI141" i="15"/>
  <c r="AI149" i="15"/>
  <c r="AI157" i="15"/>
  <c r="AI202" i="15"/>
  <c r="AG202" i="15"/>
  <c r="AI219" i="15"/>
  <c r="AI100" i="15"/>
  <c r="AI124" i="15"/>
  <c r="AI132" i="15"/>
  <c r="AI140" i="15"/>
  <c r="AI148" i="15"/>
  <c r="AI156" i="15"/>
  <c r="AI164" i="15"/>
  <c r="AI178" i="15"/>
  <c r="AG178" i="15"/>
  <c r="AI210" i="15"/>
  <c r="AG210" i="15"/>
  <c r="AI214" i="15"/>
  <c r="AI222" i="15"/>
  <c r="AH231" i="15"/>
  <c r="AH238" i="15"/>
  <c r="AH240" i="15"/>
  <c r="AG240" i="15"/>
  <c r="AG245" i="15"/>
  <c r="AH271" i="15"/>
  <c r="AG271" i="15"/>
  <c r="AH280" i="15"/>
  <c r="AI280" i="15"/>
  <c r="AG280" i="15"/>
  <c r="AI108" i="15"/>
  <c r="AI116" i="15"/>
  <c r="AG59" i="15"/>
  <c r="AG67" i="15"/>
  <c r="AG75" i="15"/>
  <c r="AG83" i="15"/>
  <c r="AG91" i="15"/>
  <c r="AG99" i="15"/>
  <c r="AG107" i="15"/>
  <c r="AG115" i="15"/>
  <c r="AG123" i="15"/>
  <c r="AG131" i="15"/>
  <c r="AG139" i="15"/>
  <c r="AG147" i="15"/>
  <c r="AG155" i="15"/>
  <c r="AG163" i="15"/>
  <c r="AG170" i="15"/>
  <c r="AH172" i="15"/>
  <c r="AG174" i="15"/>
  <c r="AG176" i="15"/>
  <c r="AH178" i="15"/>
  <c r="AH196" i="15"/>
  <c r="AG203" i="15"/>
  <c r="AG206" i="15"/>
  <c r="AG208" i="15"/>
  <c r="AH210" i="15"/>
  <c r="AG229" i="15"/>
  <c r="AI229" i="15"/>
  <c r="AG231" i="15"/>
  <c r="AG238" i="15"/>
  <c r="AI240" i="15"/>
  <c r="AH245" i="15"/>
  <c r="AI263" i="15"/>
  <c r="AI271" i="15"/>
  <c r="AI304" i="15"/>
  <c r="AG304" i="15"/>
  <c r="AH181" i="15"/>
  <c r="AH213" i="15"/>
  <c r="AH221" i="15"/>
  <c r="AI251" i="15"/>
  <c r="AG251" i="15"/>
  <c r="AI107" i="15"/>
  <c r="AI115" i="15"/>
  <c r="AI123" i="15"/>
  <c r="AG125" i="15"/>
  <c r="AI131" i="15"/>
  <c r="AG133" i="15"/>
  <c r="AI139" i="15"/>
  <c r="AG141" i="15"/>
  <c r="AI147" i="15"/>
  <c r="AG149" i="15"/>
  <c r="AI155" i="15"/>
  <c r="AG157" i="15"/>
  <c r="AI163" i="15"/>
  <c r="AH165" i="15"/>
  <c r="AG167" i="15"/>
  <c r="AI174" i="15"/>
  <c r="AG181" i="15"/>
  <c r="AI186" i="15"/>
  <c r="AG186" i="15"/>
  <c r="AH188" i="15"/>
  <c r="AH190" i="15"/>
  <c r="AG192" i="15"/>
  <c r="AI194" i="15"/>
  <c r="AG194" i="15"/>
  <c r="AH197" i="15"/>
  <c r="AI203" i="15"/>
  <c r="AI206" i="15"/>
  <c r="AG213" i="15"/>
  <c r="AG219" i="15"/>
  <c r="AG221" i="15"/>
  <c r="AH227" i="15"/>
  <c r="AH236" i="15"/>
  <c r="AH246" i="15"/>
  <c r="AG246" i="15"/>
  <c r="AG249" i="15"/>
  <c r="AH251" i="15"/>
  <c r="AG261" i="15"/>
  <c r="AH263" i="15"/>
  <c r="AH291" i="15"/>
  <c r="AG291" i="15"/>
  <c r="AI302" i="15"/>
  <c r="AH302" i="15"/>
  <c r="AI165" i="15"/>
  <c r="AI167" i="15"/>
  <c r="AG179" i="15"/>
  <c r="AI181" i="15"/>
  <c r="AG184" i="15"/>
  <c r="AH186" i="15"/>
  <c r="AI188" i="15"/>
  <c r="AH192" i="15"/>
  <c r="AH194" i="15"/>
  <c r="AG197" i="15"/>
  <c r="AH204" i="15"/>
  <c r="AG211" i="15"/>
  <c r="AI213" i="15"/>
  <c r="AH219" i="15"/>
  <c r="AI221" i="15"/>
  <c r="AI227" i="15"/>
  <c r="AG232" i="15"/>
  <c r="AI243" i="15"/>
  <c r="AI246" i="15"/>
  <c r="AH249" i="15"/>
  <c r="AH256" i="15"/>
  <c r="AH261" i="15"/>
  <c r="AH264" i="15"/>
  <c r="AI264" i="15"/>
  <c r="AG264" i="15"/>
  <c r="AI291" i="15"/>
  <c r="AG302" i="15"/>
  <c r="AI289" i="15"/>
  <c r="AI306" i="15"/>
  <c r="AH306" i="15"/>
  <c r="AG306" i="15"/>
  <c r="AI314" i="15"/>
  <c r="AH314" i="15"/>
  <c r="AG314" i="15"/>
  <c r="AG260" i="15"/>
  <c r="AG267" i="15"/>
  <c r="AG270" i="15"/>
  <c r="AG273" i="15"/>
  <c r="AH278" i="15"/>
  <c r="AG286" i="15"/>
  <c r="AG289" i="15"/>
  <c r="AI298" i="15"/>
  <c r="AH298" i="15"/>
  <c r="AG298" i="15"/>
  <c r="AI341" i="15"/>
  <c r="AH341" i="15"/>
  <c r="AG341" i="15"/>
  <c r="AI349" i="15"/>
  <c r="AH349" i="15"/>
  <c r="AG349" i="15"/>
  <c r="AI293" i="15"/>
  <c r="AH293" i="15"/>
  <c r="AG293" i="15"/>
  <c r="AH342" i="15"/>
  <c r="AG342" i="15"/>
  <c r="AI342" i="15"/>
  <c r="AI253" i="15"/>
  <c r="AI260" i="15"/>
  <c r="AH262" i="15"/>
  <c r="AI270" i="15"/>
  <c r="AI273" i="15"/>
  <c r="AH284" i="15"/>
  <c r="AI286" i="15"/>
  <c r="AH290" i="15"/>
  <c r="AG290" i="15"/>
  <c r="AH294" i="15"/>
  <c r="AI312" i="15"/>
  <c r="AG312" i="15"/>
  <c r="AH315" i="15"/>
  <c r="AH334" i="15"/>
  <c r="AG334" i="15"/>
  <c r="AI350" i="15"/>
  <c r="AH350" i="15"/>
  <c r="AG350" i="15"/>
  <c r="AG288" i="15"/>
  <c r="AG294" i="15"/>
  <c r="AH299" i="15"/>
  <c r="AG310" i="15"/>
  <c r="AH312" i="15"/>
  <c r="AG315" i="15"/>
  <c r="AI318" i="15"/>
  <c r="AG318" i="15"/>
  <c r="AI323" i="15"/>
  <c r="AH323" i="15"/>
  <c r="AG323" i="15"/>
  <c r="AI334" i="15"/>
  <c r="AI288" i="15"/>
  <c r="AI292" i="15"/>
  <c r="AG292" i="15"/>
  <c r="AI321" i="15"/>
  <c r="AG321" i="15"/>
  <c r="AH292" i="15"/>
  <c r="AH307" i="15"/>
  <c r="AH321" i="15"/>
  <c r="AG326" i="15"/>
  <c r="AG331" i="15"/>
  <c r="AG339" i="15"/>
  <c r="AG347" i="15"/>
  <c r="AG355" i="15"/>
  <c r="AI326" i="15"/>
  <c r="AI331" i="15"/>
  <c r="AI339" i="15"/>
  <c r="AI347" i="15"/>
  <c r="AI355" i="15"/>
  <c r="AG357" i="15"/>
  <c r="AG346" i="15"/>
  <c r="AG354" i="15"/>
  <c r="AH357" i="15"/>
  <c r="AH354" i="15"/>
  <c r="AI357" i="15"/>
  <c r="T43" i="12" l="1"/>
  <c r="U43" i="12"/>
  <c r="V43" i="12"/>
  <c r="S43" i="12"/>
  <c r="D204" i="4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C204" i="4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B204" i="4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A204" i="4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C194" i="4"/>
  <c r="C195" i="4" s="1"/>
  <c r="C196" i="4" s="1"/>
  <c r="C197" i="4" s="1"/>
  <c r="D193" i="4"/>
  <c r="D194" i="4" s="1"/>
  <c r="D195" i="4" s="1"/>
  <c r="D196" i="4" s="1"/>
  <c r="D197" i="4" s="1"/>
  <c r="C193" i="4"/>
  <c r="B193" i="4"/>
  <c r="B194" i="4" s="1"/>
  <c r="B195" i="4" s="1"/>
  <c r="B196" i="4" s="1"/>
  <c r="B197" i="4" s="1"/>
  <c r="A193" i="4"/>
  <c r="A194" i="4" s="1"/>
  <c r="A195" i="4" s="1"/>
  <c r="A196" i="4" s="1"/>
  <c r="A197" i="4" s="1"/>
  <c r="D175" i="4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C175" i="4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B175" i="4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A175" i="4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D162" i="4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C162" i="4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B162" i="4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A162" i="4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D155" i="4"/>
  <c r="D156" i="4" s="1"/>
  <c r="D157" i="4" s="1"/>
  <c r="D158" i="4" s="1"/>
  <c r="D159" i="4" s="1"/>
  <c r="B155" i="4"/>
  <c r="B156" i="4" s="1"/>
  <c r="B157" i="4" s="1"/>
  <c r="B158" i="4" s="1"/>
  <c r="B159" i="4" s="1"/>
  <c r="D154" i="4"/>
  <c r="C154" i="4"/>
  <c r="C155" i="4" s="1"/>
  <c r="C156" i="4" s="1"/>
  <c r="C157" i="4" s="1"/>
  <c r="C158" i="4" s="1"/>
  <c r="C159" i="4" s="1"/>
  <c r="B154" i="4"/>
  <c r="A154" i="4"/>
  <c r="A155" i="4" s="1"/>
  <c r="A156" i="4" s="1"/>
  <c r="A157" i="4" s="1"/>
  <c r="A158" i="4" s="1"/>
  <c r="A159" i="4" s="1"/>
  <c r="D127" i="4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C127" i="4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B127" i="4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A127" i="4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D123" i="4"/>
  <c r="D124" i="4" s="1"/>
  <c r="B123" i="4"/>
  <c r="B124" i="4" s="1"/>
  <c r="A123" i="4"/>
  <c r="A124" i="4" s="1"/>
  <c r="D122" i="4"/>
  <c r="C122" i="4"/>
  <c r="C123" i="4" s="1"/>
  <c r="C124" i="4" s="1"/>
  <c r="B122" i="4"/>
  <c r="A122" i="4"/>
  <c r="C116" i="4"/>
  <c r="C117" i="4" s="1"/>
  <c r="C118" i="4" s="1"/>
  <c r="C119" i="4" s="1"/>
  <c r="D115" i="4"/>
  <c r="D116" i="4" s="1"/>
  <c r="D117" i="4" s="1"/>
  <c r="D118" i="4" s="1"/>
  <c r="D119" i="4" s="1"/>
  <c r="C115" i="4"/>
  <c r="B115" i="4"/>
  <c r="B116" i="4" s="1"/>
  <c r="B117" i="4" s="1"/>
  <c r="B118" i="4" s="1"/>
  <c r="B119" i="4" s="1"/>
  <c r="A115" i="4"/>
  <c r="A116" i="4" s="1"/>
  <c r="A117" i="4" s="1"/>
  <c r="A118" i="4" s="1"/>
  <c r="A119" i="4" s="1"/>
  <c r="C106" i="4"/>
  <c r="C107" i="4" s="1"/>
  <c r="C108" i="4" s="1"/>
  <c r="C109" i="4" s="1"/>
  <c r="C110" i="4" s="1"/>
  <c r="C111" i="4" s="1"/>
  <c r="C112" i="4" s="1"/>
  <c r="D105" i="4"/>
  <c r="D106" i="4" s="1"/>
  <c r="D107" i="4" s="1"/>
  <c r="D108" i="4" s="1"/>
  <c r="D109" i="4" s="1"/>
  <c r="D110" i="4" s="1"/>
  <c r="D111" i="4" s="1"/>
  <c r="D112" i="4" s="1"/>
  <c r="B105" i="4"/>
  <c r="B106" i="4" s="1"/>
  <c r="B107" i="4" s="1"/>
  <c r="B108" i="4" s="1"/>
  <c r="B109" i="4" s="1"/>
  <c r="B110" i="4" s="1"/>
  <c r="B111" i="4" s="1"/>
  <c r="B112" i="4" s="1"/>
  <c r="A105" i="4"/>
  <c r="A106" i="4" s="1"/>
  <c r="A107" i="4" s="1"/>
  <c r="A108" i="4" s="1"/>
  <c r="A109" i="4" s="1"/>
  <c r="A110" i="4" s="1"/>
  <c r="A111" i="4" s="1"/>
  <c r="A112" i="4" s="1"/>
  <c r="D104" i="4"/>
  <c r="C104" i="4"/>
  <c r="C105" i="4" s="1"/>
  <c r="B104" i="4"/>
  <c r="A104" i="4"/>
  <c r="C96" i="4"/>
  <c r="C97" i="4" s="1"/>
  <c r="C98" i="4" s="1"/>
  <c r="C99" i="4" s="1"/>
  <c r="C100" i="4" s="1"/>
  <c r="C101" i="4" s="1"/>
  <c r="D95" i="4"/>
  <c r="D96" i="4" s="1"/>
  <c r="D97" i="4" s="1"/>
  <c r="D98" i="4" s="1"/>
  <c r="D99" i="4" s="1"/>
  <c r="D100" i="4" s="1"/>
  <c r="D101" i="4" s="1"/>
  <c r="C95" i="4"/>
  <c r="B95" i="4"/>
  <c r="B96" i="4" s="1"/>
  <c r="B97" i="4" s="1"/>
  <c r="B98" i="4" s="1"/>
  <c r="B99" i="4" s="1"/>
  <c r="B100" i="4" s="1"/>
  <c r="B101" i="4" s="1"/>
  <c r="A95" i="4"/>
  <c r="A96" i="4" s="1"/>
  <c r="A97" i="4" s="1"/>
  <c r="A98" i="4" s="1"/>
  <c r="A99" i="4" s="1"/>
  <c r="A100" i="4" s="1"/>
  <c r="A101" i="4" s="1"/>
  <c r="A87" i="4"/>
  <c r="A88" i="4" s="1"/>
  <c r="A89" i="4" s="1"/>
  <c r="A90" i="4" s="1"/>
  <c r="A91" i="4" s="1"/>
  <c r="A92" i="4" s="1"/>
  <c r="D86" i="4"/>
  <c r="D87" i="4" s="1"/>
  <c r="D88" i="4" s="1"/>
  <c r="D89" i="4" s="1"/>
  <c r="D90" i="4" s="1"/>
  <c r="D91" i="4" s="1"/>
  <c r="D92" i="4" s="1"/>
  <c r="C86" i="4"/>
  <c r="C87" i="4" s="1"/>
  <c r="C88" i="4" s="1"/>
  <c r="C89" i="4" s="1"/>
  <c r="C90" i="4" s="1"/>
  <c r="C91" i="4" s="1"/>
  <c r="C92" i="4" s="1"/>
  <c r="B86" i="4"/>
  <c r="B87" i="4" s="1"/>
  <c r="B88" i="4" s="1"/>
  <c r="B89" i="4" s="1"/>
  <c r="B90" i="4" s="1"/>
  <c r="B91" i="4" s="1"/>
  <c r="B92" i="4" s="1"/>
  <c r="A86" i="4"/>
  <c r="B69" i="4"/>
  <c r="B70" i="4" s="1"/>
  <c r="B71" i="4" s="1"/>
  <c r="B72" i="4" s="1"/>
  <c r="B73" i="4" s="1"/>
  <c r="B74" i="4" s="1"/>
  <c r="B75" i="4" s="1"/>
  <c r="D68" i="4"/>
  <c r="D69" i="4" s="1"/>
  <c r="D70" i="4" s="1"/>
  <c r="D71" i="4" s="1"/>
  <c r="D72" i="4" s="1"/>
  <c r="D73" i="4" s="1"/>
  <c r="D74" i="4" s="1"/>
  <c r="D75" i="4" s="1"/>
  <c r="C68" i="4"/>
  <c r="C69" i="4" s="1"/>
  <c r="C70" i="4" s="1"/>
  <c r="C71" i="4" s="1"/>
  <c r="C72" i="4" s="1"/>
  <c r="C73" i="4" s="1"/>
  <c r="C74" i="4" s="1"/>
  <c r="C75" i="4" s="1"/>
  <c r="B68" i="4"/>
  <c r="A68" i="4"/>
  <c r="A69" i="4" s="1"/>
  <c r="A70" i="4" s="1"/>
  <c r="A71" i="4" s="1"/>
  <c r="A72" i="4" s="1"/>
  <c r="A73" i="4" s="1"/>
  <c r="A74" i="4" s="1"/>
  <c r="A75" i="4" s="1"/>
  <c r="D64" i="4"/>
  <c r="D65" i="4" s="1"/>
  <c r="C64" i="4"/>
  <c r="C65" i="4" s="1"/>
  <c r="B64" i="4"/>
  <c r="B65" i="4" s="1"/>
  <c r="A64" i="4"/>
  <c r="A65" i="4" s="1"/>
  <c r="D51" i="4"/>
  <c r="D52" i="4" s="1"/>
  <c r="D53" i="4" s="1"/>
  <c r="D54" i="4" s="1"/>
  <c r="D55" i="4" s="1"/>
  <c r="D56" i="4" s="1"/>
  <c r="D57" i="4" s="1"/>
  <c r="C51" i="4"/>
  <c r="C52" i="4" s="1"/>
  <c r="C53" i="4" s="1"/>
  <c r="C54" i="4" s="1"/>
  <c r="C55" i="4" s="1"/>
  <c r="C56" i="4" s="1"/>
  <c r="C57" i="4" s="1"/>
  <c r="B51" i="4"/>
  <c r="B52" i="4" s="1"/>
  <c r="B53" i="4" s="1"/>
  <c r="B54" i="4" s="1"/>
  <c r="B55" i="4" s="1"/>
  <c r="B56" i="4" s="1"/>
  <c r="B57" i="4" s="1"/>
  <c r="A51" i="4"/>
  <c r="A52" i="4" s="1"/>
  <c r="A53" i="4" s="1"/>
  <c r="A54" i="4" s="1"/>
  <c r="A55" i="4" s="1"/>
  <c r="A56" i="4" s="1"/>
  <c r="A57" i="4" s="1"/>
  <c r="B27" i="4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D25" i="4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C25" i="4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B25" i="4"/>
  <c r="B26" i="4" s="1"/>
  <c r="A25" i="4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D12" i="4"/>
  <c r="D13" i="4" s="1"/>
  <c r="D14" i="4" s="1"/>
  <c r="D15" i="4" s="1"/>
  <c r="D16" i="4" s="1"/>
  <c r="D17" i="4" s="1"/>
  <c r="D18" i="4" s="1"/>
  <c r="C12" i="4"/>
  <c r="C13" i="4" s="1"/>
  <c r="C14" i="4" s="1"/>
  <c r="C15" i="4" s="1"/>
  <c r="C16" i="4" s="1"/>
  <c r="C17" i="4" s="1"/>
  <c r="C18" i="4" s="1"/>
  <c r="B12" i="4"/>
  <c r="B13" i="4" s="1"/>
  <c r="B14" i="4" s="1"/>
  <c r="B15" i="4" s="1"/>
  <c r="B16" i="4" s="1"/>
  <c r="B17" i="4" s="1"/>
  <c r="B18" i="4" s="1"/>
  <c r="A12" i="4"/>
  <c r="A13" i="4" s="1"/>
  <c r="A14" i="4" s="1"/>
  <c r="A15" i="4" s="1"/>
  <c r="A16" i="4" s="1"/>
  <c r="A17" i="4" s="1"/>
  <c r="A18" i="4" s="1"/>
  <c r="AA571" i="1" l="1"/>
  <c r="Z571" i="1"/>
  <c r="Y571" i="1"/>
  <c r="AA569" i="1"/>
  <c r="Z569" i="1"/>
  <c r="Y569" i="1"/>
  <c r="AA563" i="1"/>
  <c r="Z563" i="1"/>
  <c r="Y563" i="1"/>
  <c r="AA550" i="1"/>
  <c r="Z550" i="1"/>
  <c r="Y550" i="1"/>
  <c r="AA548" i="1"/>
  <c r="Z548" i="1"/>
  <c r="Y548" i="1"/>
  <c r="AA546" i="1"/>
  <c r="Z546" i="1"/>
  <c r="Y546" i="1"/>
  <c r="AA544" i="1"/>
  <c r="Z544" i="1"/>
  <c r="Y544" i="1"/>
  <c r="AA539" i="1"/>
  <c r="Z539" i="1"/>
  <c r="Y539" i="1"/>
  <c r="AA537" i="1"/>
  <c r="Z537" i="1"/>
  <c r="Y537" i="1"/>
  <c r="AA530" i="1"/>
  <c r="Z530" i="1"/>
  <c r="Y530" i="1"/>
  <c r="AA528" i="1"/>
  <c r="Z528" i="1"/>
  <c r="Y528" i="1"/>
  <c r="AA512" i="1"/>
  <c r="Z512" i="1"/>
  <c r="Y512" i="1"/>
  <c r="AA506" i="1"/>
  <c r="Z506" i="1"/>
  <c r="Y506" i="1"/>
  <c r="AA496" i="1"/>
  <c r="Z496" i="1"/>
  <c r="Y496" i="1"/>
  <c r="AA489" i="1"/>
  <c r="Z489" i="1"/>
  <c r="Y489" i="1"/>
  <c r="AA476" i="1"/>
  <c r="Z476" i="1"/>
  <c r="Y476" i="1"/>
  <c r="AA463" i="1"/>
  <c r="Z463" i="1"/>
  <c r="Y463" i="1"/>
  <c r="AA401" i="1"/>
  <c r="Z401" i="1"/>
  <c r="Y401" i="1"/>
  <c r="AA397" i="1"/>
  <c r="Z397" i="1"/>
  <c r="Y397" i="1"/>
  <c r="AA394" i="1"/>
  <c r="Z394" i="1"/>
  <c r="Y394" i="1"/>
  <c r="AA363" i="1"/>
  <c r="Z363" i="1"/>
  <c r="Y363" i="1"/>
  <c r="AA358" i="1"/>
  <c r="Z358" i="1"/>
  <c r="Y358" i="1"/>
  <c r="AA353" i="1"/>
  <c r="Z353" i="1"/>
  <c r="Y353" i="1"/>
  <c r="AA346" i="1"/>
  <c r="Z346" i="1"/>
  <c r="Y346" i="1"/>
  <c r="AA335" i="1"/>
  <c r="Z335" i="1"/>
  <c r="Y335" i="1"/>
  <c r="AA333" i="1"/>
  <c r="Z333" i="1"/>
  <c r="Y333" i="1"/>
  <c r="AA329" i="1"/>
  <c r="Z329" i="1"/>
  <c r="Y329" i="1"/>
  <c r="AA320" i="1"/>
  <c r="Z320" i="1"/>
  <c r="Y320" i="1"/>
  <c r="AA311" i="1"/>
  <c r="Z311" i="1"/>
  <c r="Y311" i="1"/>
  <c r="AA309" i="1"/>
  <c r="Z309" i="1"/>
  <c r="Y309" i="1"/>
  <c r="AA304" i="1"/>
  <c r="Z304" i="1"/>
  <c r="Y304" i="1"/>
  <c r="AA302" i="1"/>
  <c r="Z302" i="1"/>
  <c r="Y302" i="1"/>
  <c r="AA294" i="1"/>
  <c r="Z294" i="1"/>
  <c r="Y294" i="1"/>
  <c r="AA291" i="1"/>
  <c r="Z291" i="1"/>
  <c r="Y291" i="1"/>
  <c r="AA280" i="1"/>
  <c r="Z280" i="1"/>
  <c r="Y280" i="1"/>
  <c r="AA267" i="1"/>
  <c r="Z267" i="1"/>
  <c r="Y267" i="1"/>
  <c r="AA262" i="1"/>
  <c r="Z262" i="1"/>
  <c r="Y262" i="1"/>
  <c r="AA260" i="1"/>
  <c r="Z260" i="1"/>
  <c r="Y260" i="1"/>
  <c r="AA258" i="1"/>
  <c r="Z258" i="1"/>
  <c r="Y258" i="1"/>
  <c r="AA256" i="1"/>
  <c r="Z256" i="1"/>
  <c r="Y256" i="1"/>
  <c r="AA253" i="1"/>
  <c r="Z253" i="1"/>
  <c r="Y253" i="1"/>
  <c r="AA249" i="1"/>
  <c r="Z249" i="1"/>
  <c r="Y249" i="1"/>
  <c r="AA246" i="1"/>
  <c r="Z246" i="1"/>
  <c r="Y246" i="1"/>
  <c r="AA244" i="1"/>
  <c r="Z244" i="1"/>
  <c r="Y244" i="1"/>
  <c r="AA242" i="1"/>
  <c r="Z242" i="1"/>
  <c r="Y242" i="1"/>
  <c r="AA239" i="1"/>
  <c r="Z239" i="1"/>
  <c r="Y239" i="1"/>
  <c r="AA228" i="1"/>
  <c r="Z228" i="1"/>
  <c r="Y228" i="1"/>
  <c r="AA226" i="1"/>
  <c r="Z226" i="1"/>
  <c r="Y226" i="1"/>
  <c r="AA224" i="1"/>
  <c r="Z224" i="1"/>
  <c r="Y224" i="1"/>
  <c r="AA222" i="1"/>
  <c r="Z222" i="1"/>
  <c r="Y222" i="1"/>
  <c r="AA219" i="1"/>
  <c r="Z219" i="1"/>
  <c r="Y219" i="1"/>
  <c r="AA216" i="1"/>
  <c r="Z216" i="1"/>
  <c r="Y216" i="1"/>
  <c r="AA214" i="1"/>
  <c r="Z214" i="1"/>
  <c r="Y214" i="1"/>
  <c r="AA212" i="1"/>
  <c r="Z212" i="1"/>
  <c r="Y212" i="1"/>
  <c r="AA206" i="1"/>
  <c r="Z206" i="1"/>
  <c r="Y206" i="1"/>
  <c r="AA199" i="1"/>
  <c r="Z199" i="1"/>
  <c r="Y199" i="1"/>
  <c r="AA197" i="1"/>
  <c r="Z197" i="1"/>
  <c r="Y197" i="1"/>
  <c r="AA195" i="1"/>
  <c r="Z195" i="1"/>
  <c r="Y195" i="1"/>
  <c r="AA193" i="1"/>
  <c r="Z193" i="1"/>
  <c r="Y193" i="1"/>
  <c r="AA191" i="1"/>
  <c r="Z191" i="1"/>
  <c r="Y191" i="1"/>
  <c r="AA189" i="1"/>
  <c r="Z189" i="1"/>
  <c r="Y189" i="1"/>
  <c r="AA186" i="1"/>
  <c r="Z186" i="1"/>
  <c r="Y186" i="1"/>
  <c r="AA180" i="1"/>
  <c r="Z180" i="1"/>
  <c r="Y180" i="1"/>
  <c r="AA178" i="1"/>
  <c r="Z178" i="1"/>
  <c r="Y178" i="1"/>
  <c r="AA176" i="1"/>
  <c r="Z176" i="1"/>
  <c r="Y176" i="1"/>
  <c r="AA173" i="1"/>
  <c r="Z173" i="1"/>
  <c r="Y173" i="1"/>
  <c r="AA163" i="1"/>
  <c r="Z163" i="1"/>
  <c r="Y163" i="1"/>
  <c r="AA159" i="1"/>
  <c r="Z159" i="1"/>
  <c r="Y159" i="1"/>
  <c r="AA157" i="1"/>
  <c r="Z157" i="1"/>
  <c r="Y157" i="1"/>
  <c r="AA155" i="1"/>
  <c r="Z155" i="1"/>
  <c r="Y155" i="1"/>
  <c r="AA153" i="1"/>
  <c r="Z153" i="1"/>
  <c r="Y153" i="1"/>
  <c r="AA144" i="1"/>
  <c r="Z144" i="1"/>
  <c r="Y144" i="1"/>
  <c r="AA142" i="1"/>
  <c r="Z142" i="1"/>
  <c r="Y142" i="1"/>
  <c r="AA140" i="1"/>
  <c r="Z140" i="1"/>
  <c r="Y140" i="1"/>
  <c r="AA138" i="1"/>
  <c r="Z138" i="1"/>
  <c r="Y138" i="1"/>
  <c r="AA134" i="1"/>
  <c r="Z134" i="1"/>
  <c r="Y134" i="1"/>
  <c r="AA127" i="1"/>
  <c r="Z127" i="1"/>
  <c r="Y127" i="1"/>
  <c r="AA119" i="1"/>
  <c r="Z119" i="1"/>
  <c r="Y119" i="1"/>
  <c r="AA73" i="1"/>
  <c r="Z73" i="1"/>
  <c r="Y73" i="1"/>
  <c r="AA68" i="1"/>
  <c r="Z68" i="1"/>
  <c r="Y68" i="1"/>
  <c r="AA61" i="1"/>
  <c r="Z61" i="1"/>
  <c r="Y61" i="1"/>
  <c r="AA59" i="1"/>
  <c r="Z59" i="1"/>
  <c r="Y59" i="1"/>
  <c r="AA57" i="1"/>
  <c r="Z57" i="1"/>
  <c r="Y57" i="1"/>
  <c r="AA54" i="1"/>
  <c r="Z54" i="1"/>
  <c r="Y54" i="1"/>
  <c r="AA32" i="1"/>
  <c r="Z32" i="1"/>
  <c r="Y32" i="1"/>
  <c r="AA26" i="1"/>
  <c r="Z26" i="1"/>
  <c r="Y26" i="1"/>
  <c r="AA24" i="1"/>
  <c r="Z24" i="1"/>
  <c r="Y24" i="1"/>
  <c r="AA21" i="1"/>
  <c r="Z21" i="1"/>
  <c r="Y21" i="1"/>
  <c r="AA19" i="1"/>
  <c r="Z19" i="1"/>
  <c r="Y19" i="1"/>
  <c r="AA10" i="1"/>
  <c r="Z10" i="1"/>
  <c r="Y10" i="1"/>
  <c r="X571" i="1"/>
  <c r="X569" i="1"/>
  <c r="X563" i="1"/>
  <c r="X550" i="1"/>
  <c r="X548" i="1"/>
  <c r="X546" i="1"/>
  <c r="X544" i="1"/>
  <c r="X539" i="1"/>
  <c r="X537" i="1"/>
  <c r="X530" i="1"/>
  <c r="X528" i="1"/>
  <c r="X512" i="1"/>
  <c r="X506" i="1"/>
  <c r="X496" i="1"/>
  <c r="X489" i="1"/>
  <c r="X476" i="1"/>
  <c r="X463" i="1"/>
  <c r="X401" i="1"/>
  <c r="X397" i="1"/>
  <c r="X394" i="1"/>
  <c r="X363" i="1"/>
  <c r="X358" i="1"/>
  <c r="X353" i="1"/>
  <c r="X346" i="1"/>
  <c r="X335" i="1"/>
  <c r="X333" i="1"/>
  <c r="X329" i="1"/>
  <c r="X320" i="1"/>
  <c r="X311" i="1"/>
  <c r="X309" i="1"/>
  <c r="X304" i="1"/>
  <c r="X302" i="1"/>
  <c r="X294" i="1"/>
  <c r="X291" i="1"/>
  <c r="X280" i="1"/>
  <c r="X267" i="1"/>
  <c r="X262" i="1"/>
  <c r="X260" i="1"/>
  <c r="X258" i="1"/>
  <c r="X256" i="1"/>
  <c r="X253" i="1"/>
  <c r="X249" i="1"/>
  <c r="X246" i="1"/>
  <c r="X244" i="1"/>
  <c r="X242" i="1"/>
  <c r="X239" i="1"/>
  <c r="X228" i="1"/>
  <c r="X226" i="1"/>
  <c r="X224" i="1"/>
  <c r="X222" i="1"/>
  <c r="X219" i="1"/>
  <c r="X216" i="1"/>
  <c r="X214" i="1"/>
  <c r="X212" i="1"/>
  <c r="X206" i="1"/>
  <c r="X199" i="1"/>
  <c r="X197" i="1"/>
  <c r="X195" i="1"/>
  <c r="X193" i="1"/>
  <c r="X191" i="1"/>
  <c r="X189" i="1"/>
  <c r="X186" i="1"/>
  <c r="X180" i="1"/>
  <c r="X178" i="1"/>
  <c r="X176" i="1"/>
  <c r="X173" i="1"/>
  <c r="X163" i="1"/>
  <c r="X159" i="1"/>
  <c r="X157" i="1"/>
  <c r="X155" i="1"/>
  <c r="X153" i="1"/>
  <c r="X144" i="1"/>
  <c r="X142" i="1"/>
  <c r="X140" i="1"/>
  <c r="X138" i="1"/>
  <c r="X134" i="1"/>
  <c r="X127" i="1"/>
  <c r="X119" i="1"/>
  <c r="X73" i="1"/>
  <c r="X68" i="1"/>
  <c r="X61" i="1"/>
  <c r="X59" i="1"/>
  <c r="X57" i="1"/>
  <c r="X54" i="1"/>
  <c r="X32" i="1"/>
  <c r="X26" i="1"/>
  <c r="X24" i="1"/>
  <c r="X21" i="1"/>
  <c r="X19" i="1"/>
  <c r="X10" i="1"/>
  <c r="AA572" i="1" l="1"/>
  <c r="X572" i="1"/>
  <c r="Y572" i="1"/>
  <c r="Z572" i="1"/>
</calcChain>
</file>

<file path=xl/sharedStrings.xml><?xml version="1.0" encoding="utf-8"?>
<sst xmlns="http://schemas.openxmlformats.org/spreadsheetml/2006/main" count="25599" uniqueCount="915">
  <si>
    <t>STA</t>
  </si>
  <si>
    <t>UOM</t>
  </si>
  <si>
    <t>CURRE</t>
  </si>
  <si>
    <t> FFA  </t>
  </si>
  <si>
    <t> M&amp;I  </t>
  </si>
  <si>
    <t> DNS  </t>
  </si>
  <si>
    <t>23.02.2026</t>
  </si>
  <si>
    <t>18.08.2025</t>
  </si>
  <si>
    <t>30.12.2025</t>
  </si>
  <si>
    <t>25.02.2026</t>
  </si>
  <si>
    <t>03.02.2026</t>
  </si>
  <si>
    <t>20.02.2026</t>
  </si>
  <si>
    <t>24.02.2026</t>
  </si>
  <si>
    <t>21.04.2023</t>
  </si>
  <si>
    <t>30.10.2023</t>
  </si>
  <si>
    <t>31.10.2023</t>
  </si>
  <si>
    <t>28.07.2025</t>
  </si>
  <si>
    <t>06.08.2025</t>
  </si>
  <si>
    <t>12.08.2025</t>
  </si>
  <si>
    <t>03.09.2025</t>
  </si>
  <si>
    <t>08.09.2025</t>
  </si>
  <si>
    <t>11.09.2025</t>
  </si>
  <si>
    <t>17.09.2025</t>
  </si>
  <si>
    <t>26.09.2025</t>
  </si>
  <si>
    <t>29.09.2025</t>
  </si>
  <si>
    <t>01.12.2025</t>
  </si>
  <si>
    <t>29.12.2025</t>
  </si>
  <si>
    <t>05.01.2026</t>
  </si>
  <si>
    <t>26.02.2026</t>
  </si>
  <si>
    <t>22.10.2025</t>
  </si>
  <si>
    <t>26.12.2025</t>
  </si>
  <si>
    <t>16.02.2026</t>
  </si>
  <si>
    <t>20.10.2025</t>
  </si>
  <si>
    <t>11.12.2025</t>
  </si>
  <si>
    <t>24.12.2024</t>
  </si>
  <si>
    <t>25.07.2025</t>
  </si>
  <si>
    <t>29.07.2025</t>
  </si>
  <si>
    <t>30.07.2025</t>
  </si>
  <si>
    <t>30.09.2025</t>
  </si>
  <si>
    <t>31.12.2025</t>
  </si>
  <si>
    <t>28.01.2026</t>
  </si>
  <si>
    <t>29.01.2026</t>
  </si>
  <si>
    <t>05.02.2026</t>
  </si>
  <si>
    <t>27.01.2026</t>
  </si>
  <si>
    <t>08.01.2025</t>
  </si>
  <si>
    <t>17.11.2025</t>
  </si>
  <si>
    <t>20.11.2025</t>
  </si>
  <si>
    <t>09.02.2026</t>
  </si>
  <si>
    <t>27.02.2026</t>
  </si>
  <si>
    <t>31.10.2025</t>
  </si>
  <si>
    <t>13.02.2024</t>
  </si>
  <si>
    <t>22.01.2026</t>
  </si>
  <si>
    <t>20.05.2024</t>
  </si>
  <si>
    <t>30.05.2024</t>
  </si>
  <si>
    <t>23.09.2024</t>
  </si>
  <si>
    <t>19.05.2025</t>
  </si>
  <si>
    <t>20.05.2025</t>
  </si>
  <si>
    <t>06.02.2026</t>
  </si>
  <si>
    <t>30.04.2023</t>
  </si>
  <si>
    <t>30.04.2025</t>
  </si>
  <si>
    <t>13.02.2026</t>
  </si>
  <si>
    <t>12.01.2026</t>
  </si>
  <si>
    <t>13.01.2026</t>
  </si>
  <si>
    <t>14.01.2026</t>
  </si>
  <si>
    <t>15.01.2026</t>
  </si>
  <si>
    <t>30.01.2026</t>
  </si>
  <si>
    <t>02.02.2026</t>
  </si>
  <si>
    <t>30.07.2023</t>
  </si>
  <si>
    <t>28.05.2025</t>
  </si>
  <si>
    <t>14.06.2024</t>
  </si>
  <si>
    <t>11.02.2026</t>
  </si>
  <si>
    <t>25.04.2023</t>
  </si>
  <si>
    <t>14.11.2025</t>
  </si>
  <si>
    <t>13.01.2025</t>
  </si>
  <si>
    <t>27.12.2024</t>
  </si>
  <si>
    <t>20.03.2025</t>
  </si>
  <si>
    <t>14.05.2023</t>
  </si>
  <si>
    <t>30.06.2023</t>
  </si>
  <si>
    <t>10.10.2024</t>
  </si>
  <si>
    <t>23.09.2025</t>
  </si>
  <si>
    <t>04.02.2026</t>
  </si>
  <si>
    <t>05.11.2025</t>
  </si>
  <si>
    <t>24.02.2025</t>
  </si>
  <si>
    <t>18.12.2025</t>
  </si>
  <si>
    <t>17.12.2024</t>
  </si>
  <si>
    <t>31.01.2024</t>
  </si>
  <si>
    <t>31.10.2024</t>
  </si>
  <si>
    <t>14.05.2025</t>
  </si>
  <si>
    <t>23.12.2025</t>
  </si>
  <si>
    <t>21.01.2026</t>
  </si>
  <si>
    <t>19.02.2026</t>
  </si>
  <si>
    <t>11.06.2025</t>
  </si>
  <si>
    <t>24.06.2025</t>
  </si>
  <si>
    <t>01.08.2025</t>
  </si>
  <si>
    <t>25.06.2025</t>
  </si>
  <si>
    <t>12.09.2025</t>
  </si>
  <si>
    <t>09.12.2025</t>
  </si>
  <si>
    <t>10.02.2026</t>
  </si>
  <si>
    <t>03.02.2025</t>
  </si>
  <si>
    <t>23.07.2025</t>
  </si>
  <si>
    <t>10.12.2025</t>
  </si>
  <si>
    <t>10.11.2025</t>
  </si>
  <si>
    <t>08.12.2025</t>
  </si>
  <si>
    <t>29.10.2024</t>
  </si>
  <si>
    <t>27.11.2025</t>
  </si>
  <si>
    <t>31.12.2024</t>
  </si>
  <si>
    <t>04.02.2025</t>
  </si>
  <si>
    <t>14.07.2025</t>
  </si>
  <si>
    <t>15.05.2025</t>
  </si>
  <si>
    <t>18.11.2025</t>
  </si>
  <si>
    <t>30.10.2025</t>
  </si>
  <si>
    <t>04.08.2025</t>
  </si>
  <si>
    <t>12.06.2025</t>
  </si>
  <si>
    <t>16.06.2025</t>
  </si>
  <si>
    <t>15.09.2025</t>
  </si>
  <si>
    <t>30.09.2024</t>
  </si>
  <si>
    <t>25.11.2025</t>
  </si>
  <si>
    <t>01.08.2024</t>
  </si>
  <si>
    <t>08.07.2024</t>
  </si>
  <si>
    <t>20.08.2025</t>
  </si>
  <si>
    <t>28.03.2025</t>
  </si>
  <si>
    <t>11.08.2025</t>
  </si>
  <si>
    <t>27.08.2025</t>
  </si>
  <si>
    <t>MUTU KLAIM</t>
  </si>
  <si>
    <t>NO</t>
  </si>
  <si>
    <t>VENDOR CODE</t>
  </si>
  <si>
    <t>VENDOR NAME</t>
  </si>
  <si>
    <t>GROUP OF VENDOR</t>
  </si>
  <si>
    <t>CARGO SOURCE</t>
  </si>
  <si>
    <t>CREATED BY</t>
  </si>
  <si>
    <t>CR NO</t>
  </si>
  <si>
    <t>CR DATE</t>
  </si>
  <si>
    <t>DEST</t>
  </si>
  <si>
    <t>NO KONTRAK</t>
  </si>
  <si>
    <t>COMM</t>
  </si>
  <si>
    <t>DOBI</t>
  </si>
  <si>
    <t>STONE</t>
  </si>
  <si>
    <t>AT11000012</t>
  </si>
  <si>
    <t>MITRA KARYA SENTOSA PT.</t>
  </si>
  <si>
    <t>FIRST_R</t>
  </si>
  <si>
    <t>Yustinus Refiano Dwisepti</t>
  </si>
  <si>
    <t>CR</t>
  </si>
  <si>
    <t>KJG</t>
  </si>
  <si>
    <t>10000014/MKS/I/2026</t>
  </si>
  <si>
    <t>8010-10.11102</t>
  </si>
  <si>
    <t>CPO</t>
  </si>
  <si>
    <t>KG</t>
  </si>
  <si>
    <t>IDR</t>
  </si>
  <si>
    <t>EU</t>
  </si>
  <si>
    <t>SUB TOTAL</t>
  </si>
  <si>
    <t>AT11000014</t>
  </si>
  <si>
    <t>NUSARAYA PERMAI PT.</t>
  </si>
  <si>
    <t>DJARUM</t>
  </si>
  <si>
    <t>FALLY RIBKA</t>
  </si>
  <si>
    <t>EXT-NRP-220-2025</t>
  </si>
  <si>
    <t>EXT-NRP-229-2025</t>
  </si>
  <si>
    <t>EXT-NRP-505-2025</t>
  </si>
  <si>
    <t>EXT-NRP-016-2026</t>
  </si>
  <si>
    <t>EXT-NRP-038-2026</t>
  </si>
  <si>
    <t>EXT-NRP-516-2025</t>
  </si>
  <si>
    <t>JJ</t>
  </si>
  <si>
    <t>EXT-NRP-039-2026</t>
  </si>
  <si>
    <t>TS</t>
  </si>
  <si>
    <t>AT11000055</t>
  </si>
  <si>
    <t>MITRA ANEKA REZEKI PT.</t>
  </si>
  <si>
    <t>PAS AGRO</t>
  </si>
  <si>
    <t>001/SOKR/CPO/0126</t>
  </si>
  <si>
    <t>AT11000087</t>
  </si>
  <si>
    <t>SWASTISIDDHI AMAGRA PT.</t>
  </si>
  <si>
    <t>SSA</t>
  </si>
  <si>
    <t>Rinaldi Gardhimas Prahata</t>
  </si>
  <si>
    <t>LGU</t>
  </si>
  <si>
    <t>018/SSA/CPO/I/2026</t>
  </si>
  <si>
    <t>SC</t>
  </si>
  <si>
    <t>AT11000121</t>
  </si>
  <si>
    <t>SEBANGA MULTI SAWIT PT.</t>
  </si>
  <si>
    <t>SMS</t>
  </si>
  <si>
    <t>002/SMS-EUP/CANGKANG/II/2026</t>
  </si>
  <si>
    <t>8031-10.11101</t>
  </si>
  <si>
    <t>SHELL PALM</t>
  </si>
  <si>
    <t>AT11000130</t>
  </si>
  <si>
    <t>PERKEBUNAN NUSANTARA XIII PT.</t>
  </si>
  <si>
    <t>PTPN</t>
  </si>
  <si>
    <t>Nurul Fitriani</t>
  </si>
  <si>
    <t>BTG</t>
  </si>
  <si>
    <t>TBN</t>
  </si>
  <si>
    <t>0009/HOLDING/CPO-L/N-XIII/I/2023</t>
  </si>
  <si>
    <t>0045/HOLDING/CPO-L/N-XIII/VI/2023</t>
  </si>
  <si>
    <t>0055/HOLDING/CPO-L/N-XIII/VII/2023</t>
  </si>
  <si>
    <t>AT11000131</t>
  </si>
  <si>
    <t>PENITI SUNGAI PURUN PT.</t>
  </si>
  <si>
    <t>EXT-PSP-763-2025</t>
  </si>
  <si>
    <t>8010-10.11103</t>
  </si>
  <si>
    <t>EXT-PSP-690-2025</t>
  </si>
  <si>
    <t>EXT-PSP-736-2025</t>
  </si>
  <si>
    <t>EXT-PSP-779-2025</t>
  </si>
  <si>
    <t>EXT-PSP-719-2025</t>
  </si>
  <si>
    <t>EXT-PSP-794-2025</t>
  </si>
  <si>
    <t>EXT-PSP-820-2025</t>
  </si>
  <si>
    <t>EXT-PSP-921-2025</t>
  </si>
  <si>
    <t>EXT-PSP-874-2025</t>
  </si>
  <si>
    <t>EXT-PSP-960-2025</t>
  </si>
  <si>
    <t>EXT-PSP-1067-2025</t>
  </si>
  <si>
    <t>EXT-PSP-1128-2025</t>
  </si>
  <si>
    <t>EXT-PSP-1145-2025</t>
  </si>
  <si>
    <t>EXT-PSP-1183-2025</t>
  </si>
  <si>
    <t>EXT-PSP-1345-2025</t>
  </si>
  <si>
    <t>EXT-PSP-1620-2025</t>
  </si>
  <si>
    <t>EXT-PSP-1421-2025</t>
  </si>
  <si>
    <t>EXT-PSP-1677-2025</t>
  </si>
  <si>
    <t>AT11000136</t>
  </si>
  <si>
    <t>SUPRA MATRA ABADI PT.</t>
  </si>
  <si>
    <t>AA</t>
  </si>
  <si>
    <t>08003/C/21/90/25</t>
  </si>
  <si>
    <t>09005/C/21/90/25</t>
  </si>
  <si>
    <t>AT11000151</t>
  </si>
  <si>
    <t>KENCANA PERSADA NUSANTARA PT</t>
  </si>
  <si>
    <t>KENCANA</t>
  </si>
  <si>
    <t>014/KPN-CK/XI/2025</t>
  </si>
  <si>
    <t>AT11000156</t>
  </si>
  <si>
    <t>NAGAMAS AGRO MULIA PT.</t>
  </si>
  <si>
    <t>NAGAMAS</t>
  </si>
  <si>
    <t>003/KJB/CK/NAM-EUP/I/2026</t>
  </si>
  <si>
    <t>AT11000158</t>
  </si>
  <si>
    <t>INTI INDOSAWIT SUBUR PT.</t>
  </si>
  <si>
    <t>APICAL</t>
  </si>
  <si>
    <t>TJB</t>
  </si>
  <si>
    <t>07007/C/10/90/25</t>
  </si>
  <si>
    <t>RB</t>
  </si>
  <si>
    <t>08001/C/10/90/25</t>
  </si>
  <si>
    <t>08004/C/10/90/25</t>
  </si>
  <si>
    <t>08005/C/10/90/25</t>
  </si>
  <si>
    <t>09003/C/10/90/25</t>
  </si>
  <si>
    <t>10026/C/10/90/25</t>
  </si>
  <si>
    <t>AT11000165</t>
  </si>
  <si>
    <t>MAKMUR ANDALAN SAWIT PT</t>
  </si>
  <si>
    <t>013/SPJB/CKG/MAS/VI/2025</t>
  </si>
  <si>
    <t>025/SPJB/CKG/MAS/VIII/2025</t>
  </si>
  <si>
    <t>044/SPJB/CKG/MAS/IX/2024</t>
  </si>
  <si>
    <t>AT11000181</t>
  </si>
  <si>
    <t>PALMA SERASIH INTERNASIONAL PT.</t>
  </si>
  <si>
    <t>PALMA_S</t>
  </si>
  <si>
    <t>AT11000184</t>
  </si>
  <si>
    <t>PUJUD KARYA SAWIT PT.</t>
  </si>
  <si>
    <t>PUJUD_KS</t>
  </si>
  <si>
    <t>161/KT-PKS/C/VIII/25</t>
  </si>
  <si>
    <t>179/KT-PKS/C/IX/25</t>
  </si>
  <si>
    <t>198/KT-PKS/C/X/25</t>
  </si>
  <si>
    <t>205/KT-PKS/C/XI/24</t>
  </si>
  <si>
    <t>223/KT-PKS/C/XII/24</t>
  </si>
  <si>
    <t>AT11000212</t>
  </si>
  <si>
    <t>MANDIRI SAWIT BERSAMA PT.</t>
  </si>
  <si>
    <t>ANUGERAH</t>
  </si>
  <si>
    <t>TJM</t>
  </si>
  <si>
    <t>CO/CPO/MSB2/020/09/25</t>
  </si>
  <si>
    <t>EO</t>
  </si>
  <si>
    <t>CO/CPO/MSB2/016/10/25</t>
  </si>
  <si>
    <t>CO/CPO/MSB2/018/10/25</t>
  </si>
  <si>
    <t>CO/CPO/MSB2/005/12/25</t>
  </si>
  <si>
    <t>CO/CPO/MSB2/007/12/25</t>
  </si>
  <si>
    <t>CO/CPO/MSB2/007/01/26</t>
  </si>
  <si>
    <t>AT11000235</t>
  </si>
  <si>
    <t>NIAGAMAS GEMILANG PT.</t>
  </si>
  <si>
    <t>JC_C</t>
  </si>
  <si>
    <t>NG-010/CPO/II/2026</t>
  </si>
  <si>
    <t>NG-011/CPO/II/2026</t>
  </si>
  <si>
    <t>NG-009/CPO/II/2026</t>
  </si>
  <si>
    <t>AT11000253</t>
  </si>
  <si>
    <t>MITRA ANDALAN SEJAHTERA PT.</t>
  </si>
  <si>
    <t>PARNA RAYA</t>
  </si>
  <si>
    <t>004/MAS-JJP/CANGKANG/X/2025</t>
  </si>
  <si>
    <t>8030-10.11101</t>
  </si>
  <si>
    <t>AT11000261</t>
  </si>
  <si>
    <t>MAULANA KARYA PERSADA PT.</t>
  </si>
  <si>
    <t>MKP</t>
  </si>
  <si>
    <t>AT11000319</t>
  </si>
  <si>
    <t>KHARISMA AGRO MAKMUR PT.</t>
  </si>
  <si>
    <t>KAM</t>
  </si>
  <si>
    <t>108/PKS-TRD/KAM-JJP/XI/2025</t>
  </si>
  <si>
    <t>AT11000347</t>
  </si>
  <si>
    <t>PERKEBUNAN NUSANTARA IV PT.</t>
  </si>
  <si>
    <t>0383/HOLDING/CPO-L/N-IV/XII/2023</t>
  </si>
  <si>
    <t>TBA</t>
  </si>
  <si>
    <t>0632/PALMCO/CPO-L/N-IV/VII/2024</t>
  </si>
  <si>
    <t>1909/HO-PALMCO/CPO-L/N-IV/XII/2024</t>
  </si>
  <si>
    <t>0081/HO-PALMCO/CPO-L/N-IV/I/2025</t>
  </si>
  <si>
    <t>0922/PALMCO/CPO-L/N-IV/X/2025</t>
  </si>
  <si>
    <t>1063/PALMCO/CPO-L/N-IV/XI/2025</t>
  </si>
  <si>
    <t>1133/PALMCO/CPO-L/N-IV/XI/2025</t>
  </si>
  <si>
    <t>AT11000378</t>
  </si>
  <si>
    <t>PERKEBUNAN NUSANTARA VII PT.</t>
  </si>
  <si>
    <t>0023/HOLD/CPO-L/N-VII/VI/2022</t>
  </si>
  <si>
    <t>AT11000379</t>
  </si>
  <si>
    <t>MITRA ABADI MAS SEJAHTERA PT.</t>
  </si>
  <si>
    <t>PEPUTRA</t>
  </si>
  <si>
    <t>101/MAS/C-POME/XI/2024</t>
  </si>
  <si>
    <t>8010-10.29011</t>
  </si>
  <si>
    <t>POME</t>
  </si>
  <si>
    <t>AT11000380</t>
  </si>
  <si>
    <t>RIGUNAS AGRI UTAMA PT.</t>
  </si>
  <si>
    <t>10001/C/41/90/25</t>
  </si>
  <si>
    <t>AT11000448</t>
  </si>
  <si>
    <t>KARYA SUKSES UTAMA PRIMA PT.</t>
  </si>
  <si>
    <t>002/KSU-CPO/J/I/2026</t>
  </si>
  <si>
    <t>004/KSU-CPO/J/I/2026</t>
  </si>
  <si>
    <t>005/KSU-CPO/J/I/2026</t>
  </si>
  <si>
    <t>AT11000628</t>
  </si>
  <si>
    <t>SENTOSA BUMI WIJAYA PT.</t>
  </si>
  <si>
    <t>CO/CPO/SBW-B/001/01/26</t>
  </si>
  <si>
    <t>CO/CPO/SBW-B/018/12/25</t>
  </si>
  <si>
    <t>CO/CPO/SBW-B/002/01/26</t>
  </si>
  <si>
    <t>CO/CPO/SBW-B/019/12/25</t>
  </si>
  <si>
    <t>CO/CPO/SBW-B/010/01/26</t>
  </si>
  <si>
    <t>CO/CPO/SBW-B/011/01/26</t>
  </si>
  <si>
    <t>CO/CPO/SBW-B/013/01/26</t>
  </si>
  <si>
    <t>CO/CPO/SBW-B/015/01/26</t>
  </si>
  <si>
    <t>CO/CPO/SBW-B/014/01/26</t>
  </si>
  <si>
    <t>AT11000696</t>
  </si>
  <si>
    <t>DONGAN MANDIRI CV.</t>
  </si>
  <si>
    <t>DONGAN_M</t>
  </si>
  <si>
    <t>-</t>
  </si>
  <si>
    <t>8010-10.29010</t>
  </si>
  <si>
    <t>AT11000701</t>
  </si>
  <si>
    <t>SWADAYA MUKTI PRAKARSA PT.</t>
  </si>
  <si>
    <t>MUKTI</t>
  </si>
  <si>
    <t>20000030/SMP/II/2025</t>
  </si>
  <si>
    <t>AT11000707</t>
  </si>
  <si>
    <t>PERKEBUNAN NUSANTARA II PT.</t>
  </si>
  <si>
    <t>0089/HOLDING/CPO-L/N-II/X/2023</t>
  </si>
  <si>
    <t>AT11000729</t>
  </si>
  <si>
    <t>ENVIRO ALAM PRATAMA PT.</t>
  </si>
  <si>
    <t>ENVIRO_AP</t>
  </si>
  <si>
    <t>EAP/CK/S-005/XI/2025</t>
  </si>
  <si>
    <t>EAP/POME/S-002/I/2026</t>
  </si>
  <si>
    <t>8013-10.29010</t>
  </si>
  <si>
    <t>EAP/POME/S-003/I/2026</t>
  </si>
  <si>
    <t>AT11000759</t>
  </si>
  <si>
    <t>KHARISMA PEMASARAN BERSAMA NUSANTAR</t>
  </si>
  <si>
    <t>KPBN</t>
  </si>
  <si>
    <t>SAL</t>
  </si>
  <si>
    <t>057/KPBN/TRD/POME-L/SB/VII/2022</t>
  </si>
  <si>
    <t>SB</t>
  </si>
  <si>
    <t>AT11000793</t>
  </si>
  <si>
    <t>PERKEBUNAN NUSANTARA I PT.</t>
  </si>
  <si>
    <t>KRW</t>
  </si>
  <si>
    <t>0001/PALMCO/CPO-L/N-I/I/2025</t>
  </si>
  <si>
    <t>PS</t>
  </si>
  <si>
    <t>AT11000804</t>
  </si>
  <si>
    <t>BATU MAS SEJAHTERA PT.</t>
  </si>
  <si>
    <t>AGROHOPE</t>
  </si>
  <si>
    <t>SJ02I01-00591</t>
  </si>
  <si>
    <t>8030-10.11109</t>
  </si>
  <si>
    <t>PK</t>
  </si>
  <si>
    <t>AT11000814</t>
  </si>
  <si>
    <t>KORI JAYA ABADI CV.</t>
  </si>
  <si>
    <t>KORI_JA</t>
  </si>
  <si>
    <t>033/KJA/CKG/GGL/EUP/I/2026</t>
  </si>
  <si>
    <t>AT11000830</t>
  </si>
  <si>
    <t>PERKASA SUBUR SAKTI PT.</t>
  </si>
  <si>
    <t>SIMEDARBYS</t>
  </si>
  <si>
    <t>00449/PSS/KTR-CPO/LOK/X/2024</t>
  </si>
  <si>
    <t>AT11000845</t>
  </si>
  <si>
    <t>ASIA PALEM LESTARI PT.</t>
  </si>
  <si>
    <t>APL</t>
  </si>
  <si>
    <t>002/APL-TSB/PK/I/2026</t>
  </si>
  <si>
    <t>AT11000856</t>
  </si>
  <si>
    <t>PANGKALAN BARU INDAH PT.</t>
  </si>
  <si>
    <t>PBI</t>
  </si>
  <si>
    <t>111/PBI/EUP/POME/XI/2024</t>
  </si>
  <si>
    <t>115/PBI/EUP/POME/XII/2024</t>
  </si>
  <si>
    <t>116/PBI/EUP/POME/XII/2024</t>
  </si>
  <si>
    <t>002/PBI/EUP/POME/I/2026</t>
  </si>
  <si>
    <t>112/PBI/PMC/POME/XI/2024</t>
  </si>
  <si>
    <t>PM</t>
  </si>
  <si>
    <t>AT11000880</t>
  </si>
  <si>
    <t>DANANJAYA SENTOSA SAWITA PT.</t>
  </si>
  <si>
    <t>DANANJAYA</t>
  </si>
  <si>
    <t>010/DSS/PERJ-POME/XII/2022</t>
  </si>
  <si>
    <t>NO KONTRAK : 101/DSS/PERJ-POME/I/2023</t>
  </si>
  <si>
    <t>106/DSS/PERJ-POME/II/2023</t>
  </si>
  <si>
    <t>AT11000885</t>
  </si>
  <si>
    <t>AGRINDO SAWIT PERKASA PT.</t>
  </si>
  <si>
    <t>AGRINDO_SP</t>
  </si>
  <si>
    <t>NO KONTRAK : ASP/SO-SLUDGEOIL/2212/002</t>
  </si>
  <si>
    <t>AT11000903</t>
  </si>
  <si>
    <t>AGRONOMI AGUNG PERSADA CV.</t>
  </si>
  <si>
    <t>AGRONOMI_A</t>
  </si>
  <si>
    <t>AT11000911</t>
  </si>
  <si>
    <t>INTAN CEMERLANG GEMILANG PT.</t>
  </si>
  <si>
    <t>ICG</t>
  </si>
  <si>
    <t>ICG001.KJB.01.23</t>
  </si>
  <si>
    <t>AT11000930</t>
  </si>
  <si>
    <t>MAKMUR PALMA LESTARI PT.</t>
  </si>
  <si>
    <t>MAKMUR_PL</t>
  </si>
  <si>
    <t>029/SPJB/CKG/MPL/IX/2024</t>
  </si>
  <si>
    <t>AT11000941</t>
  </si>
  <si>
    <t>WISESA HUTAMA MANDIRI PT.</t>
  </si>
  <si>
    <t>TPS</t>
  </si>
  <si>
    <t>110/WHM-EUP/CKG/IX/2025</t>
  </si>
  <si>
    <t>AT11000943</t>
  </si>
  <si>
    <t>SURYA PANEN SUBUR PT.</t>
  </si>
  <si>
    <t>AGRINA</t>
  </si>
  <si>
    <t>0023/SC/HO/SPSM/II/2026</t>
  </si>
  <si>
    <t>AT11000951</t>
  </si>
  <si>
    <t>SAWIT SUKSES SEJATI PT.</t>
  </si>
  <si>
    <t>C/001/90/90/1225</t>
  </si>
  <si>
    <t>AT11000995</t>
  </si>
  <si>
    <t>GOLDEN BIOMASS ENERGY PT.</t>
  </si>
  <si>
    <t>SINARMAS</t>
  </si>
  <si>
    <t>KMI</t>
  </si>
  <si>
    <t>8007102091 ; PO BERMASALAH KARENA BACK DATE</t>
  </si>
  <si>
    <t>8007102090 ; PO BERMASALAH KARENA BACK DATE</t>
  </si>
  <si>
    <t>AT11001000</t>
  </si>
  <si>
    <t>PRIMA PALM LATEX INDUSTRI PT.</t>
  </si>
  <si>
    <t>PRIMA_PLI</t>
  </si>
  <si>
    <t>CO/CPO/PPLI/021/11/25</t>
  </si>
  <si>
    <t>CO/CPO/PPLI/020/11/25</t>
  </si>
  <si>
    <t>AT11001059</t>
  </si>
  <si>
    <t>GLOBAL SAWIT SEMESTA PT.</t>
  </si>
  <si>
    <t>ASIAN_AGRI</t>
  </si>
  <si>
    <t>12005/CN76/02/25</t>
  </si>
  <si>
    <t>AT11002634</t>
  </si>
  <si>
    <t>SURYA INTI PALMOIL PT.</t>
  </si>
  <si>
    <t>SIP</t>
  </si>
  <si>
    <t>AT11002636</t>
  </si>
  <si>
    <t>MITRA AGRO REJEKI PT.</t>
  </si>
  <si>
    <t>TUM</t>
  </si>
  <si>
    <t>AT11002702</t>
  </si>
  <si>
    <t>BATANG PANE AGRO TUNGGAL PT.</t>
  </si>
  <si>
    <t>BATANG_P</t>
  </si>
  <si>
    <t>001/03/2023</t>
  </si>
  <si>
    <t>AT11002715</t>
  </si>
  <si>
    <t>LOGISTICS PRIME INDONESIA PT.</t>
  </si>
  <si>
    <t>LPI</t>
  </si>
  <si>
    <t>003/POME/LPI-SB/XII/2022</t>
  </si>
  <si>
    <t>AT11002716</t>
  </si>
  <si>
    <t>BIOMASS SOIL INDUSTRY</t>
  </si>
  <si>
    <t>BIOTINDO</t>
  </si>
  <si>
    <t>261/BIOTINDO-SB/POME/X/2024</t>
  </si>
  <si>
    <t>AT11002772</t>
  </si>
  <si>
    <t>SASMITA BUMI WIJAYA PT.</t>
  </si>
  <si>
    <t>SASMITA</t>
  </si>
  <si>
    <t>CO/CPO/SBW-S/016/01/26</t>
  </si>
  <si>
    <t>AT11002796</t>
  </si>
  <si>
    <t>DOTON PUTRA KANDIS PT.</t>
  </si>
  <si>
    <t>GMS</t>
  </si>
  <si>
    <t>004/DPK-JJP/CKG/IV/2025</t>
  </si>
  <si>
    <t>AT11002806</t>
  </si>
  <si>
    <t>JAYA BARU LINTAS CV.</t>
  </si>
  <si>
    <t>JAYA_BL</t>
  </si>
  <si>
    <t>008/JBL-EUP/VIII/2025</t>
  </si>
  <si>
    <t>014/JBL-EUP/X/2025</t>
  </si>
  <si>
    <t>017/JBL-EUP/XI/2025</t>
  </si>
  <si>
    <t>019/JBL-EUP/XII/2025</t>
  </si>
  <si>
    <t>AT11002827</t>
  </si>
  <si>
    <t>KUTAI SAWIT MANDIRI PT.</t>
  </si>
  <si>
    <t>KSM</t>
  </si>
  <si>
    <t>CO/CPO/KSM-K/007/12/25</t>
  </si>
  <si>
    <t>CO/CPO/KSM-K/008/12/25</t>
  </si>
  <si>
    <t>CO/CPO/KSM-K/009/12/25</t>
  </si>
  <si>
    <t>CO/CPO/KSM-K/010/12/25</t>
  </si>
  <si>
    <t>CO/CPO/KSM-K/012/12/25</t>
  </si>
  <si>
    <t>CO/CPO/KSM-K/001/01/26</t>
  </si>
  <si>
    <t>CO/CPO/KSM-K/002/01/26</t>
  </si>
  <si>
    <t>CO/CPO/KSM-K/003/01/26</t>
  </si>
  <si>
    <t>CO/CPO/KSM-K/004/01/26</t>
  </si>
  <si>
    <t>CO/CPO/KSM-K/005/01/26</t>
  </si>
  <si>
    <t>CO/CPO/KSM-K/006/01/26</t>
  </si>
  <si>
    <t>CO/CPO/KSM-K/007/01/26</t>
  </si>
  <si>
    <t>AT11002850</t>
  </si>
  <si>
    <t>PERMATA HIJAU INDONESIA PT.</t>
  </si>
  <si>
    <t>PHG</t>
  </si>
  <si>
    <t>JH1/25/0605/002/E16</t>
  </si>
  <si>
    <t>JH1/25/0711/001/E16</t>
  </si>
  <si>
    <t>JH1/25/0717/002/E16</t>
  </si>
  <si>
    <t>JH1/25/0805/001/E16</t>
  </si>
  <si>
    <t>JH1/25/0815/001/E16</t>
  </si>
  <si>
    <t>JH1/25/0916/001/E16</t>
  </si>
  <si>
    <t>JH1/25/1007/001/E16</t>
  </si>
  <si>
    <t>JH1/25/1020/001/E16</t>
  </si>
  <si>
    <t>JH1/25/1103/001/E16</t>
  </si>
  <si>
    <t>JH1/25/1113/003/E16</t>
  </si>
  <si>
    <t>AT11002851</t>
  </si>
  <si>
    <t>PERMATA HIJAU SAWIT PT.</t>
  </si>
  <si>
    <t>JS1/25/0605/001/E16</t>
  </si>
  <si>
    <t>JS1/25/1113/001/E16</t>
  </si>
  <si>
    <t>AT11002853</t>
  </si>
  <si>
    <t>CAHAYA GEMILANG SAWIT PT.</t>
  </si>
  <si>
    <t>CO/CPO/CGS-M/018/01/26</t>
  </si>
  <si>
    <t>CO/CPO/CGS-M/019/01/26</t>
  </si>
  <si>
    <t>CO/CPO/CGS-M/001/02/26</t>
  </si>
  <si>
    <t>CO/CPO/CGS-M/002/02/26</t>
  </si>
  <si>
    <t>CO/CPO/CGS-M/003/02/26</t>
  </si>
  <si>
    <t>CO/CPO/CGS-M/004/02/26</t>
  </si>
  <si>
    <t>CO/CPO/CGS-M/005/02/26</t>
  </si>
  <si>
    <t>AT11002856</t>
  </si>
  <si>
    <t>INTI SAWIT GEMILANG PT.</t>
  </si>
  <si>
    <t>INTI_SG</t>
  </si>
  <si>
    <t>023/EUP-ISG/CPO/V/2025</t>
  </si>
  <si>
    <t>AT11002868</t>
  </si>
  <si>
    <t>ROHUL PALMINDO PT.</t>
  </si>
  <si>
    <t>GRS/MRS</t>
  </si>
  <si>
    <t>002/RP-EUP/C/V/2025/01</t>
  </si>
  <si>
    <t>001/RP-EUP/C/VII/2025/01</t>
  </si>
  <si>
    <t>001/RP-EUP/C/XII/2025/01</t>
  </si>
  <si>
    <t>002/RP-EUP/C/I/2026/01</t>
  </si>
  <si>
    <t>AT11002881</t>
  </si>
  <si>
    <t>SAWIT MAKMUR PERKASA PT.</t>
  </si>
  <si>
    <t>010/SMP-CK/XI/2025</t>
  </si>
  <si>
    <t>AT11002925</t>
  </si>
  <si>
    <t>KOPERASI PRODUSEN SUAK PAYONG TIGA</t>
  </si>
  <si>
    <t>KOPERASI</t>
  </si>
  <si>
    <t>012/POME/KJG/EUP-KSPTB/XI/2025</t>
  </si>
  <si>
    <t>013/POME/KJG/EUP-KSPTB/XI/2025</t>
  </si>
  <si>
    <t>001/POME/KJG/EUP-KSPTB/I/2026</t>
  </si>
  <si>
    <t>003/PK/KJG/EUP-KSPTB/I/2026</t>
  </si>
  <si>
    <t>AT11002939</t>
  </si>
  <si>
    <t>KALIMANTAN SUBUR SAWIT PT.</t>
  </si>
  <si>
    <t>CO/CPO/KSS/007/01/26</t>
  </si>
  <si>
    <t>CO/CPO/KSS/006/01/26</t>
  </si>
  <si>
    <t>CO/CPO/KSS/010/01/26</t>
  </si>
  <si>
    <t>CO/CPO/KSS/009/01/26</t>
  </si>
  <si>
    <t>CO/CPO/KSS/008/01/26</t>
  </si>
  <si>
    <t>CO/CPO/KSS/013/01/26</t>
  </si>
  <si>
    <t>CO/CPO/KSS/004/02/26</t>
  </si>
  <si>
    <t>CO/CPO/KSS/006/02/26</t>
  </si>
  <si>
    <t>AT11002940</t>
  </si>
  <si>
    <t>ANUGRAH TANJUNG MEDAN PT.</t>
  </si>
  <si>
    <t>001/ATM2-EUP/C/VI/2025/01</t>
  </si>
  <si>
    <t>001/ATM2-EUP/C/VIII/2025/01</t>
  </si>
  <si>
    <t>001/ATM2-EUP/C/I/2026/01</t>
  </si>
  <si>
    <t>AT11002991</t>
  </si>
  <si>
    <t>SUMATRA BULKERS PT.</t>
  </si>
  <si>
    <t>AT21000001</t>
  </si>
  <si>
    <t>WAWASAN KEBUN NUSANTARA PT.</t>
  </si>
  <si>
    <t>INTERCO</t>
  </si>
  <si>
    <t>AT21000003</t>
  </si>
  <si>
    <t>PATIWARE PT.</t>
  </si>
  <si>
    <t>MARGA DINAMIK PERKASA PT.</t>
  </si>
  <si>
    <t>PERKEBUNAN ANAK NEGERI PASAMAN PT.</t>
  </si>
  <si>
    <t>AT21000004</t>
  </si>
  <si>
    <t>CITRA RIAU SARANA PT.</t>
  </si>
  <si>
    <t>RIU</t>
  </si>
  <si>
    <t>AT21000005</t>
  </si>
  <si>
    <t>CITRA MAHKOTA PT.</t>
  </si>
  <si>
    <t>AT21000006</t>
  </si>
  <si>
    <t>JATIMJAYA PERKASA PT.</t>
  </si>
  <si>
    <t>MULTIAGRO SUMATERAJAYA PT.</t>
  </si>
  <si>
    <t>LAUTAN SAWIT MAS PT</t>
  </si>
  <si>
    <t>AT21000009</t>
  </si>
  <si>
    <t>SAWIT UNGGUL AGRO NIAGA PT.</t>
  </si>
  <si>
    <t>AGRIPRIMA CIPTA PERSADA PT.</t>
  </si>
  <si>
    <t>AT21000010</t>
  </si>
  <si>
    <t>ALAM JAYA PERSADA PT.</t>
  </si>
  <si>
    <t>AT21000011</t>
  </si>
  <si>
    <t>TRITUNGGAL SENTRA BUANA PT.</t>
  </si>
  <si>
    <t>PERKEBUNAN KALTIM UTAMA I PT.</t>
  </si>
  <si>
    <t>BUMI SAWIT WIJAYA PT.</t>
  </si>
  <si>
    <t>SENTOSA ASIH MAKMUR PT.</t>
  </si>
  <si>
    <t>AT21000012</t>
  </si>
  <si>
    <t>GRAHA AGRO NUSANTARA PT.</t>
  </si>
  <si>
    <t>AT21000013</t>
  </si>
  <si>
    <t>WAHANA KARYA SEJAHTERA MANDIRI PT.</t>
  </si>
  <si>
    <t>AT21000017</t>
  </si>
  <si>
    <t>SN</t>
  </si>
  <si>
    <t>AJ</t>
  </si>
  <si>
    <t>AT21000018</t>
  </si>
  <si>
    <t>ENERGI UNGGUL PERSADA PT.</t>
  </si>
  <si>
    <t>MAS LESTARI PERKASA PT.</t>
  </si>
  <si>
    <t>8010-10.21700</t>
  </si>
  <si>
    <t>RBDPS</t>
  </si>
  <si>
    <t>AT21000027</t>
  </si>
  <si>
    <t>AGRINUSA PERSADA MULIA PT.</t>
  </si>
  <si>
    <t>MKE</t>
  </si>
  <si>
    <t>AT21000032</t>
  </si>
  <si>
    <t>PT</t>
  </si>
  <si>
    <t>AT21000040</t>
  </si>
  <si>
    <t>PRIMUS SANUS COOKING OIL INDUSTRIAL</t>
  </si>
  <si>
    <t>WAHANA PRIMA SEJATI PT.</t>
  </si>
  <si>
    <t>AT21000052</t>
  </si>
  <si>
    <t>AT21000079</t>
  </si>
  <si>
    <t>KARYA AGUNG MEGAH UTAMA PT.</t>
  </si>
  <si>
    <t>LN11000420</t>
  </si>
  <si>
    <t>LAWANA SUKSES NUSANTARA PT.</t>
  </si>
  <si>
    <t>LMI</t>
  </si>
  <si>
    <t>SEPANJANG INTI SURYA UTAMA 2 PT.</t>
  </si>
  <si>
    <t>251100012/SSU-EUP/CPO/III/2025</t>
  </si>
  <si>
    <t>YUDHA WAHANA ABADI PT.</t>
  </si>
  <si>
    <t>FAIRCO AGRO MANDIRI PT.</t>
  </si>
  <si>
    <t>033/CPO/FAM/VII/2024</t>
  </si>
  <si>
    <t>LN11001385</t>
  </si>
  <si>
    <t>ADI DAYA EXPRESS PT.</t>
  </si>
  <si>
    <t>ADIDAYA_E</t>
  </si>
  <si>
    <t>LN12000028</t>
  </si>
  <si>
    <t>MITRA KARYA MANUNGGAL TRANS PT.</t>
  </si>
  <si>
    <t>MKMT</t>
  </si>
  <si>
    <t>SANDABI INDAH LESTARI PT.</t>
  </si>
  <si>
    <t>BKS</t>
  </si>
  <si>
    <t>122/SIL-JKT/MAR/VII/2024</t>
  </si>
  <si>
    <t>LN12000034</t>
  </si>
  <si>
    <t>SUJATIM MAKMUR SUKSES PT</t>
  </si>
  <si>
    <t>SUJATIM_M</t>
  </si>
  <si>
    <t>TELEN PT.</t>
  </si>
  <si>
    <t>LN12000124</t>
  </si>
  <si>
    <t>S4</t>
  </si>
  <si>
    <t>MULIA BHAKTI KAHURIPAN PT.</t>
  </si>
  <si>
    <t>251050022/MBK-EUP/CPO/V/2025</t>
  </si>
  <si>
    <t>GN</t>
  </si>
  <si>
    <t>SA</t>
  </si>
  <si>
    <t>CM</t>
  </si>
  <si>
    <t>1131/PALMCO/CPO-L/N-IV/XI/2025</t>
  </si>
  <si>
    <t>241050067/MBK-EUP/CPO/XI/2024</t>
  </si>
  <si>
    <t>LN12000860</t>
  </si>
  <si>
    <t>WAHANA ARTA MULIA PT.</t>
  </si>
  <si>
    <t>WAHANA_AM</t>
  </si>
  <si>
    <t>003/YBS-RSB/CKG/IV/2025</t>
  </si>
  <si>
    <t>007/YBS-RSB/CKG/VIII/2025</t>
  </si>
  <si>
    <t>112-CLS/CKG/II/2025</t>
  </si>
  <si>
    <t>120-CLS/CKG/II/2025</t>
  </si>
  <si>
    <t>131-CLS/CKG/IV/2025</t>
  </si>
  <si>
    <t>LN32000001</t>
  </si>
  <si>
    <t>SUMATRASARANA SEKAR SAKTI PT</t>
  </si>
  <si>
    <t>8010-10.34000</t>
  </si>
  <si>
    <t>RIPS</t>
  </si>
  <si>
    <t>GRAND TOTAL</t>
  </si>
  <si>
    <t>KPN GROUP</t>
  </si>
  <si>
    <t>RECAP OUTSTANDING CLAIM QUALITY - ALL REGION</t>
  </si>
  <si>
    <t>VENDORCODE</t>
  </si>
  <si>
    <t>GROUPOF VENDOR</t>
  </si>
  <si>
    <t>0-30</t>
  </si>
  <si>
    <t>31-60</t>
  </si>
  <si>
    <t>61-90</t>
  </si>
  <si>
    <t>&gt;91 Days</t>
  </si>
  <si>
    <t>CREATEDBY</t>
  </si>
  <si>
    <t>CRNO</t>
  </si>
  <si>
    <t>OS DAYS</t>
  </si>
  <si>
    <t>NOPO</t>
  </si>
  <si>
    <t>COMM DESC</t>
  </si>
  <si>
    <t>COMPANY CODE</t>
  </si>
  <si>
    <t>JLH CLAIM YG DI AJUKAN</t>
  </si>
  <si>
    <t>QUANTITY (KG)</t>
  </si>
  <si>
    <t xml:space="preserve">  AMOUNT BEFORE TAX(IDR)  </t>
  </si>
  <si>
    <t>TAX (IDR)</t>
  </si>
  <si>
    <t xml:space="preserve">  AMOUNT AFTER TAX(IDR)  </t>
  </si>
  <si>
    <t>PERIODE : S/D 28 FEBRUARI 2026</t>
  </si>
  <si>
    <t>KETERANGAN</t>
  </si>
  <si>
    <t>METODE PAYMENT</t>
  </si>
  <si>
    <t>GROUP</t>
  </si>
  <si>
    <t>TYPE COMP</t>
  </si>
  <si>
    <t>AGING</t>
  </si>
  <si>
    <t>&lt;30 days</t>
  </si>
  <si>
    <t>30 - 60 days</t>
  </si>
  <si>
    <t>&gt; 60 - 90 days</t>
  </si>
  <si>
    <t>&gt;90 days</t>
  </si>
  <si>
    <t>NEGO, TRADER JESSLYN</t>
  </si>
  <si>
    <t>TRANSFER</t>
  </si>
  <si>
    <t>3RD PARTY (SUPPLIER)</t>
  </si>
  <si>
    <t>DWS - 3RD PARTY</t>
  </si>
  <si>
    <t>AKAN TF</t>
  </si>
  <si>
    <t>POTONG INVOICE</t>
  </si>
  <si>
    <t>3RD PARTY (TRANSPORTIR)</t>
  </si>
  <si>
    <t>POTONG DI STO</t>
  </si>
  <si>
    <t>POTONG INV, EUP BLM BAYAR</t>
  </si>
  <si>
    <t>RENCANA WAIVE, TRADER LEO</t>
  </si>
  <si>
    <t>RENCANA WAIVE</t>
  </si>
  <si>
    <t>UPS - 3RD PARTY</t>
  </si>
  <si>
    <t>POTONG INV, EOP BLM BAYAR</t>
  </si>
  <si>
    <t>NEGO 50%, TRADER LEO</t>
  </si>
  <si>
    <t>POTONG INV, TSB BLM BAYAR</t>
  </si>
  <si>
    <t>ON NEGOTIATION, TRADER JESSLYN</t>
  </si>
  <si>
    <t>RENCANA WAIVE, TRADER RAFI</t>
  </si>
  <si>
    <t>POTONG INV PO 1001026480</t>
  </si>
  <si>
    <t>POTONG INV  (+ Klaim 1001024208 , 1001025335, 1001025905)</t>
  </si>
  <si>
    <t>PROSES REKONSILIASI DENGAN PTPN</t>
  </si>
  <si>
    <t>CROSSWITH TAGIHAN LOGISTIK</t>
  </si>
  <si>
    <t>3RD PARTY (SURVEYOR)</t>
  </si>
  <si>
    <t>POTONG INV, PINO BLM DIBUAT</t>
  </si>
  <si>
    <t>RENCANA WAIVED, PIC LOGISTIK</t>
  </si>
  <si>
    <t>ON NEGOTIATION, TRADER SILVIA</t>
  </si>
  <si>
    <t>DOC CLEAR, AKAN TF</t>
  </si>
  <si>
    <t>AKAN TF. ISSUE FP</t>
  </si>
  <si>
    <t>NEGO DISKON, TRADER LEO</t>
  </si>
  <si>
    <t>POTONG PAKSA DI STO</t>
  </si>
  <si>
    <t>POTONG INV</t>
  </si>
  <si>
    <t>INTERCO (INHOUSE)</t>
  </si>
  <si>
    <t>DWS - UPS</t>
  </si>
  <si>
    <t>RECAP OUTSTANDING CLAIM QUALITY - BEKASI</t>
  </si>
  <si>
    <t>RECAP OUTSTANDING CLAIM QUALITY - BONTANG</t>
  </si>
  <si>
    <t>RECAP OUTSTANDING CLAIM QUALITY - TANJUNG PURA</t>
  </si>
  <si>
    <t>RECAP OUTSTANDING CLAIM QUALITY - KUMAI</t>
  </si>
  <si>
    <t>RECAP OUTSTANDING CLAIM QUALITY - KARAWANG</t>
  </si>
  <si>
    <t>RECAP OUTSTANDING CLAIM QUALITY - LUBUK GAUNG</t>
  </si>
  <si>
    <t>RECAP OUTSTANDING CLAIM QUALITY - MERAUKE</t>
  </si>
  <si>
    <t>RECAP OUTSTANDING CLAIM QUALITY - RIAU</t>
  </si>
  <si>
    <t>RECAP OUTSTANDING CLAIM QUALITY - SALO PALAI (TRADING PLANT)</t>
  </si>
  <si>
    <t>RECAP OUTSTANDING CLAIM QUALITY - TANJUNG BUTON</t>
  </si>
  <si>
    <t>RECAP OUTSTANDING CLAIM QUALITY - TANJUNG MORAWA</t>
  </si>
  <si>
    <t>&gt; 91 Days</t>
  </si>
  <si>
    <t>POTONG INV, UNPAID</t>
  </si>
  <si>
    <t>COMPA</t>
  </si>
  <si>
    <t>JUMLAH CLAIM DISETUJUI</t>
  </si>
  <si>
    <t>VENDOR DESCRIPTION</t>
  </si>
  <si>
    <t>GROUP KEY</t>
  </si>
  <si>
    <t>TRADERS</t>
  </si>
  <si>
    <t>NO CR</t>
  </si>
  <si>
    <t>CLAIM DATE</t>
  </si>
  <si>
    <t>CM DATE</t>
  </si>
  <si>
    <t>NO PO</t>
  </si>
  <si>
    <t>COMMODITY</t>
  </si>
  <si>
    <t>CLA</t>
  </si>
  <si>
    <t>CODE</t>
  </si>
  <si>
    <t>TYPE OF</t>
  </si>
  <si>
    <t>SURAT CLAIM</t>
  </si>
  <si>
    <t>CLAIM</t>
  </si>
  <si>
    <t>QUANTITY</t>
  </si>
  <si>
    <t>AMOUNT BEFORE</t>
  </si>
  <si>
    <t>TAX</t>
  </si>
  <si>
    <t>AMOUNT AFTER</t>
  </si>
  <si>
    <t>(IDR)</t>
  </si>
  <si>
    <t>AT11000011</t>
  </si>
  <si>
    <t>PALMDALE AGROASIA LESTARI MAKMUR PT</t>
  </si>
  <si>
    <t>PALMDALE</t>
  </si>
  <si>
    <t>Edwin Sant</t>
  </si>
  <si>
    <t>05.05.2025</t>
  </si>
  <si>
    <t>MUTU</t>
  </si>
  <si>
    <t>09.05.2025</t>
  </si>
  <si>
    <t>Faryn Dean</t>
  </si>
  <si>
    <t>AT11000080</t>
  </si>
  <si>
    <t>RANA WASTU KENCANA PT.</t>
  </si>
  <si>
    <t>20.01.2026</t>
  </si>
  <si>
    <t>AT11000086</t>
  </si>
  <si>
    <t>TRI PALMINDO SEJAHTERA PT</t>
  </si>
  <si>
    <t>Alfred Jon</t>
  </si>
  <si>
    <t>AT11000110</t>
  </si>
  <si>
    <t>KENCANA AGRO PERSADA PT</t>
  </si>
  <si>
    <t>Leonardo S</t>
  </si>
  <si>
    <t>AT11000111</t>
  </si>
  <si>
    <t>KENCANA UTAMA SEJATI PT</t>
  </si>
  <si>
    <t>AT11000119</t>
  </si>
  <si>
    <t>TANJUNG BUYU PERKASA PLANTATION PT.</t>
  </si>
  <si>
    <t>TELADAN_P</t>
  </si>
  <si>
    <t>19.12.2025</t>
  </si>
  <si>
    <t>12.02.2026</t>
  </si>
  <si>
    <t>AT11000153</t>
  </si>
  <si>
    <t>ARYA RAMA PRAKARSA PT</t>
  </si>
  <si>
    <t>Rafi Lubis</t>
  </si>
  <si>
    <t>Silvia Kos</t>
  </si>
  <si>
    <t>16.09.2025</t>
  </si>
  <si>
    <t>18.09.2025</t>
  </si>
  <si>
    <t>Firas Hara</t>
  </si>
  <si>
    <t>AT11000266</t>
  </si>
  <si>
    <t>NALA PALMA CADUDASA PT</t>
  </si>
  <si>
    <t>NALA PALMA</t>
  </si>
  <si>
    <t>26.01.2026</t>
  </si>
  <si>
    <t>AT11000307</t>
  </si>
  <si>
    <t>PALEM AGRO MAS PT.</t>
  </si>
  <si>
    <t>PAM</t>
  </si>
  <si>
    <t>AT11000369</t>
  </si>
  <si>
    <t>SARI DUMAI SEJATI PT.</t>
  </si>
  <si>
    <t>Irma Sri U</t>
  </si>
  <si>
    <t>23.01.2026</t>
  </si>
  <si>
    <t>AT11000455</t>
  </si>
  <si>
    <t>ADHIRADJA CHANDRA BUANA</t>
  </si>
  <si>
    <t>Elfrida Ha</t>
  </si>
  <si>
    <t>AT11000564</t>
  </si>
  <si>
    <t>TOBABARA</t>
  </si>
  <si>
    <t>AT11000616</t>
  </si>
  <si>
    <t>PUTRA SANJAYA CV.</t>
  </si>
  <si>
    <t>PUTRA_S</t>
  </si>
  <si>
    <t>16.12.2025</t>
  </si>
  <si>
    <t>02.01.2026</t>
  </si>
  <si>
    <t>07.01.2026</t>
  </si>
  <si>
    <t>08.01.2026</t>
  </si>
  <si>
    <t>AT11000651</t>
  </si>
  <si>
    <t>LINGGA TIGA SAWIT PT.</t>
  </si>
  <si>
    <t>Angella Li</t>
  </si>
  <si>
    <t>AT11000773</t>
  </si>
  <si>
    <t>MULIA AGRIBISNIS CV.</t>
  </si>
  <si>
    <t>MULIA_AB</t>
  </si>
  <si>
    <t>AT11000921</t>
  </si>
  <si>
    <t>TIMURJAYA INDOMAKMUR PT.</t>
  </si>
  <si>
    <t>TAN_KL</t>
  </si>
  <si>
    <t>15.12.2025</t>
  </si>
  <si>
    <t>17.12.2025</t>
  </si>
  <si>
    <t>AT11000939</t>
  </si>
  <si>
    <t>BUKIT PALEM PT.</t>
  </si>
  <si>
    <t>BUKIT_P</t>
  </si>
  <si>
    <t>19.01.2026</t>
  </si>
  <si>
    <t>AT11000997</t>
  </si>
  <si>
    <t>BUMI TAMIANG SENTOSA PT.</t>
  </si>
  <si>
    <t>BUMI_TAM</t>
  </si>
  <si>
    <t>AT11001001</t>
  </si>
  <si>
    <t>K2 INDUSTRIES INDONESIA PT.</t>
  </si>
  <si>
    <t>K2_II</t>
  </si>
  <si>
    <t>AT11001013</t>
  </si>
  <si>
    <t>BERLIAN NUSANTARA PERKASA PT.</t>
  </si>
  <si>
    <t>BERLIAN_NP</t>
  </si>
  <si>
    <t>AT11001054</t>
  </si>
  <si>
    <t>VASBIT PRIMA NIAGA PT.</t>
  </si>
  <si>
    <t>KAYAN</t>
  </si>
  <si>
    <t>AT11002656</t>
  </si>
  <si>
    <t>BUMI TATA LESTARI PT.</t>
  </si>
  <si>
    <t>AT11002669</t>
  </si>
  <si>
    <t>LANANG AGRO BERSATU PT.</t>
  </si>
  <si>
    <t>SAMPOERNA</t>
  </si>
  <si>
    <t>AT11002687</t>
  </si>
  <si>
    <t>DINAMIKAPRIMA ARTHA PT.</t>
  </si>
  <si>
    <t>DPA</t>
  </si>
  <si>
    <t>AT11002712</t>
  </si>
  <si>
    <t>INDAH SUBUR SAWIT PT.</t>
  </si>
  <si>
    <t>AT11002722</t>
  </si>
  <si>
    <t>NUSANTARA ANDAL MANDIRI PT.</t>
  </si>
  <si>
    <t>NAM</t>
  </si>
  <si>
    <t>AT11002724</t>
  </si>
  <si>
    <t>BUKIT BINTANG SAWIT PT.</t>
  </si>
  <si>
    <t>MAS</t>
  </si>
  <si>
    <t>AT11002725</t>
  </si>
  <si>
    <t>LIMAS SAWIT SEJAHTERA PT.</t>
  </si>
  <si>
    <t>LIMAS_SS</t>
  </si>
  <si>
    <t>13.05.2025</t>
  </si>
  <si>
    <t>AT11002803</t>
  </si>
  <si>
    <t>XELIN MAJU SEJAHTERA CV.</t>
  </si>
  <si>
    <t>XELIN_MS</t>
  </si>
  <si>
    <t>09.07.2025</t>
  </si>
  <si>
    <t>AT11002847</t>
  </si>
  <si>
    <t>TUJUH SERANGKAI SAWIT PERDANA PT.</t>
  </si>
  <si>
    <t>SAWIT_SP</t>
  </si>
  <si>
    <t>AT11002852</t>
  </si>
  <si>
    <t>MUSTIKA AGUNG SAWIT SEJAHTERA PT.</t>
  </si>
  <si>
    <t>MUSTIKA_A</t>
  </si>
  <si>
    <t>Engel Dyta</t>
  </si>
  <si>
    <t>23.06.2025</t>
  </si>
  <si>
    <t>22.12.2025</t>
  </si>
  <si>
    <t>AT11002912</t>
  </si>
  <si>
    <t>FAJAR PRATAMA JAYA PT.</t>
  </si>
  <si>
    <t>FAJAR_PJ</t>
  </si>
  <si>
    <t>AT11400019</t>
  </si>
  <si>
    <t>PALEM SEGAR LESTARI PT</t>
  </si>
  <si>
    <t>AT11400046</t>
  </si>
  <si>
    <t>ROXXON AGRI ENERGY PT.</t>
  </si>
  <si>
    <t>AT11400048</t>
  </si>
  <si>
    <t>TASLIM MUBARAQAH GROUP PT.</t>
  </si>
  <si>
    <t>TASLIM</t>
  </si>
  <si>
    <t>06.01.2026</t>
  </si>
  <si>
    <t>TRD-HO Trd</t>
  </si>
  <si>
    <t>AT21000007</t>
  </si>
  <si>
    <t>TH INDO PLANTATIONS PT.</t>
  </si>
  <si>
    <t>AT21000015</t>
  </si>
  <si>
    <t>HARAPAN SAWIT SEJAHTERAH PT.</t>
  </si>
  <si>
    <t>REKAP REALISASI CLAIM QUALITY - ALL REGION</t>
  </si>
  <si>
    <t>NETTO</t>
  </si>
  <si>
    <t>MUTU CLAIM</t>
  </si>
  <si>
    <t>VENDOR TYPE</t>
  </si>
  <si>
    <t>ACCOUNT GROUP Desc.</t>
  </si>
  <si>
    <t>KEBUN</t>
  </si>
  <si>
    <t>MATERIAL DESCRIPTION</t>
  </si>
  <si>
    <t>TYPE OF CURRE SURAT CLAIM</t>
  </si>
  <si>
    <t>Kirim</t>
  </si>
  <si>
    <t>UoM</t>
  </si>
  <si>
    <t>Terima</t>
  </si>
  <si>
    <t>FFA/KOT</t>
  </si>
  <si>
    <t>M&amp;I</t>
  </si>
  <si>
    <t>DNS</t>
  </si>
  <si>
    <t>3rd PARTY</t>
  </si>
  <si>
    <t>Local-Trd For Third</t>
  </si>
  <si>
    <t>PLANT EUP BONTA</t>
  </si>
  <si>
    <t>PALM KERNEL (PK)</t>
  </si>
  <si>
    <t>CRUDE PALM OIL FFA 3.5-5</t>
  </si>
  <si>
    <t>SHELL PALM GGL</t>
  </si>
  <si>
    <t>PORT LOKTUAN</t>
  </si>
  <si>
    <t>POME (PALM OIL MILL EFFLUENT) OIL INS</t>
  </si>
  <si>
    <t>PORT PSL</t>
  </si>
  <si>
    <t>Local-Trd For Intercompany</t>
  </si>
  <si>
    <t>INHOUSE</t>
  </si>
  <si>
    <t>POM SUAN</t>
  </si>
  <si>
    <t>POM AJP</t>
  </si>
  <si>
    <t>POM TSB</t>
  </si>
  <si>
    <t>PORT BUDONG BUD</t>
  </si>
  <si>
    <t>PORT PONDONG</t>
  </si>
  <si>
    <t>PORT MERAUKE</t>
  </si>
  <si>
    <t>GRANDTOTAL</t>
  </si>
  <si>
    <t>REKAP REALISASI CLAIM QUALITY  - BONTANG</t>
  </si>
  <si>
    <t>REKAP REALISASI CLAIM QUALITY  - TANJUNG PURA</t>
  </si>
  <si>
    <t>PORT TANJUNG PU</t>
  </si>
  <si>
    <t>PLANT EUP TANJU</t>
  </si>
  <si>
    <t>PLANT EUP KIJIN</t>
  </si>
  <si>
    <t>POM WKN</t>
  </si>
  <si>
    <t>POM PTW</t>
  </si>
  <si>
    <t>POM CMA</t>
  </si>
  <si>
    <t>PORT SUNGAI GUN</t>
  </si>
  <si>
    <t>POM SAM</t>
  </si>
  <si>
    <t>POM GAN</t>
  </si>
  <si>
    <t>POM PANP</t>
  </si>
  <si>
    <t>PORT TALANG DUK</t>
  </si>
  <si>
    <t>REKAP REALISASI CLAIM QUALITY  - KARAWANG</t>
  </si>
  <si>
    <t>REKAP REALISASI CLAIM QUALITY  -  LUBUK GAUNG</t>
  </si>
  <si>
    <t>PLANT EUP LUBUK</t>
  </si>
  <si>
    <t>POME (PALM OIL MILL EFFLUENT) OIL ISCC</t>
  </si>
  <si>
    <t>REKAP REALISASI CLAIM QUALITY  -  TANJUNG BUTON</t>
  </si>
  <si>
    <t>PLANT RSB TJ. B</t>
  </si>
  <si>
    <t>PLANT EOP TJ MO</t>
  </si>
  <si>
    <t>REKAP REALISASI CLAIM QUALITY  -  TANJUNG MORAWA</t>
  </si>
  <si>
    <t>PERIODE : 1 S/D 5 MARET 2026</t>
  </si>
  <si>
    <t>02.03.2026</t>
  </si>
  <si>
    <t>AT11000206</t>
  </si>
  <si>
    <t>SAMUDERA SAWIT SUBUR PT.</t>
  </si>
  <si>
    <t>03.03.2026</t>
  </si>
  <si>
    <t>05.03.2026</t>
  </si>
  <si>
    <t>AT11000425</t>
  </si>
  <si>
    <t>MSJ</t>
  </si>
  <si>
    <t>04.03.2026</t>
  </si>
  <si>
    <t>AT11002826</t>
  </si>
  <si>
    <t>JAYA BERSINAR SEJAHTERA PT.</t>
  </si>
  <si>
    <t>SSP</t>
  </si>
  <si>
    <t>AT11400006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</si>
</sst>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_-* #,##0.00_-;\-* #,##0.00_-;_-* &quot;-&quot;_-;_-@_-"/>
    <numFmt numFmtId="168" formatCode="_-* #,##0.0_-;\-* #,##0.0_-;_-* &quot;-&quot;_-;_-@_-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Monospaced"/>
    </font>
    <font>
      <sz val="10"/>
      <color theme="1"/>
      <name val="Courier New"/>
      <family val="3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sz val="10"/>
      <color rgb="FFFF0000"/>
      <name val="Courier New"/>
      <family val="3"/>
    </font>
    <font>
      <sz val="10"/>
      <name val="Courier New"/>
      <family val="3"/>
    </font>
    <font>
      <b/>
      <sz val="10"/>
      <color theme="1"/>
      <name val="Courier New"/>
      <family val="3"/>
    </font>
    <font>
      <b/>
      <sz val="12"/>
      <color rgb="FF000000"/>
      <name val="Courier New"/>
      <family val="3"/>
    </font>
    <font>
      <b/>
      <sz val="12"/>
      <color theme="9" tint="0.59999389629810485"/>
      <name val="Courier New"/>
      <family val="3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DCBFD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16">
    <xf numFmtId="0" fontId="0" fillId="0" borderId="0" xfId="0"/>
    <xf numFmtId="0" fontId="19" fillId="0" borderId="10" xfId="0" applyFont="1" applyFill="1" applyBorder="1" applyAlignment="1">
      <alignment wrapText="1"/>
    </xf>
    <xf numFmtId="0" fontId="0" fillId="0" borderId="0" xfId="0" applyFont="1" applyFill="1"/>
    <xf numFmtId="0" fontId="19" fillId="33" borderId="10" xfId="0" applyFont="1" applyFill="1" applyBorder="1" applyAlignment="1">
      <alignment wrapText="1"/>
    </xf>
    <xf numFmtId="0" fontId="20" fillId="0" borderId="0" xfId="0" applyFont="1" applyAlignment="1">
      <alignment horizontal="left"/>
    </xf>
    <xf numFmtId="0" fontId="0" fillId="34" borderId="0" xfId="0" applyFont="1" applyFill="1"/>
    <xf numFmtId="0" fontId="21" fillId="34" borderId="0" xfId="0" applyFont="1" applyFill="1"/>
    <xf numFmtId="0" fontId="0" fillId="34" borderId="0" xfId="0" applyFont="1" applyFill="1" applyAlignment="1">
      <alignment horizontal="left" indent="1"/>
    </xf>
    <xf numFmtId="0" fontId="20" fillId="35" borderId="13" xfId="0" applyFont="1" applyFill="1" applyBorder="1" applyAlignment="1">
      <alignment horizontal="center" wrapText="1"/>
    </xf>
    <xf numFmtId="0" fontId="20" fillId="35" borderId="14" xfId="0" applyFont="1" applyFill="1" applyBorder="1" applyAlignment="1">
      <alignment horizontal="center" wrapText="1"/>
    </xf>
    <xf numFmtId="0" fontId="20" fillId="35" borderId="15" xfId="0" applyFont="1" applyFill="1" applyBorder="1" applyAlignment="1">
      <alignment horizontal="center" wrapText="1"/>
    </xf>
    <xf numFmtId="0" fontId="22" fillId="35" borderId="15" xfId="0" applyFont="1" applyFill="1" applyBorder="1" applyAlignment="1">
      <alignment horizontal="center" wrapText="1"/>
    </xf>
    <xf numFmtId="0" fontId="17" fillId="0" borderId="0" xfId="0" applyFont="1"/>
    <xf numFmtId="0" fontId="17" fillId="34" borderId="0" xfId="0" applyFont="1" applyFill="1" applyAlignment="1">
      <alignment horizontal="center" vertical="center"/>
    </xf>
    <xf numFmtId="0" fontId="20" fillId="35" borderId="13" xfId="0" applyFont="1" applyFill="1" applyBorder="1" applyAlignment="1">
      <alignment horizontal="center" vertical="center" wrapText="1"/>
    </xf>
    <xf numFmtId="0" fontId="20" fillId="35" borderId="14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2" fillId="35" borderId="15" xfId="0" applyFont="1" applyFill="1" applyBorder="1" applyAlignment="1">
      <alignment horizontal="center" vertical="center" wrapText="1"/>
    </xf>
    <xf numFmtId="166" fontId="0" fillId="0" borderId="0" xfId="1" applyNumberFormat="1" applyFont="1" applyFill="1"/>
    <xf numFmtId="1" fontId="20" fillId="35" borderId="13" xfId="0" applyNumberFormat="1" applyFont="1" applyFill="1" applyBorder="1" applyAlignment="1">
      <alignment horizontal="center" vertical="center" wrapText="1"/>
    </xf>
    <xf numFmtId="1" fontId="20" fillId="35" borderId="14" xfId="0" applyNumberFormat="1" applyFont="1" applyFill="1" applyBorder="1" applyAlignment="1">
      <alignment horizontal="center" vertical="center" wrapText="1"/>
    </xf>
    <xf numFmtId="166" fontId="20" fillId="35" borderId="21" xfId="1" applyNumberFormat="1" applyFont="1" applyFill="1" applyBorder="1" applyAlignment="1">
      <alignment horizontal="center" vertical="center" wrapText="1"/>
    </xf>
    <xf numFmtId="166" fontId="20" fillId="35" borderId="22" xfId="1" applyNumberFormat="1" applyFont="1" applyFill="1" applyBorder="1" applyAlignment="1">
      <alignment horizontal="center" vertical="center" wrapText="1"/>
    </xf>
    <xf numFmtId="1" fontId="20" fillId="35" borderId="15" xfId="0" applyNumberFormat="1" applyFont="1" applyFill="1" applyBorder="1" applyAlignment="1">
      <alignment horizontal="center" vertical="center" wrapText="1"/>
    </xf>
    <xf numFmtId="166" fontId="20" fillId="35" borderId="26" xfId="1" applyNumberFormat="1" applyFont="1" applyFill="1" applyBorder="1" applyAlignment="1">
      <alignment horizontal="center" vertical="center" wrapText="1"/>
    </xf>
    <xf numFmtId="1" fontId="22" fillId="35" borderId="15" xfId="0" applyNumberFormat="1" applyFont="1" applyFill="1" applyBorder="1" applyAlignment="1">
      <alignment horizontal="center" vertical="center" wrapText="1"/>
    </xf>
    <xf numFmtId="165" fontId="22" fillId="33" borderId="10" xfId="1" applyFont="1" applyFill="1" applyBorder="1" applyAlignment="1">
      <alignment horizontal="center" vertical="center" wrapText="1"/>
    </xf>
    <xf numFmtId="166" fontId="22" fillId="35" borderId="15" xfId="1" applyNumberFormat="1" applyFont="1" applyFill="1" applyBorder="1" applyAlignment="1">
      <alignment horizontal="center" vertical="center" wrapText="1"/>
    </xf>
    <xf numFmtId="166" fontId="22" fillId="35" borderId="23" xfId="1" applyNumberFormat="1" applyFont="1" applyFill="1" applyBorder="1" applyAlignment="1">
      <alignment horizontal="center" vertical="center" wrapText="1"/>
    </xf>
    <xf numFmtId="166" fontId="22" fillId="35" borderId="22" xfId="1" applyNumberFormat="1" applyFont="1" applyFill="1" applyBorder="1" applyAlignment="1">
      <alignment horizontal="center" vertical="center" wrapText="1"/>
    </xf>
    <xf numFmtId="0" fontId="16" fillId="36" borderId="13" xfId="0" applyFont="1" applyFill="1" applyBorder="1" applyAlignment="1">
      <alignment horizontal="center" wrapText="1"/>
    </xf>
    <xf numFmtId="0" fontId="16" fillId="36" borderId="14" xfId="0" applyFont="1" applyFill="1" applyBorder="1" applyAlignment="1">
      <alignment horizontal="center" wrapText="1"/>
    </xf>
    <xf numFmtId="0" fontId="16" fillId="36" borderId="15" xfId="0" applyFont="1" applyFill="1" applyBorder="1" applyAlignment="1">
      <alignment horizontal="center" wrapText="1"/>
    </xf>
    <xf numFmtId="0" fontId="20" fillId="36" borderId="13" xfId="0" applyFont="1" applyFill="1" applyBorder="1" applyAlignment="1">
      <alignment horizontal="center" vertical="center" wrapText="1"/>
    </xf>
    <xf numFmtId="0" fontId="20" fillId="36" borderId="14" xfId="0" applyFont="1" applyFill="1" applyBorder="1" applyAlignment="1">
      <alignment horizontal="center" vertical="center" wrapText="1"/>
    </xf>
    <xf numFmtId="0" fontId="20" fillId="36" borderId="15" xfId="0" applyFont="1" applyFill="1" applyBorder="1" applyAlignment="1">
      <alignment horizontal="center" vertical="center" wrapText="1"/>
    </xf>
    <xf numFmtId="0" fontId="22" fillId="36" borderId="15" xfId="0" applyFont="1" applyFill="1" applyBorder="1" applyAlignment="1">
      <alignment horizontal="center" vertical="center" wrapText="1"/>
    </xf>
    <xf numFmtId="166" fontId="20" fillId="37" borderId="22" xfId="1" applyNumberFormat="1" applyFont="1" applyFill="1" applyBorder="1" applyAlignment="1">
      <alignment horizontal="center" vertical="center"/>
    </xf>
    <xf numFmtId="166" fontId="20" fillId="37" borderId="22" xfId="1" applyNumberFormat="1" applyFont="1" applyFill="1" applyBorder="1" applyAlignment="1">
      <alignment horizontal="center" vertical="center" wrapText="1"/>
    </xf>
    <xf numFmtId="166" fontId="23" fillId="37" borderId="30" xfId="1" applyNumberFormat="1" applyFont="1" applyFill="1" applyBorder="1" applyAlignment="1">
      <alignment horizontal="center" vertical="center" wrapText="1"/>
    </xf>
    <xf numFmtId="165" fontId="0" fillId="0" borderId="0" xfId="1" applyFont="1" applyFill="1"/>
    <xf numFmtId="165" fontId="20" fillId="35" borderId="20" xfId="1" applyFont="1" applyFill="1" applyBorder="1" applyAlignment="1">
      <alignment horizontal="center" vertical="center" wrapText="1"/>
    </xf>
    <xf numFmtId="165" fontId="20" fillId="35" borderId="25" xfId="1" applyFont="1" applyFill="1" applyBorder="1" applyAlignment="1">
      <alignment horizontal="center" vertical="center" wrapText="1"/>
    </xf>
    <xf numFmtId="165" fontId="22" fillId="35" borderId="15" xfId="1" applyFont="1" applyFill="1" applyBorder="1" applyAlignment="1">
      <alignment horizontal="center" vertical="center" wrapText="1"/>
    </xf>
    <xf numFmtId="165" fontId="19" fillId="0" borderId="10" xfId="1" applyFont="1" applyFill="1" applyBorder="1" applyAlignment="1">
      <alignment wrapText="1"/>
    </xf>
    <xf numFmtId="166" fontId="19" fillId="0" borderId="10" xfId="1" applyNumberFormat="1" applyFont="1" applyFill="1" applyBorder="1" applyAlignment="1">
      <alignment wrapText="1"/>
    </xf>
    <xf numFmtId="166" fontId="19" fillId="0" borderId="11" xfId="1" applyNumberFormat="1" applyFont="1" applyFill="1" applyBorder="1" applyAlignment="1">
      <alignment wrapText="1"/>
    </xf>
    <xf numFmtId="0" fontId="19" fillId="0" borderId="10" xfId="0" applyFont="1" applyFill="1" applyBorder="1" applyAlignment="1">
      <alignment horizontal="center" vertical="center" wrapText="1"/>
    </xf>
    <xf numFmtId="0" fontId="19" fillId="34" borderId="22" xfId="0" applyFont="1" applyFill="1" applyBorder="1" applyAlignment="1">
      <alignment wrapText="1"/>
    </xf>
    <xf numFmtId="0" fontId="19" fillId="38" borderId="10" xfId="0" applyFont="1" applyFill="1" applyBorder="1" applyAlignment="1">
      <alignment wrapText="1"/>
    </xf>
    <xf numFmtId="0" fontId="19" fillId="34" borderId="22" xfId="0" applyFont="1" applyFill="1" applyBorder="1" applyAlignment="1"/>
    <xf numFmtId="0" fontId="19" fillId="34" borderId="10" xfId="0" applyFont="1" applyFill="1" applyBorder="1" applyAlignment="1">
      <alignment wrapText="1"/>
    </xf>
    <xf numFmtId="0" fontId="24" fillId="34" borderId="22" xfId="0" applyFont="1" applyFill="1" applyBorder="1" applyAlignment="1"/>
    <xf numFmtId="0" fontId="25" fillId="34" borderId="22" xfId="0" applyFont="1" applyFill="1" applyBorder="1" applyAlignment="1"/>
    <xf numFmtId="0" fontId="19" fillId="34" borderId="22" xfId="0" applyFont="1" applyFill="1" applyBorder="1"/>
    <xf numFmtId="166" fontId="19" fillId="0" borderId="22" xfId="1" applyNumberFormat="1" applyFont="1" applyFill="1" applyBorder="1" applyAlignment="1">
      <alignment horizontal="center" vertical="center" wrapText="1"/>
    </xf>
    <xf numFmtId="0" fontId="19" fillId="39" borderId="10" xfId="0" applyFont="1" applyFill="1" applyBorder="1" applyAlignment="1">
      <alignment wrapText="1"/>
    </xf>
    <xf numFmtId="165" fontId="19" fillId="39" borderId="10" xfId="1" applyFont="1" applyFill="1" applyBorder="1" applyAlignment="1">
      <alignment wrapText="1"/>
    </xf>
    <xf numFmtId="166" fontId="19" fillId="39" borderId="10" xfId="1" applyNumberFormat="1" applyFont="1" applyFill="1" applyBorder="1" applyAlignment="1">
      <alignment wrapText="1"/>
    </xf>
    <xf numFmtId="0" fontId="26" fillId="33" borderId="10" xfId="0" applyFont="1" applyFill="1" applyBorder="1" applyAlignment="1">
      <alignment wrapText="1"/>
    </xf>
    <xf numFmtId="165" fontId="26" fillId="33" borderId="10" xfId="1" applyFont="1" applyFill="1" applyBorder="1" applyAlignment="1">
      <alignment wrapText="1"/>
    </xf>
    <xf numFmtId="166" fontId="26" fillId="33" borderId="10" xfId="1" applyNumberFormat="1" applyFont="1" applyFill="1" applyBorder="1" applyAlignment="1">
      <alignment wrapText="1"/>
    </xf>
    <xf numFmtId="0" fontId="20" fillId="34" borderId="0" xfId="0" applyFont="1" applyFill="1" applyAlignment="1">
      <alignment horizontal="left"/>
    </xf>
    <xf numFmtId="0" fontId="0" fillId="34" borderId="0" xfId="0" applyFill="1"/>
    <xf numFmtId="165" fontId="0" fillId="34" borderId="0" xfId="1" applyFont="1" applyFill="1"/>
    <xf numFmtId="166" fontId="0" fillId="34" borderId="0" xfId="1" applyNumberFormat="1" applyFont="1" applyFill="1"/>
    <xf numFmtId="0" fontId="18" fillId="34" borderId="0" xfId="0" applyFont="1" applyFill="1" applyAlignment="1">
      <alignment horizontal="left" indent="1"/>
    </xf>
    <xf numFmtId="0" fontId="28" fillId="35" borderId="15" xfId="0" applyFont="1" applyFill="1" applyBorder="1" applyAlignment="1">
      <alignment horizontal="center" vertical="center"/>
    </xf>
    <xf numFmtId="1" fontId="28" fillId="35" borderId="15" xfId="0" applyNumberFormat="1" applyFont="1" applyFill="1" applyBorder="1" applyAlignment="1">
      <alignment horizontal="center" vertical="center"/>
    </xf>
    <xf numFmtId="165" fontId="28" fillId="35" borderId="15" xfId="1" applyFont="1" applyFill="1" applyBorder="1" applyAlignment="1">
      <alignment horizontal="center" vertical="center"/>
    </xf>
    <xf numFmtId="166" fontId="28" fillId="35" borderId="15" xfId="1" applyNumberFormat="1" applyFont="1" applyFill="1" applyBorder="1" applyAlignment="1">
      <alignment horizontal="center" vertical="center"/>
    </xf>
    <xf numFmtId="166" fontId="28" fillId="35" borderId="23" xfId="1" applyNumberFormat="1" applyFont="1" applyFill="1" applyBorder="1" applyAlignment="1">
      <alignment horizontal="center" vertical="center"/>
    </xf>
    <xf numFmtId="166" fontId="28" fillId="35" borderId="22" xfId="1" applyNumberFormat="1" applyFont="1" applyFill="1" applyBorder="1" applyAlignment="1">
      <alignment horizontal="center" vertical="center"/>
    </xf>
    <xf numFmtId="165" fontId="19" fillId="34" borderId="10" xfId="1" applyFont="1" applyFill="1" applyBorder="1" applyAlignment="1">
      <alignment wrapText="1"/>
    </xf>
    <xf numFmtId="166" fontId="19" fillId="34" borderId="10" xfId="1" applyNumberFormat="1" applyFont="1" applyFill="1" applyBorder="1" applyAlignment="1">
      <alignment wrapText="1"/>
    </xf>
    <xf numFmtId="0" fontId="19" fillId="39" borderId="10" xfId="0" applyFont="1" applyFill="1" applyBorder="1" applyAlignment="1"/>
    <xf numFmtId="165" fontId="19" fillId="39" borderId="10" xfId="1" applyFont="1" applyFill="1" applyBorder="1" applyAlignment="1"/>
    <xf numFmtId="166" fontId="19" fillId="39" borderId="10" xfId="1" applyNumberFormat="1" applyFont="1" applyFill="1" applyBorder="1" applyAlignment="1"/>
    <xf numFmtId="0" fontId="26" fillId="33" borderId="10" xfId="0" applyFont="1" applyFill="1" applyBorder="1" applyAlignment="1"/>
    <xf numFmtId="165" fontId="26" fillId="33" borderId="10" xfId="1" applyFont="1" applyFill="1" applyBorder="1" applyAlignment="1"/>
    <xf numFmtId="166" fontId="26" fillId="33" borderId="10" xfId="1" applyNumberFormat="1" applyFont="1" applyFill="1" applyBorder="1" applyAlignment="1"/>
    <xf numFmtId="166" fontId="19" fillId="33" borderId="10" xfId="1" applyNumberFormat="1" applyFont="1" applyFill="1" applyBorder="1" applyAlignment="1">
      <alignment wrapText="1"/>
    </xf>
    <xf numFmtId="166" fontId="0" fillId="0" borderId="0" xfId="1" applyNumberFormat="1" applyFont="1"/>
    <xf numFmtId="0" fontId="16" fillId="0" borderId="0" xfId="0" applyFont="1"/>
    <xf numFmtId="0" fontId="0" fillId="43" borderId="22" xfId="0" applyFont="1" applyFill="1" applyBorder="1" applyAlignment="1">
      <alignment horizontal="right"/>
    </xf>
    <xf numFmtId="0" fontId="0" fillId="43" borderId="22" xfId="0" applyFont="1" applyFill="1" applyBorder="1" applyAlignment="1"/>
    <xf numFmtId="4" fontId="0" fillId="43" borderId="22" xfId="0" applyNumberFormat="1" applyFont="1" applyFill="1" applyBorder="1" applyAlignment="1">
      <alignment horizontal="right"/>
    </xf>
    <xf numFmtId="0" fontId="0" fillId="43" borderId="22" xfId="0" applyFont="1" applyFill="1" applyBorder="1" applyAlignment="1">
      <alignment vertical="center"/>
    </xf>
    <xf numFmtId="0" fontId="16" fillId="42" borderId="22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0" fillId="40" borderId="22" xfId="0" applyFont="1" applyFill="1" applyBorder="1" applyAlignment="1"/>
    <xf numFmtId="0" fontId="16" fillId="38" borderId="22" xfId="0" applyFont="1" applyFill="1" applyBorder="1" applyAlignment="1"/>
    <xf numFmtId="168" fontId="0" fillId="0" borderId="0" xfId="43" applyNumberFormat="1" applyFont="1"/>
    <xf numFmtId="168" fontId="16" fillId="42" borderId="22" xfId="43" applyNumberFormat="1" applyFont="1" applyFill="1" applyBorder="1" applyAlignment="1">
      <alignment horizontal="center"/>
    </xf>
    <xf numFmtId="168" fontId="0" fillId="43" borderId="22" xfId="43" applyNumberFormat="1" applyFont="1" applyFill="1" applyBorder="1" applyAlignment="1">
      <alignment horizontal="right"/>
    </xf>
    <xf numFmtId="168" fontId="0" fillId="40" borderId="22" xfId="43" applyNumberFormat="1" applyFont="1" applyFill="1" applyBorder="1" applyAlignment="1"/>
    <xf numFmtId="168" fontId="16" fillId="38" borderId="22" xfId="43" applyNumberFormat="1" applyFont="1" applyFill="1" applyBorder="1" applyAlignment="1"/>
    <xf numFmtId="0" fontId="0" fillId="43" borderId="22" xfId="0" applyFont="1" applyFill="1" applyBorder="1" applyAlignment="1">
      <alignment horizontal="right" wrapText="1"/>
    </xf>
    <xf numFmtId="0" fontId="0" fillId="43" borderId="22" xfId="0" applyFont="1" applyFill="1" applyBorder="1" applyAlignment="1">
      <alignment wrapText="1"/>
    </xf>
    <xf numFmtId="4" fontId="0" fillId="43" borderId="22" xfId="0" applyNumberFormat="1" applyFont="1" applyFill="1" applyBorder="1" applyAlignment="1">
      <alignment horizontal="right" wrapText="1"/>
    </xf>
    <xf numFmtId="0" fontId="0" fillId="40" borderId="22" xfId="0" applyFont="1" applyFill="1" applyBorder="1" applyAlignment="1">
      <alignment wrapText="1"/>
    </xf>
    <xf numFmtId="4" fontId="0" fillId="40" borderId="22" xfId="0" applyNumberFormat="1" applyFont="1" applyFill="1" applyBorder="1" applyAlignment="1">
      <alignment horizontal="right" wrapText="1"/>
    </xf>
    <xf numFmtId="0" fontId="16" fillId="38" borderId="22" xfId="0" applyFont="1" applyFill="1" applyBorder="1" applyAlignment="1">
      <alignment wrapText="1"/>
    </xf>
    <xf numFmtId="4" fontId="16" fillId="38" borderId="22" xfId="0" applyNumberFormat="1" applyFont="1" applyFill="1" applyBorder="1" applyAlignment="1">
      <alignment horizontal="right" wrapText="1"/>
    </xf>
    <xf numFmtId="167" fontId="0" fillId="0" borderId="0" xfId="43" applyNumberFormat="1" applyFont="1"/>
    <xf numFmtId="167" fontId="0" fillId="43" borderId="22" xfId="43" applyNumberFormat="1" applyFont="1" applyFill="1" applyBorder="1" applyAlignment="1">
      <alignment horizontal="right" wrapText="1"/>
    </xf>
    <xf numFmtId="167" fontId="0" fillId="40" borderId="22" xfId="43" applyNumberFormat="1" applyFont="1" applyFill="1" applyBorder="1" applyAlignment="1">
      <alignment wrapText="1"/>
    </xf>
    <xf numFmtId="167" fontId="16" fillId="38" borderId="22" xfId="43" applyNumberFormat="1" applyFont="1" applyFill="1" applyBorder="1" applyAlignment="1">
      <alignment wrapText="1"/>
    </xf>
    <xf numFmtId="0" fontId="0" fillId="42" borderId="22" xfId="0" applyFont="1" applyFill="1" applyBorder="1" applyAlignment="1">
      <alignment wrapText="1"/>
    </xf>
    <xf numFmtId="0" fontId="0" fillId="42" borderId="22" xfId="0" applyFont="1" applyFill="1" applyBorder="1" applyAlignment="1">
      <alignment vertical="center"/>
    </xf>
    <xf numFmtId="0" fontId="0" fillId="40" borderId="22" xfId="0" applyFont="1" applyFill="1" applyBorder="1" applyAlignment="1">
      <alignment horizontal="right" wrapText="1"/>
    </xf>
    <xf numFmtId="0" fontId="0" fillId="0" borderId="0" xfId="0" applyAlignment="1">
      <alignment horizontal="center"/>
    </xf>
    <xf numFmtId="167" fontId="0" fillId="0" borderId="0" xfId="43" applyNumberFormat="1" applyFont="1" applyAlignment="1">
      <alignment horizontal="center"/>
    </xf>
    <xf numFmtId="0" fontId="0" fillId="43" borderId="22" xfId="0" applyFont="1" applyFill="1" applyBorder="1" applyAlignment="1">
      <alignment horizontal="center"/>
    </xf>
    <xf numFmtId="4" fontId="0" fillId="43" borderId="22" xfId="0" applyNumberFormat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0" fillId="40" borderId="22" xfId="0" applyFont="1" applyFill="1" applyBorder="1" applyAlignment="1">
      <alignment horizontal="center"/>
    </xf>
    <xf numFmtId="0" fontId="16" fillId="38" borderId="22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43" borderId="22" xfId="0" applyNumberFormat="1" applyFont="1" applyFill="1" applyBorder="1" applyAlignment="1">
      <alignment horizontal="right"/>
    </xf>
    <xf numFmtId="1" fontId="0" fillId="40" borderId="22" xfId="0" applyNumberFormat="1" applyFont="1" applyFill="1" applyBorder="1" applyAlignment="1"/>
    <xf numFmtId="1" fontId="16" fillId="38" borderId="22" xfId="0" applyNumberFormat="1" applyFont="1" applyFill="1" applyBorder="1" applyAlignment="1"/>
    <xf numFmtId="0" fontId="0" fillId="34" borderId="22" xfId="0" applyFont="1" applyFill="1" applyBorder="1" applyAlignment="1">
      <alignment horizontal="right"/>
    </xf>
    <xf numFmtId="0" fontId="0" fillId="34" borderId="22" xfId="0" applyFont="1" applyFill="1" applyBorder="1" applyAlignment="1"/>
    <xf numFmtId="4" fontId="0" fillId="34" borderId="22" xfId="0" applyNumberFormat="1" applyFont="1" applyFill="1" applyBorder="1" applyAlignment="1">
      <alignment horizontal="right"/>
    </xf>
    <xf numFmtId="0" fontId="0" fillId="34" borderId="22" xfId="0" applyFont="1" applyFill="1" applyBorder="1" applyAlignment="1">
      <alignment vertical="center"/>
    </xf>
    <xf numFmtId="164" fontId="0" fillId="0" borderId="0" xfId="43" applyFont="1" applyAlignment="1">
      <alignment horizontal="center"/>
    </xf>
    <xf numFmtId="3" fontId="0" fillId="43" borderId="22" xfId="0" applyNumberFormat="1" applyFont="1" applyFill="1" applyBorder="1" applyAlignment="1">
      <alignment horizontal="right" wrapText="1"/>
    </xf>
    <xf numFmtId="0" fontId="0" fillId="41" borderId="0" xfId="0" applyFill="1" applyAlignment="1">
      <alignment horizontal="center"/>
    </xf>
    <xf numFmtId="167" fontId="0" fillId="41" borderId="0" xfId="43" applyNumberFormat="1" applyFont="1" applyFill="1" applyAlignment="1">
      <alignment horizontal="center"/>
    </xf>
    <xf numFmtId="167" fontId="0" fillId="41" borderId="0" xfId="43" applyNumberFormat="1" applyFont="1" applyFill="1"/>
    <xf numFmtId="0" fontId="0" fillId="41" borderId="0" xfId="0" applyFill="1"/>
    <xf numFmtId="168" fontId="0" fillId="41" borderId="0" xfId="43" applyNumberFormat="1" applyFont="1" applyFill="1"/>
    <xf numFmtId="164" fontId="0" fillId="41" borderId="0" xfId="43" applyFont="1" applyFill="1" applyAlignment="1">
      <alignment horizontal="center"/>
    </xf>
    <xf numFmtId="0" fontId="16" fillId="42" borderId="22" xfId="0" applyFont="1" applyFill="1" applyBorder="1" applyAlignment="1">
      <alignment horizontal="center"/>
    </xf>
    <xf numFmtId="168" fontId="16" fillId="42" borderId="22" xfId="43" applyNumberFormat="1" applyFont="1" applyFill="1" applyBorder="1" applyAlignment="1">
      <alignment horizontal="center"/>
    </xf>
    <xf numFmtId="0" fontId="16" fillId="42" borderId="22" xfId="0" applyFont="1" applyFill="1" applyBorder="1" applyAlignment="1">
      <alignment horizontal="center"/>
    </xf>
    <xf numFmtId="0" fontId="0" fillId="34" borderId="0" xfId="0" applyFill="1" applyAlignment="1">
      <alignment horizontal="center"/>
    </xf>
    <xf numFmtId="0" fontId="19" fillId="34" borderId="10" xfId="0" applyFont="1" applyFill="1" applyBorder="1" applyAlignment="1">
      <alignment horizontal="center" wrapText="1"/>
    </xf>
    <xf numFmtId="0" fontId="19" fillId="39" borderId="10" xfId="0" applyFont="1" applyFill="1" applyBorder="1" applyAlignment="1">
      <alignment horizontal="center" wrapText="1"/>
    </xf>
    <xf numFmtId="0" fontId="26" fillId="33" borderId="10" xfId="0" applyFont="1" applyFill="1" applyBorder="1" applyAlignment="1">
      <alignment horizontal="center" wrapText="1"/>
    </xf>
    <xf numFmtId="0" fontId="0" fillId="34" borderId="0" xfId="0" applyFont="1" applyFill="1" applyAlignment="1">
      <alignment horizontal="center"/>
    </xf>
    <xf numFmtId="166" fontId="16" fillId="42" borderId="22" xfId="1" applyNumberFormat="1" applyFont="1" applyFill="1" applyBorder="1" applyAlignment="1">
      <alignment horizontal="center"/>
    </xf>
    <xf numFmtId="166" fontId="0" fillId="34" borderId="22" xfId="1" applyNumberFormat="1" applyFont="1" applyFill="1" applyBorder="1" applyAlignment="1">
      <alignment horizontal="right"/>
    </xf>
    <xf numFmtId="166" fontId="0" fillId="34" borderId="22" xfId="1" applyNumberFormat="1" applyFont="1" applyFill="1" applyBorder="1" applyAlignment="1"/>
    <xf numFmtId="166" fontId="0" fillId="40" borderId="22" xfId="1" applyNumberFormat="1" applyFont="1" applyFill="1" applyBorder="1" applyAlignment="1">
      <alignment horizontal="right"/>
    </xf>
    <xf numFmtId="166" fontId="0" fillId="40" borderId="22" xfId="1" applyNumberFormat="1" applyFont="1" applyFill="1" applyBorder="1" applyAlignment="1"/>
    <xf numFmtId="166" fontId="16" fillId="38" borderId="22" xfId="1" applyNumberFormat="1" applyFont="1" applyFill="1" applyBorder="1" applyAlignment="1">
      <alignment horizontal="right"/>
    </xf>
    <xf numFmtId="166" fontId="16" fillId="38" borderId="22" xfId="1" applyNumberFormat="1" applyFont="1" applyFill="1" applyBorder="1" applyAlignment="1"/>
    <xf numFmtId="166" fontId="0" fillId="41" borderId="0" xfId="1" applyNumberFormat="1" applyFont="1" applyFill="1"/>
    <xf numFmtId="166" fontId="0" fillId="43" borderId="22" xfId="1" applyNumberFormat="1" applyFont="1" applyFill="1" applyBorder="1" applyAlignment="1">
      <alignment horizontal="right"/>
    </xf>
    <xf numFmtId="166" fontId="0" fillId="43" borderId="22" xfId="1" applyNumberFormat="1" applyFont="1" applyFill="1" applyBorder="1" applyAlignment="1"/>
    <xf numFmtId="166" fontId="0" fillId="43" borderId="22" xfId="1" applyNumberFormat="1" applyFont="1" applyFill="1" applyBorder="1" applyAlignment="1">
      <alignment horizontal="right" wrapText="1"/>
    </xf>
    <xf numFmtId="166" fontId="0" fillId="43" borderId="22" xfId="1" applyNumberFormat="1" applyFont="1" applyFill="1" applyBorder="1" applyAlignment="1">
      <alignment wrapText="1"/>
    </xf>
    <xf numFmtId="166" fontId="0" fillId="40" borderId="22" xfId="1" applyNumberFormat="1" applyFont="1" applyFill="1" applyBorder="1" applyAlignment="1">
      <alignment horizontal="right" wrapText="1"/>
    </xf>
    <xf numFmtId="166" fontId="0" fillId="40" borderId="22" xfId="1" applyNumberFormat="1" applyFont="1" applyFill="1" applyBorder="1" applyAlignment="1">
      <alignment wrapText="1"/>
    </xf>
    <xf numFmtId="166" fontId="16" fillId="38" borderId="22" xfId="1" applyNumberFormat="1" applyFont="1" applyFill="1" applyBorder="1" applyAlignment="1">
      <alignment horizontal="right" wrapText="1"/>
    </xf>
    <xf numFmtId="166" fontId="16" fillId="38" borderId="22" xfId="1" applyNumberFormat="1" applyFont="1" applyFill="1" applyBorder="1" applyAlignment="1">
      <alignment wrapText="1"/>
    </xf>
    <xf numFmtId="166" fontId="0" fillId="0" borderId="0" xfId="1" applyNumberFormat="1" applyFont="1" applyAlignment="1">
      <alignment horizontal="center"/>
    </xf>
    <xf numFmtId="166" fontId="0" fillId="43" borderId="22" xfId="1" applyNumberFormat="1" applyFont="1" applyFill="1" applyBorder="1" applyAlignment="1">
      <alignment horizontal="center"/>
    </xf>
    <xf numFmtId="166" fontId="0" fillId="40" borderId="22" xfId="1" applyNumberFormat="1" applyFont="1" applyFill="1" applyBorder="1" applyAlignment="1">
      <alignment horizontal="center"/>
    </xf>
    <xf numFmtId="166" fontId="16" fillId="38" borderId="22" xfId="1" applyNumberFormat="1" applyFont="1" applyFill="1" applyBorder="1" applyAlignment="1">
      <alignment horizontal="center"/>
    </xf>
    <xf numFmtId="166" fontId="0" fillId="41" borderId="0" xfId="1" applyNumberFormat="1" applyFont="1" applyFill="1" applyAlignment="1">
      <alignment horizontal="center"/>
    </xf>
    <xf numFmtId="0" fontId="0" fillId="43" borderId="22" xfId="0" applyFont="1" applyFill="1" applyBorder="1" applyAlignment="1">
      <alignment horizontal="left"/>
    </xf>
    <xf numFmtId="0" fontId="0" fillId="40" borderId="22" xfId="0" applyFont="1" applyFill="1" applyBorder="1" applyAlignment="1">
      <alignment horizontal="left"/>
    </xf>
    <xf numFmtId="0" fontId="0" fillId="0" borderId="0" xfId="0" applyFont="1" applyFill="1" applyAlignment="1">
      <alignment horizontal="center"/>
    </xf>
    <xf numFmtId="166" fontId="20" fillId="35" borderId="20" xfId="1" applyNumberFormat="1" applyFont="1" applyFill="1" applyBorder="1" applyAlignment="1">
      <alignment horizontal="center" vertical="center" wrapText="1"/>
    </xf>
    <xf numFmtId="166" fontId="20" fillId="35" borderId="25" xfId="1" applyNumberFormat="1" applyFont="1" applyFill="1" applyBorder="1" applyAlignment="1">
      <alignment horizontal="center" vertical="center" wrapText="1"/>
    </xf>
    <xf numFmtId="165" fontId="16" fillId="33" borderId="16" xfId="1" applyFont="1" applyFill="1" applyBorder="1" applyAlignment="1">
      <alignment horizontal="center" vertical="center" wrapText="1"/>
    </xf>
    <xf numFmtId="165" fontId="16" fillId="33" borderId="17" xfId="1" applyFont="1" applyFill="1" applyBorder="1" applyAlignment="1">
      <alignment horizontal="center" vertical="center" wrapText="1"/>
    </xf>
    <xf numFmtId="165" fontId="16" fillId="33" borderId="19" xfId="1" applyFont="1" applyFill="1" applyBorder="1" applyAlignment="1">
      <alignment horizontal="center" vertical="center" wrapText="1"/>
    </xf>
    <xf numFmtId="165" fontId="16" fillId="33" borderId="0" xfId="1" applyFont="1" applyFill="1" applyBorder="1" applyAlignment="1">
      <alignment horizontal="center" vertical="center" wrapText="1"/>
    </xf>
    <xf numFmtId="165" fontId="16" fillId="33" borderId="23" xfId="1" applyFont="1" applyFill="1" applyBorder="1" applyAlignment="1">
      <alignment horizontal="center" vertical="center" wrapText="1"/>
    </xf>
    <xf numFmtId="165" fontId="16" fillId="33" borderId="24" xfId="1" applyFont="1" applyFill="1" applyBorder="1" applyAlignment="1">
      <alignment horizontal="center" vertical="center" wrapText="1"/>
    </xf>
    <xf numFmtId="165" fontId="20" fillId="35" borderId="16" xfId="1" applyFont="1" applyFill="1" applyBorder="1" applyAlignment="1">
      <alignment horizontal="center" vertical="center" wrapText="1"/>
    </xf>
    <xf numFmtId="166" fontId="20" fillId="35" borderId="17" xfId="1" applyNumberFormat="1" applyFont="1" applyFill="1" applyBorder="1" applyAlignment="1">
      <alignment horizontal="center" vertical="center" wrapText="1"/>
    </xf>
    <xf numFmtId="166" fontId="20" fillId="35" borderId="18" xfId="1" applyNumberFormat="1" applyFont="1" applyFill="1" applyBorder="1" applyAlignment="1">
      <alignment horizontal="center" vertical="center" wrapText="1"/>
    </xf>
    <xf numFmtId="166" fontId="20" fillId="37" borderId="27" xfId="1" applyNumberFormat="1" applyFont="1" applyFill="1" applyBorder="1" applyAlignment="1">
      <alignment horizontal="center" vertical="center"/>
    </xf>
    <xf numFmtId="166" fontId="20" fillId="37" borderId="28" xfId="1" applyNumberFormat="1" applyFont="1" applyFill="1" applyBorder="1" applyAlignment="1">
      <alignment horizontal="center" vertical="center"/>
    </xf>
    <xf numFmtId="166" fontId="20" fillId="37" borderId="29" xfId="1" applyNumberFormat="1" applyFont="1" applyFill="1" applyBorder="1" applyAlignment="1">
      <alignment horizontal="center" vertical="center"/>
    </xf>
    <xf numFmtId="166" fontId="20" fillId="35" borderId="16" xfId="1" applyNumberFormat="1" applyFont="1" applyFill="1" applyBorder="1" applyAlignment="1">
      <alignment horizontal="center" vertical="center" wrapText="1"/>
    </xf>
    <xf numFmtId="0" fontId="20" fillId="35" borderId="13" xfId="0" applyFont="1" applyFill="1" applyBorder="1" applyAlignment="1">
      <alignment horizontal="center" vertical="center" wrapText="1"/>
    </xf>
    <xf numFmtId="0" fontId="20" fillId="35" borderId="14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0" fillId="42" borderId="22" xfId="0" applyFont="1" applyFill="1" applyBorder="1" applyAlignment="1">
      <alignment wrapText="1"/>
    </xf>
    <xf numFmtId="0" fontId="16" fillId="42" borderId="22" xfId="0" applyFont="1" applyFill="1" applyBorder="1" applyAlignment="1">
      <alignment horizontal="center"/>
    </xf>
    <xf numFmtId="168" fontId="16" fillId="42" borderId="22" xfId="43" applyNumberFormat="1" applyFont="1" applyFill="1" applyBorder="1" applyAlignment="1">
      <alignment horizontal="center"/>
    </xf>
    <xf numFmtId="166" fontId="16" fillId="42" borderId="34" xfId="1" applyNumberFormat="1" applyFont="1" applyFill="1" applyBorder="1" applyAlignment="1">
      <alignment horizontal="center" vertical="center"/>
    </xf>
    <xf numFmtId="166" fontId="16" fillId="42" borderId="35" xfId="1" applyNumberFormat="1" applyFont="1" applyFill="1" applyBorder="1" applyAlignment="1">
      <alignment horizontal="center" vertical="center"/>
    </xf>
    <xf numFmtId="166" fontId="16" fillId="42" borderId="36" xfId="1" applyNumberFormat="1" applyFont="1" applyFill="1" applyBorder="1" applyAlignment="1">
      <alignment horizontal="center" vertical="center"/>
    </xf>
    <xf numFmtId="166" fontId="16" fillId="42" borderId="37" xfId="1" applyNumberFormat="1" applyFont="1" applyFill="1" applyBorder="1" applyAlignment="1">
      <alignment horizontal="center" vertical="center"/>
    </xf>
    <xf numFmtId="166" fontId="16" fillId="42" borderId="38" xfId="1" applyNumberFormat="1" applyFont="1" applyFill="1" applyBorder="1" applyAlignment="1">
      <alignment horizontal="center" vertical="center"/>
    </xf>
    <xf numFmtId="166" fontId="16" fillId="42" borderId="39" xfId="1" applyNumberFormat="1" applyFont="1" applyFill="1" applyBorder="1" applyAlignment="1">
      <alignment horizontal="center" vertical="center"/>
    </xf>
    <xf numFmtId="166" fontId="27" fillId="35" borderId="11" xfId="1" applyNumberFormat="1" applyFont="1" applyFill="1" applyBorder="1" applyAlignment="1">
      <alignment horizontal="center"/>
    </xf>
    <xf numFmtId="166" fontId="27" fillId="35" borderId="12" xfId="1" applyNumberFormat="1" applyFont="1" applyFill="1" applyBorder="1" applyAlignment="1">
      <alignment horizontal="center"/>
    </xf>
    <xf numFmtId="166" fontId="27" fillId="35" borderId="31" xfId="1" applyNumberFormat="1" applyFont="1" applyFill="1" applyBorder="1" applyAlignment="1">
      <alignment horizontal="center"/>
    </xf>
    <xf numFmtId="166" fontId="27" fillId="35" borderId="20" xfId="1" applyNumberFormat="1" applyFont="1" applyFill="1" applyBorder="1" applyAlignment="1">
      <alignment horizontal="center" vertical="center"/>
    </xf>
    <xf numFmtId="166" fontId="27" fillId="35" borderId="25" xfId="1" applyNumberFormat="1" applyFont="1" applyFill="1" applyBorder="1" applyAlignment="1">
      <alignment horizontal="center" vertical="center"/>
    </xf>
    <xf numFmtId="166" fontId="27" fillId="35" borderId="21" xfId="1" applyNumberFormat="1" applyFont="1" applyFill="1" applyBorder="1" applyAlignment="1">
      <alignment horizontal="center" vertical="center"/>
    </xf>
    <xf numFmtId="166" fontId="27" fillId="35" borderId="26" xfId="1" applyNumberFormat="1" applyFont="1" applyFill="1" applyBorder="1" applyAlignment="1">
      <alignment horizontal="center" vertical="center"/>
    </xf>
    <xf numFmtId="166" fontId="27" fillId="35" borderId="32" xfId="1" applyNumberFormat="1" applyFont="1" applyFill="1" applyBorder="1" applyAlignment="1">
      <alignment horizontal="center" vertical="center" wrapText="1"/>
    </xf>
    <xf numFmtId="166" fontId="27" fillId="35" borderId="33" xfId="1" applyNumberFormat="1" applyFont="1" applyFill="1" applyBorder="1" applyAlignment="1">
      <alignment horizontal="center" vertical="center" wrapText="1"/>
    </xf>
    <xf numFmtId="0" fontId="27" fillId="35" borderId="13" xfId="0" applyFont="1" applyFill="1" applyBorder="1" applyAlignment="1">
      <alignment horizontal="center" vertical="center"/>
    </xf>
    <xf numFmtId="0" fontId="27" fillId="35" borderId="14" xfId="0" applyFont="1" applyFill="1" applyBorder="1" applyAlignment="1">
      <alignment horizontal="center" vertical="center"/>
    </xf>
    <xf numFmtId="0" fontId="27" fillId="35" borderId="15" xfId="0" applyFont="1" applyFill="1" applyBorder="1" applyAlignment="1">
      <alignment horizontal="center" vertical="center"/>
    </xf>
    <xf numFmtId="1" fontId="27" fillId="35" borderId="13" xfId="0" applyNumberFormat="1" applyFont="1" applyFill="1" applyBorder="1" applyAlignment="1">
      <alignment horizontal="center" vertical="center"/>
    </xf>
    <xf numFmtId="1" fontId="27" fillId="35" borderId="14" xfId="0" applyNumberFormat="1" applyFont="1" applyFill="1" applyBorder="1" applyAlignment="1">
      <alignment horizontal="center" vertical="center"/>
    </xf>
    <xf numFmtId="1" fontId="27" fillId="35" borderId="15" xfId="0" applyNumberFormat="1" applyFont="1" applyFill="1" applyBorder="1" applyAlignment="1">
      <alignment horizontal="center" vertical="center"/>
    </xf>
    <xf numFmtId="0" fontId="27" fillId="35" borderId="13" xfId="0" applyFont="1" applyFill="1" applyBorder="1" applyAlignment="1">
      <alignment horizontal="center" vertical="center" wrapText="1"/>
    </xf>
    <xf numFmtId="0" fontId="27" fillId="35" borderId="14" xfId="0" applyFont="1" applyFill="1" applyBorder="1" applyAlignment="1">
      <alignment horizontal="center" vertical="center" wrapText="1"/>
    </xf>
    <xf numFmtId="0" fontId="27" fillId="35" borderId="15" xfId="0" applyFont="1" applyFill="1" applyBorder="1" applyAlignment="1">
      <alignment horizontal="center" vertical="center" wrapText="1"/>
    </xf>
    <xf numFmtId="165" fontId="27" fillId="35" borderId="11" xfId="1" applyFont="1" applyFill="1" applyBorder="1" applyAlignment="1">
      <alignment horizontal="center"/>
    </xf>
    <xf numFmtId="165" fontId="27" fillId="35" borderId="12" xfId="1" applyFont="1" applyFill="1" applyBorder="1" applyAlignment="1">
      <alignment horizontal="center"/>
    </xf>
    <xf numFmtId="165" fontId="27" fillId="35" borderId="31" xfId="1" applyFont="1" applyFill="1" applyBorder="1" applyAlignment="1">
      <alignment horizontal="center"/>
    </xf>
    <xf numFmtId="165" fontId="27" fillId="35" borderId="20" xfId="1" applyFont="1" applyFill="1" applyBorder="1" applyAlignment="1">
      <alignment horizontal="center" vertical="center"/>
    </xf>
    <xf numFmtId="165" fontId="27" fillId="35" borderId="25" xfId="1" applyFont="1" applyFill="1" applyBorder="1" applyAlignment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[0]" xfId="43" builtinId="6"/>
    <cellStyle name="Comma 2" xfId="44" xr:uid="{00000000-0005-0000-0000-00001D000000}"/>
    <cellStyle name="Comma 2 2" xfId="45" xr:uid="{00000000-0005-0000-0000-00001E000000}"/>
    <cellStyle name="Comma 3" xfId="46" xr:uid="{00000000-0005-0000-0000-00001F00000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57"/>
  <sheetViews>
    <sheetView showGridLines="0" topLeftCell="C1" workbookViewId="0">
      <selection activeCell="D21" sqref="D21"/>
    </sheetView>
  </sheetViews>
  <sheetFormatPr defaultColWidth="9.1796875" defaultRowHeight="14.5"/>
  <cols>
    <col min="1" max="1" width="4.453125" style="2" customWidth="1"/>
    <col min="2" max="2" width="14.81640625" style="2" bestFit="1" customWidth="1"/>
    <col min="3" max="3" width="42.1796875" style="2" bestFit="1" customWidth="1"/>
    <col min="4" max="4" width="36.1796875" style="2" customWidth="1"/>
    <col min="5" max="9" width="36.54296875" style="2" customWidth="1"/>
    <col min="10" max="10" width="30.26953125" style="2" customWidth="1"/>
    <col min="11" max="11" width="4.453125" style="2" customWidth="1"/>
    <col min="12" max="13" width="12.453125" style="2" customWidth="1"/>
    <col min="14" max="15" width="13.7265625" style="2" customWidth="1"/>
    <col min="16" max="17" width="12.453125" style="2" customWidth="1"/>
    <col min="18" max="18" width="36.54296875" style="2" customWidth="1"/>
    <col min="19" max="20" width="18.453125" style="2" customWidth="1"/>
    <col min="21" max="21" width="4.453125" style="2" customWidth="1"/>
    <col min="22" max="23" width="6.7265625" style="2" customWidth="1"/>
    <col min="24" max="28" width="8.1796875" style="40" customWidth="1"/>
    <col min="29" max="29" width="19.54296875" style="40" bestFit="1" customWidth="1"/>
    <col min="30" max="32" width="30.26953125" style="18" customWidth="1"/>
    <col min="33" max="33" width="22.26953125" style="2" bestFit="1" customWidth="1"/>
    <col min="34" max="35" width="20.81640625" style="2" bestFit="1" customWidth="1"/>
    <col min="36" max="36" width="19.54296875" style="2" bestFit="1" customWidth="1"/>
    <col min="37" max="16384" width="9.1796875" style="2"/>
  </cols>
  <sheetData>
    <row r="1" spans="1:36">
      <c r="A1" s="4" t="s">
        <v>625</v>
      </c>
      <c r="B1" s="5"/>
      <c r="C1" s="5"/>
      <c r="D1" s="5"/>
      <c r="E1" s="6"/>
      <c r="F1" s="6"/>
      <c r="G1" s="6"/>
      <c r="H1" s="6"/>
      <c r="I1" s="6"/>
      <c r="J1" s="6"/>
      <c r="K1" s="6"/>
      <c r="L1" s="6"/>
      <c r="M1" s="12">
        <v>0</v>
      </c>
      <c r="N1" s="13" t="s">
        <v>629</v>
      </c>
      <c r="O1" s="13"/>
      <c r="P1" s="6"/>
      <c r="Q1" s="6"/>
      <c r="R1" s="6"/>
      <c r="S1" s="5"/>
      <c r="T1" s="5"/>
      <c r="U1" s="5"/>
      <c r="V1" s="5"/>
      <c r="W1" s="5"/>
    </row>
    <row r="2" spans="1:36">
      <c r="A2" s="4" t="s">
        <v>626</v>
      </c>
      <c r="B2" s="5"/>
      <c r="C2" s="5"/>
      <c r="D2" s="5"/>
      <c r="E2" s="6"/>
      <c r="F2" s="6"/>
      <c r="G2" s="6"/>
      <c r="H2" s="6"/>
      <c r="I2" s="6"/>
      <c r="J2" s="6"/>
      <c r="K2" s="6"/>
      <c r="L2" s="6"/>
      <c r="M2" s="12">
        <v>31</v>
      </c>
      <c r="N2" s="13" t="s">
        <v>630</v>
      </c>
      <c r="O2" s="13"/>
      <c r="P2" s="6"/>
      <c r="Q2" s="6"/>
      <c r="R2" s="6"/>
      <c r="S2" s="5"/>
      <c r="T2" s="5"/>
      <c r="U2" s="5"/>
      <c r="V2" s="5"/>
      <c r="W2" s="5"/>
    </row>
    <row r="3" spans="1:36">
      <c r="A3" s="4" t="s">
        <v>644</v>
      </c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12">
        <v>61</v>
      </c>
      <c r="N3" s="13" t="s">
        <v>631</v>
      </c>
      <c r="O3" s="13"/>
      <c r="P3" s="6"/>
      <c r="Q3" s="6"/>
      <c r="R3" s="6"/>
      <c r="S3" s="5"/>
      <c r="T3" s="5"/>
      <c r="U3" s="5"/>
      <c r="V3" s="5"/>
      <c r="W3" s="5"/>
    </row>
    <row r="4" spans="1:36">
      <c r="A4" s="7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12">
        <v>91</v>
      </c>
      <c r="N4" s="13" t="s">
        <v>697</v>
      </c>
      <c r="O4" s="13"/>
      <c r="P4" s="6"/>
      <c r="Q4" s="6"/>
      <c r="R4" s="6"/>
      <c r="S4" s="5"/>
      <c r="T4" s="5"/>
      <c r="U4" s="5"/>
      <c r="V4" s="5"/>
      <c r="W4" s="5"/>
    </row>
    <row r="5" spans="1:36" ht="15" customHeight="1">
      <c r="A5" s="8" t="s">
        <v>124</v>
      </c>
      <c r="B5" s="8" t="s">
        <v>627</v>
      </c>
      <c r="C5" s="8" t="s">
        <v>126</v>
      </c>
      <c r="D5" s="8" t="s">
        <v>628</v>
      </c>
      <c r="E5" s="8" t="s">
        <v>128</v>
      </c>
      <c r="F5" s="30" t="s">
        <v>645</v>
      </c>
      <c r="G5" s="30" t="s">
        <v>646</v>
      </c>
      <c r="H5" s="30" t="s">
        <v>647</v>
      </c>
      <c r="I5" s="30" t="s">
        <v>648</v>
      </c>
      <c r="J5" s="14" t="s">
        <v>633</v>
      </c>
      <c r="K5" s="14" t="s">
        <v>0</v>
      </c>
      <c r="L5" s="14" t="s">
        <v>634</v>
      </c>
      <c r="M5" s="14" t="s">
        <v>131</v>
      </c>
      <c r="N5" s="14" t="s">
        <v>635</v>
      </c>
      <c r="O5" s="33" t="s">
        <v>649</v>
      </c>
      <c r="P5" s="14" t="s">
        <v>132</v>
      </c>
      <c r="Q5" s="14" t="s">
        <v>636</v>
      </c>
      <c r="R5" s="19" t="s">
        <v>133</v>
      </c>
      <c r="S5" s="14" t="s">
        <v>134</v>
      </c>
      <c r="T5" s="14" t="s">
        <v>637</v>
      </c>
      <c r="U5" s="14" t="s">
        <v>1</v>
      </c>
      <c r="V5" s="14" t="s">
        <v>2</v>
      </c>
      <c r="W5" s="14" t="s">
        <v>638</v>
      </c>
      <c r="X5" s="168" t="s">
        <v>123</v>
      </c>
      <c r="Y5" s="169"/>
      <c r="Z5" s="169"/>
      <c r="AA5" s="169"/>
      <c r="AB5" s="169"/>
      <c r="AC5" s="174" t="s">
        <v>639</v>
      </c>
      <c r="AD5" s="175"/>
      <c r="AE5" s="175"/>
      <c r="AF5" s="176"/>
      <c r="AG5" s="177" t="s">
        <v>649</v>
      </c>
      <c r="AH5" s="178"/>
      <c r="AI5" s="178"/>
      <c r="AJ5" s="179"/>
    </row>
    <row r="6" spans="1:36" ht="15" customHeight="1">
      <c r="A6" s="9"/>
      <c r="B6" s="9"/>
      <c r="C6" s="9"/>
      <c r="D6" s="9"/>
      <c r="E6" s="9"/>
      <c r="F6" s="31"/>
      <c r="G6" s="31"/>
      <c r="H6" s="31"/>
      <c r="I6" s="31"/>
      <c r="J6" s="15"/>
      <c r="K6" s="15"/>
      <c r="L6" s="15"/>
      <c r="M6" s="15"/>
      <c r="N6" s="15"/>
      <c r="O6" s="34"/>
      <c r="P6" s="15"/>
      <c r="Q6" s="15"/>
      <c r="R6" s="20"/>
      <c r="S6" s="15"/>
      <c r="T6" s="15"/>
      <c r="U6" s="15"/>
      <c r="V6" s="15"/>
      <c r="W6" s="15"/>
      <c r="X6" s="170"/>
      <c r="Y6" s="171"/>
      <c r="Z6" s="171"/>
      <c r="AA6" s="171"/>
      <c r="AB6" s="171"/>
      <c r="AC6" s="41" t="s">
        <v>640</v>
      </c>
      <c r="AD6" s="21" t="s">
        <v>641</v>
      </c>
      <c r="AE6" s="21" t="s">
        <v>642</v>
      </c>
      <c r="AF6" s="22" t="s">
        <v>643</v>
      </c>
      <c r="AG6" s="37"/>
      <c r="AH6" s="37"/>
      <c r="AI6" s="37"/>
      <c r="AJ6" s="37"/>
    </row>
    <row r="7" spans="1:36" ht="15" customHeight="1">
      <c r="A7" s="10"/>
      <c r="B7" s="10"/>
      <c r="C7" s="10"/>
      <c r="D7" s="10"/>
      <c r="E7" s="10"/>
      <c r="F7" s="32"/>
      <c r="G7" s="32"/>
      <c r="H7" s="32"/>
      <c r="I7" s="32"/>
      <c r="J7" s="16"/>
      <c r="K7" s="16"/>
      <c r="L7" s="16"/>
      <c r="M7" s="16"/>
      <c r="N7" s="16"/>
      <c r="O7" s="35"/>
      <c r="P7" s="16"/>
      <c r="Q7" s="16"/>
      <c r="R7" s="23"/>
      <c r="S7" s="16"/>
      <c r="T7" s="16"/>
      <c r="U7" s="16"/>
      <c r="V7" s="16"/>
      <c r="W7" s="16"/>
      <c r="X7" s="172"/>
      <c r="Y7" s="173"/>
      <c r="Z7" s="173"/>
      <c r="AA7" s="173"/>
      <c r="AB7" s="173"/>
      <c r="AC7" s="42"/>
      <c r="AD7" s="24"/>
      <c r="AE7" s="24"/>
      <c r="AF7" s="22"/>
      <c r="AG7" s="38" t="s">
        <v>650</v>
      </c>
      <c r="AH7" s="38" t="s">
        <v>651</v>
      </c>
      <c r="AI7" s="38" t="s">
        <v>652</v>
      </c>
      <c r="AJ7" s="38" t="s">
        <v>653</v>
      </c>
    </row>
    <row r="8" spans="1:36" ht="15" customHeight="1">
      <c r="A8" s="11" t="s">
        <v>124</v>
      </c>
      <c r="B8" s="11" t="s">
        <v>627</v>
      </c>
      <c r="C8" s="11" t="s">
        <v>126</v>
      </c>
      <c r="D8" s="11" t="s">
        <v>628</v>
      </c>
      <c r="E8" s="11" t="s">
        <v>128</v>
      </c>
      <c r="F8" s="30" t="s">
        <v>645</v>
      </c>
      <c r="G8" s="31" t="s">
        <v>646</v>
      </c>
      <c r="H8" s="30" t="s">
        <v>647</v>
      </c>
      <c r="I8" s="30" t="s">
        <v>648</v>
      </c>
      <c r="J8" s="17" t="s">
        <v>633</v>
      </c>
      <c r="K8" s="17" t="s">
        <v>0</v>
      </c>
      <c r="L8" s="17" t="s">
        <v>634</v>
      </c>
      <c r="M8" s="17" t="s">
        <v>131</v>
      </c>
      <c r="N8" s="17" t="s">
        <v>635</v>
      </c>
      <c r="O8" s="36" t="s">
        <v>649</v>
      </c>
      <c r="P8" s="17" t="s">
        <v>132</v>
      </c>
      <c r="Q8" s="17" t="s">
        <v>636</v>
      </c>
      <c r="R8" s="25" t="s">
        <v>133</v>
      </c>
      <c r="S8" s="17" t="s">
        <v>134</v>
      </c>
      <c r="T8" s="17" t="s">
        <v>637</v>
      </c>
      <c r="U8" s="17" t="s">
        <v>1</v>
      </c>
      <c r="V8" s="17" t="s">
        <v>2</v>
      </c>
      <c r="W8" s="17" t="s">
        <v>638</v>
      </c>
      <c r="X8" s="26" t="s">
        <v>3</v>
      </c>
      <c r="Y8" s="26" t="s">
        <v>4</v>
      </c>
      <c r="Z8" s="26" t="s">
        <v>5</v>
      </c>
      <c r="AA8" s="26" t="s">
        <v>135</v>
      </c>
      <c r="AB8" s="26" t="s">
        <v>136</v>
      </c>
      <c r="AC8" s="43" t="s">
        <v>640</v>
      </c>
      <c r="AD8" s="27" t="s">
        <v>641</v>
      </c>
      <c r="AE8" s="28" t="s">
        <v>642</v>
      </c>
      <c r="AF8" s="29" t="s">
        <v>643</v>
      </c>
      <c r="AG8" s="39" t="s">
        <v>650</v>
      </c>
      <c r="AH8" s="39" t="s">
        <v>651</v>
      </c>
      <c r="AI8" s="39" t="s">
        <v>652</v>
      </c>
      <c r="AJ8" s="39" t="s">
        <v>653</v>
      </c>
    </row>
    <row r="9" spans="1:36" ht="15" customHeight="1">
      <c r="A9" s="1">
        <v>1</v>
      </c>
      <c r="B9" s="1" t="s">
        <v>137</v>
      </c>
      <c r="C9" s="1" t="s">
        <v>138</v>
      </c>
      <c r="D9" s="1" t="s">
        <v>139</v>
      </c>
      <c r="E9" s="1" t="s">
        <v>138</v>
      </c>
      <c r="F9" s="50" t="s">
        <v>669</v>
      </c>
      <c r="G9" s="50" t="s">
        <v>655</v>
      </c>
      <c r="H9" s="50" t="s">
        <v>656</v>
      </c>
      <c r="I9" s="50" t="s">
        <v>657</v>
      </c>
      <c r="J9" s="1" t="s">
        <v>140</v>
      </c>
      <c r="K9" s="1" t="s">
        <v>141</v>
      </c>
      <c r="L9" s="1">
        <v>1005002438</v>
      </c>
      <c r="M9" s="1" t="s">
        <v>6</v>
      </c>
      <c r="N9" s="1">
        <v>11</v>
      </c>
      <c r="O9" s="47" t="str">
        <f t="shared" ref="O9:O61" si="0">VLOOKUP(N9,$M$1:$N$4,2,TRUE)</f>
        <v>0-30</v>
      </c>
      <c r="P9" s="1" t="s">
        <v>142</v>
      </c>
      <c r="Q9" s="1">
        <v>1001027102</v>
      </c>
      <c r="R9" s="1" t="s">
        <v>143</v>
      </c>
      <c r="S9" s="1" t="s">
        <v>144</v>
      </c>
      <c r="T9" s="1" t="s">
        <v>145</v>
      </c>
      <c r="U9" s="1" t="s">
        <v>146</v>
      </c>
      <c r="V9" s="1" t="s">
        <v>147</v>
      </c>
      <c r="W9" s="1" t="s">
        <v>148</v>
      </c>
      <c r="X9" s="44">
        <v>5.65</v>
      </c>
      <c r="Y9" s="44">
        <v>0.221</v>
      </c>
      <c r="Z9" s="44">
        <v>0</v>
      </c>
      <c r="AA9" s="44">
        <v>0</v>
      </c>
      <c r="AB9" s="44">
        <v>0</v>
      </c>
      <c r="AC9" s="44">
        <v>3489197</v>
      </c>
      <c r="AD9" s="45">
        <v>697839400</v>
      </c>
      <c r="AE9" s="45"/>
      <c r="AF9" s="46">
        <v>697839400</v>
      </c>
      <c r="AG9" s="55">
        <f>IF($O9="0-30",$AF9,0)</f>
        <v>697839400</v>
      </c>
      <c r="AH9" s="55">
        <f>IF($O9="31-60",$AF9,0)</f>
        <v>0</v>
      </c>
      <c r="AI9" s="55">
        <f>IF($O9="61-90",$AF9,0)</f>
        <v>0</v>
      </c>
      <c r="AJ9" s="55">
        <f>IF($O9="&gt; 91 Days",$AF9,0)</f>
        <v>0</v>
      </c>
    </row>
    <row r="10" spans="1:36" ht="15" customHeight="1">
      <c r="A10" s="1">
        <v>2</v>
      </c>
      <c r="B10" s="1" t="s">
        <v>150</v>
      </c>
      <c r="C10" s="1" t="s">
        <v>151</v>
      </c>
      <c r="D10" s="1" t="s">
        <v>152</v>
      </c>
      <c r="E10" s="1" t="s">
        <v>151</v>
      </c>
      <c r="F10" s="48" t="s">
        <v>654</v>
      </c>
      <c r="G10" s="48" t="s">
        <v>655</v>
      </c>
      <c r="H10" s="48" t="s">
        <v>656</v>
      </c>
      <c r="I10" s="51" t="s">
        <v>657</v>
      </c>
      <c r="J10" s="1" t="s">
        <v>153</v>
      </c>
      <c r="K10" s="1" t="s">
        <v>141</v>
      </c>
      <c r="L10" s="1">
        <v>1005001253</v>
      </c>
      <c r="M10" s="1" t="s">
        <v>7</v>
      </c>
      <c r="N10" s="1">
        <v>200</v>
      </c>
      <c r="O10" s="47" t="str">
        <f t="shared" si="0"/>
        <v>&gt; 91 Days</v>
      </c>
      <c r="P10" s="1" t="s">
        <v>142</v>
      </c>
      <c r="Q10" s="1">
        <v>1001023111</v>
      </c>
      <c r="R10" s="1" t="s">
        <v>154</v>
      </c>
      <c r="S10" s="1" t="s">
        <v>144</v>
      </c>
      <c r="T10" s="1" t="s">
        <v>145</v>
      </c>
      <c r="U10" s="1" t="s">
        <v>146</v>
      </c>
      <c r="V10" s="1" t="s">
        <v>147</v>
      </c>
      <c r="W10" s="1" t="s">
        <v>148</v>
      </c>
      <c r="X10" s="44">
        <v>5.0199999999999996</v>
      </c>
      <c r="Y10" s="44">
        <v>0</v>
      </c>
      <c r="Z10" s="44">
        <v>0</v>
      </c>
      <c r="AA10" s="44">
        <v>0</v>
      </c>
      <c r="AB10" s="44">
        <v>0</v>
      </c>
      <c r="AC10" s="44">
        <v>3000362</v>
      </c>
      <c r="AD10" s="45">
        <v>300036200</v>
      </c>
      <c r="AE10" s="45"/>
      <c r="AF10" s="46">
        <v>300036200</v>
      </c>
      <c r="AG10" s="55">
        <f t="shared" ref="AG10:AG61" si="1">IF($O10="0-30",$AF10,0)</f>
        <v>0</v>
      </c>
      <c r="AH10" s="55">
        <f t="shared" ref="AH10:AH61" si="2">IF($O10="31-60",$AF10,0)</f>
        <v>0</v>
      </c>
      <c r="AI10" s="55">
        <f t="shared" ref="AI10:AI61" si="3">IF($O10="61-90",$AF10,0)</f>
        <v>0</v>
      </c>
      <c r="AJ10" s="55">
        <f t="shared" ref="AJ10:AJ73" si="4">IF($O10="&gt; 91 Days",$AF10,0)</f>
        <v>300036200</v>
      </c>
    </row>
    <row r="11" spans="1:36" ht="15" customHeight="1">
      <c r="A11" s="1">
        <v>2</v>
      </c>
      <c r="B11" s="1" t="s">
        <v>150</v>
      </c>
      <c r="C11" s="1" t="s">
        <v>151</v>
      </c>
      <c r="D11" s="1" t="s">
        <v>152</v>
      </c>
      <c r="E11" s="1" t="s">
        <v>151</v>
      </c>
      <c r="F11" s="48" t="s">
        <v>654</v>
      </c>
      <c r="G11" s="48" t="s">
        <v>655</v>
      </c>
      <c r="H11" s="48" t="s">
        <v>656</v>
      </c>
      <c r="I11" s="51" t="s">
        <v>657</v>
      </c>
      <c r="J11" s="1" t="s">
        <v>153</v>
      </c>
      <c r="K11" s="1" t="s">
        <v>141</v>
      </c>
      <c r="L11" s="1">
        <v>1005001254</v>
      </c>
      <c r="M11" s="1" t="s">
        <v>7</v>
      </c>
      <c r="N11" s="1">
        <v>200</v>
      </c>
      <c r="O11" s="47" t="str">
        <f t="shared" si="0"/>
        <v>&gt; 91 Days</v>
      </c>
      <c r="P11" s="1" t="s">
        <v>142</v>
      </c>
      <c r="Q11" s="1">
        <v>1001023240</v>
      </c>
      <c r="R11" s="1" t="s">
        <v>155</v>
      </c>
      <c r="S11" s="1" t="s">
        <v>144</v>
      </c>
      <c r="T11" s="1" t="s">
        <v>145</v>
      </c>
      <c r="U11" s="1" t="s">
        <v>146</v>
      </c>
      <c r="V11" s="1" t="s">
        <v>147</v>
      </c>
      <c r="W11" s="1" t="s">
        <v>148</v>
      </c>
      <c r="X11" s="44">
        <v>5.0199999999999996</v>
      </c>
      <c r="Y11" s="44">
        <v>0</v>
      </c>
      <c r="Z11" s="44">
        <v>0</v>
      </c>
      <c r="AA11" s="44">
        <v>0</v>
      </c>
      <c r="AB11" s="44">
        <v>0</v>
      </c>
      <c r="AC11" s="44">
        <v>1000000</v>
      </c>
      <c r="AD11" s="45">
        <v>100000000</v>
      </c>
      <c r="AE11" s="45"/>
      <c r="AF11" s="46">
        <v>100000000</v>
      </c>
      <c r="AG11" s="55">
        <f t="shared" si="1"/>
        <v>0</v>
      </c>
      <c r="AH11" s="55">
        <f t="shared" si="2"/>
        <v>0</v>
      </c>
      <c r="AI11" s="55">
        <f t="shared" si="3"/>
        <v>0</v>
      </c>
      <c r="AJ11" s="55">
        <f t="shared" si="4"/>
        <v>100000000</v>
      </c>
    </row>
    <row r="12" spans="1:36" ht="15" customHeight="1">
      <c r="A12" s="1">
        <v>2</v>
      </c>
      <c r="B12" s="1" t="s">
        <v>150</v>
      </c>
      <c r="C12" s="1" t="s">
        <v>151</v>
      </c>
      <c r="D12" s="1" t="s">
        <v>152</v>
      </c>
      <c r="E12" s="1" t="s">
        <v>151</v>
      </c>
      <c r="F12" s="48" t="s">
        <v>654</v>
      </c>
      <c r="G12" s="48" t="s">
        <v>655</v>
      </c>
      <c r="H12" s="48" t="s">
        <v>656</v>
      </c>
      <c r="I12" s="51" t="s">
        <v>657</v>
      </c>
      <c r="J12" s="1" t="s">
        <v>153</v>
      </c>
      <c r="K12" s="1" t="s">
        <v>141</v>
      </c>
      <c r="L12" s="1">
        <v>1005002060</v>
      </c>
      <c r="M12" s="1" t="s">
        <v>8</v>
      </c>
      <c r="N12" s="1">
        <v>66</v>
      </c>
      <c r="O12" s="47" t="str">
        <f t="shared" si="0"/>
        <v>61-90</v>
      </c>
      <c r="P12" s="1" t="s">
        <v>142</v>
      </c>
      <c r="Q12" s="1">
        <v>1001026724</v>
      </c>
      <c r="R12" s="1" t="s">
        <v>156</v>
      </c>
      <c r="S12" s="1" t="s">
        <v>144</v>
      </c>
      <c r="T12" s="1" t="s">
        <v>145</v>
      </c>
      <c r="U12" s="1" t="s">
        <v>146</v>
      </c>
      <c r="V12" s="1" t="s">
        <v>147</v>
      </c>
      <c r="W12" s="1" t="s">
        <v>148</v>
      </c>
      <c r="X12" s="44">
        <v>5.14</v>
      </c>
      <c r="Y12" s="44">
        <v>0.20499999999999999</v>
      </c>
      <c r="Z12" s="44">
        <v>0</v>
      </c>
      <c r="AA12" s="44">
        <v>0</v>
      </c>
      <c r="AB12" s="44">
        <v>0</v>
      </c>
      <c r="AC12" s="44">
        <v>4000011</v>
      </c>
      <c r="AD12" s="45">
        <v>400001100</v>
      </c>
      <c r="AE12" s="45"/>
      <c r="AF12" s="46">
        <v>400001100</v>
      </c>
      <c r="AG12" s="55">
        <f t="shared" si="1"/>
        <v>0</v>
      </c>
      <c r="AH12" s="55">
        <f t="shared" si="2"/>
        <v>0</v>
      </c>
      <c r="AI12" s="55">
        <f t="shared" si="3"/>
        <v>400001100</v>
      </c>
      <c r="AJ12" s="55">
        <f t="shared" si="4"/>
        <v>0</v>
      </c>
    </row>
    <row r="13" spans="1:36" ht="15" customHeight="1">
      <c r="A13" s="1">
        <v>2</v>
      </c>
      <c r="B13" s="1" t="s">
        <v>150</v>
      </c>
      <c r="C13" s="1" t="s">
        <v>151</v>
      </c>
      <c r="D13" s="1" t="s">
        <v>152</v>
      </c>
      <c r="E13" s="1" t="s">
        <v>151</v>
      </c>
      <c r="F13" s="48" t="s">
        <v>654</v>
      </c>
      <c r="G13" s="48" t="s">
        <v>655</v>
      </c>
      <c r="H13" s="48" t="s">
        <v>656</v>
      </c>
      <c r="I13" s="51" t="s">
        <v>657</v>
      </c>
      <c r="J13" s="1" t="s">
        <v>153</v>
      </c>
      <c r="K13" s="1" t="s">
        <v>141</v>
      </c>
      <c r="L13" s="1">
        <v>1005002460</v>
      </c>
      <c r="M13" s="1" t="s">
        <v>9</v>
      </c>
      <c r="N13" s="1">
        <v>9</v>
      </c>
      <c r="O13" s="47" t="str">
        <f t="shared" si="0"/>
        <v>0-30</v>
      </c>
      <c r="P13" s="1" t="s">
        <v>142</v>
      </c>
      <c r="Q13" s="1">
        <v>1001027351</v>
      </c>
      <c r="R13" s="1" t="s">
        <v>157</v>
      </c>
      <c r="S13" s="1" t="s">
        <v>144</v>
      </c>
      <c r="T13" s="1" t="s">
        <v>145</v>
      </c>
      <c r="U13" s="1" t="s">
        <v>146</v>
      </c>
      <c r="V13" s="1" t="s">
        <v>147</v>
      </c>
      <c r="W13" s="1" t="s">
        <v>148</v>
      </c>
      <c r="X13" s="44">
        <v>5.66</v>
      </c>
      <c r="Y13" s="44">
        <v>0.23</v>
      </c>
      <c r="Z13" s="44">
        <v>0</v>
      </c>
      <c r="AA13" s="44">
        <v>0</v>
      </c>
      <c r="AB13" s="44">
        <v>0</v>
      </c>
      <c r="AC13" s="44">
        <v>2000410</v>
      </c>
      <c r="AD13" s="45">
        <v>400082000</v>
      </c>
      <c r="AE13" s="45"/>
      <c r="AF13" s="46">
        <v>400082000</v>
      </c>
      <c r="AG13" s="55">
        <f t="shared" si="1"/>
        <v>400082000</v>
      </c>
      <c r="AH13" s="55">
        <f t="shared" si="2"/>
        <v>0</v>
      </c>
      <c r="AI13" s="55">
        <f t="shared" si="3"/>
        <v>0</v>
      </c>
      <c r="AJ13" s="55">
        <f t="shared" si="4"/>
        <v>0</v>
      </c>
    </row>
    <row r="14" spans="1:36" ht="15" customHeight="1">
      <c r="A14" s="1">
        <v>2</v>
      </c>
      <c r="B14" s="1" t="s">
        <v>150</v>
      </c>
      <c r="C14" s="1" t="s">
        <v>151</v>
      </c>
      <c r="D14" s="1" t="s">
        <v>152</v>
      </c>
      <c r="E14" s="1" t="s">
        <v>151</v>
      </c>
      <c r="F14" s="48" t="s">
        <v>654</v>
      </c>
      <c r="G14" s="48" t="s">
        <v>655</v>
      </c>
      <c r="H14" s="48" t="s">
        <v>656</v>
      </c>
      <c r="I14" s="51" t="s">
        <v>657</v>
      </c>
      <c r="J14" s="1" t="s">
        <v>153</v>
      </c>
      <c r="K14" s="1" t="s">
        <v>141</v>
      </c>
      <c r="L14" s="1">
        <v>1005002464</v>
      </c>
      <c r="M14" s="1" t="s">
        <v>9</v>
      </c>
      <c r="N14" s="1">
        <v>9</v>
      </c>
      <c r="O14" s="47" t="str">
        <f t="shared" si="0"/>
        <v>0-30</v>
      </c>
      <c r="P14" s="1" t="s">
        <v>142</v>
      </c>
      <c r="Q14" s="1">
        <v>1001027486</v>
      </c>
      <c r="R14" s="1" t="s">
        <v>158</v>
      </c>
      <c r="S14" s="1" t="s">
        <v>144</v>
      </c>
      <c r="T14" s="1" t="s">
        <v>145</v>
      </c>
      <c r="U14" s="1" t="s">
        <v>146</v>
      </c>
      <c r="V14" s="1" t="s">
        <v>147</v>
      </c>
      <c r="W14" s="1" t="s">
        <v>148</v>
      </c>
      <c r="X14" s="44">
        <v>5.43</v>
      </c>
      <c r="Y14" s="44">
        <v>0.22900000000000001</v>
      </c>
      <c r="Z14" s="44">
        <v>0</v>
      </c>
      <c r="AA14" s="44">
        <v>0</v>
      </c>
      <c r="AB14" s="44">
        <v>0</v>
      </c>
      <c r="AC14" s="44">
        <v>3000189</v>
      </c>
      <c r="AD14" s="45">
        <v>300018900</v>
      </c>
      <c r="AE14" s="45"/>
      <c r="AF14" s="46">
        <v>300018900</v>
      </c>
      <c r="AG14" s="55">
        <f t="shared" si="1"/>
        <v>300018900</v>
      </c>
      <c r="AH14" s="55">
        <f t="shared" si="2"/>
        <v>0</v>
      </c>
      <c r="AI14" s="55">
        <f t="shared" si="3"/>
        <v>0</v>
      </c>
      <c r="AJ14" s="55">
        <f t="shared" si="4"/>
        <v>0</v>
      </c>
    </row>
    <row r="15" spans="1:36" ht="15" customHeight="1">
      <c r="A15" s="1">
        <v>2</v>
      </c>
      <c r="B15" s="1" t="s">
        <v>150</v>
      </c>
      <c r="C15" s="1" t="s">
        <v>151</v>
      </c>
      <c r="D15" s="1" t="s">
        <v>152</v>
      </c>
      <c r="E15" s="1" t="s">
        <v>151</v>
      </c>
      <c r="F15" s="48" t="s">
        <v>654</v>
      </c>
      <c r="G15" s="48" t="s">
        <v>655</v>
      </c>
      <c r="H15" s="48" t="s">
        <v>656</v>
      </c>
      <c r="I15" s="50" t="s">
        <v>665</v>
      </c>
      <c r="J15" s="1" t="s">
        <v>153</v>
      </c>
      <c r="K15" s="1" t="s">
        <v>141</v>
      </c>
      <c r="L15" s="1">
        <v>9085000267</v>
      </c>
      <c r="M15" s="1" t="s">
        <v>9</v>
      </c>
      <c r="N15" s="1">
        <v>9</v>
      </c>
      <c r="O15" s="47" t="str">
        <f t="shared" si="0"/>
        <v>0-30</v>
      </c>
      <c r="P15" s="1" t="s">
        <v>142</v>
      </c>
      <c r="Q15" s="1">
        <v>9081001570</v>
      </c>
      <c r="R15" s="1" t="s">
        <v>159</v>
      </c>
      <c r="S15" s="1" t="s">
        <v>144</v>
      </c>
      <c r="T15" s="1" t="s">
        <v>145</v>
      </c>
      <c r="U15" s="1" t="s">
        <v>146</v>
      </c>
      <c r="V15" s="1" t="s">
        <v>147</v>
      </c>
      <c r="W15" s="1" t="s">
        <v>160</v>
      </c>
      <c r="X15" s="44">
        <v>5.87</v>
      </c>
      <c r="Y15" s="44">
        <v>0.21299999999999999</v>
      </c>
      <c r="Z15" s="44">
        <v>0</v>
      </c>
      <c r="AA15" s="44">
        <v>0</v>
      </c>
      <c r="AB15" s="44">
        <v>0</v>
      </c>
      <c r="AC15" s="44">
        <v>2000451</v>
      </c>
      <c r="AD15" s="45">
        <v>400090200</v>
      </c>
      <c r="AE15" s="45"/>
      <c r="AF15" s="46">
        <v>400090200</v>
      </c>
      <c r="AG15" s="55">
        <f t="shared" si="1"/>
        <v>400090200</v>
      </c>
      <c r="AH15" s="55">
        <f t="shared" si="2"/>
        <v>0</v>
      </c>
      <c r="AI15" s="55">
        <f t="shared" si="3"/>
        <v>0</v>
      </c>
      <c r="AJ15" s="55">
        <f t="shared" si="4"/>
        <v>0</v>
      </c>
    </row>
    <row r="16" spans="1:36" ht="15" customHeight="1">
      <c r="A16" s="1">
        <v>2</v>
      </c>
      <c r="B16" s="1" t="s">
        <v>150</v>
      </c>
      <c r="C16" s="1" t="s">
        <v>151</v>
      </c>
      <c r="D16" s="1" t="s">
        <v>152</v>
      </c>
      <c r="E16" s="1" t="s">
        <v>151</v>
      </c>
      <c r="F16" s="48" t="s">
        <v>654</v>
      </c>
      <c r="G16" s="48" t="s">
        <v>655</v>
      </c>
      <c r="H16" s="48" t="s">
        <v>656</v>
      </c>
      <c r="I16" s="50" t="s">
        <v>665</v>
      </c>
      <c r="J16" s="1" t="s">
        <v>153</v>
      </c>
      <c r="K16" s="1" t="s">
        <v>141</v>
      </c>
      <c r="L16" s="1">
        <v>9085000268</v>
      </c>
      <c r="M16" s="1" t="s">
        <v>9</v>
      </c>
      <c r="N16" s="1">
        <v>9</v>
      </c>
      <c r="O16" s="47" t="str">
        <f t="shared" si="0"/>
        <v>0-30</v>
      </c>
      <c r="P16" s="1" t="s">
        <v>142</v>
      </c>
      <c r="Q16" s="1">
        <v>9081001570</v>
      </c>
      <c r="R16" s="1" t="s">
        <v>159</v>
      </c>
      <c r="S16" s="1" t="s">
        <v>144</v>
      </c>
      <c r="T16" s="1" t="s">
        <v>145</v>
      </c>
      <c r="U16" s="1" t="s">
        <v>146</v>
      </c>
      <c r="V16" s="1" t="s">
        <v>147</v>
      </c>
      <c r="W16" s="1" t="s">
        <v>160</v>
      </c>
      <c r="X16" s="44">
        <v>5.66</v>
      </c>
      <c r="Y16" s="44">
        <v>0.23</v>
      </c>
      <c r="Z16" s="44">
        <v>0</v>
      </c>
      <c r="AA16" s="44">
        <v>0</v>
      </c>
      <c r="AB16" s="44">
        <v>0</v>
      </c>
      <c r="AC16" s="44">
        <v>2000000</v>
      </c>
      <c r="AD16" s="45">
        <v>400000000</v>
      </c>
      <c r="AE16" s="45"/>
      <c r="AF16" s="46">
        <v>400000000</v>
      </c>
      <c r="AG16" s="55">
        <f t="shared" si="1"/>
        <v>400000000</v>
      </c>
      <c r="AH16" s="55">
        <f t="shared" si="2"/>
        <v>0</v>
      </c>
      <c r="AI16" s="55">
        <f t="shared" si="3"/>
        <v>0</v>
      </c>
      <c r="AJ16" s="55">
        <f t="shared" si="4"/>
        <v>0</v>
      </c>
    </row>
    <row r="17" spans="1:36" ht="15" customHeight="1">
      <c r="A17" s="1">
        <v>2</v>
      </c>
      <c r="B17" s="1" t="s">
        <v>150</v>
      </c>
      <c r="C17" s="1" t="s">
        <v>151</v>
      </c>
      <c r="D17" s="1" t="s">
        <v>152</v>
      </c>
      <c r="E17" s="1" t="s">
        <v>151</v>
      </c>
      <c r="F17" s="48" t="s">
        <v>654</v>
      </c>
      <c r="G17" s="48" t="s">
        <v>655</v>
      </c>
      <c r="H17" s="48" t="s">
        <v>656</v>
      </c>
      <c r="I17" s="50" t="s">
        <v>665</v>
      </c>
      <c r="J17" s="1" t="s">
        <v>153</v>
      </c>
      <c r="K17" s="1" t="s">
        <v>141</v>
      </c>
      <c r="L17" s="1">
        <v>9145000205</v>
      </c>
      <c r="M17" s="1" t="s">
        <v>9</v>
      </c>
      <c r="N17" s="1">
        <v>9</v>
      </c>
      <c r="O17" s="47" t="str">
        <f t="shared" si="0"/>
        <v>0-30</v>
      </c>
      <c r="P17" s="1" t="s">
        <v>142</v>
      </c>
      <c r="Q17" s="1">
        <v>9141001855</v>
      </c>
      <c r="R17" s="1" t="s">
        <v>161</v>
      </c>
      <c r="S17" s="1" t="s">
        <v>144</v>
      </c>
      <c r="T17" s="1" t="s">
        <v>145</v>
      </c>
      <c r="U17" s="1" t="s">
        <v>146</v>
      </c>
      <c r="V17" s="1" t="s">
        <v>147</v>
      </c>
      <c r="W17" s="1" t="s">
        <v>162</v>
      </c>
      <c r="X17" s="44">
        <v>5.82</v>
      </c>
      <c r="Y17" s="44">
        <v>0.217</v>
      </c>
      <c r="Z17" s="44">
        <v>0</v>
      </c>
      <c r="AA17" s="44">
        <v>0</v>
      </c>
      <c r="AB17" s="44">
        <v>0</v>
      </c>
      <c r="AC17" s="44">
        <v>4000008</v>
      </c>
      <c r="AD17" s="45">
        <v>800001600</v>
      </c>
      <c r="AE17" s="45"/>
      <c r="AF17" s="46">
        <v>800001600</v>
      </c>
      <c r="AG17" s="55">
        <f t="shared" si="1"/>
        <v>800001600</v>
      </c>
      <c r="AH17" s="55">
        <f t="shared" si="2"/>
        <v>0</v>
      </c>
      <c r="AI17" s="55">
        <f t="shared" si="3"/>
        <v>0</v>
      </c>
      <c r="AJ17" s="55">
        <f t="shared" si="4"/>
        <v>0</v>
      </c>
    </row>
    <row r="18" spans="1:36" ht="15" customHeight="1">
      <c r="A18" s="1">
        <v>3</v>
      </c>
      <c r="B18" s="1" t="s">
        <v>163</v>
      </c>
      <c r="C18" s="1" t="s">
        <v>164</v>
      </c>
      <c r="D18" s="1" t="s">
        <v>165</v>
      </c>
      <c r="E18" s="1" t="s">
        <v>164</v>
      </c>
      <c r="F18" s="50" t="s">
        <v>658</v>
      </c>
      <c r="G18" s="50" t="s">
        <v>655</v>
      </c>
      <c r="H18" s="50" t="s">
        <v>656</v>
      </c>
      <c r="I18" s="50" t="s">
        <v>657</v>
      </c>
      <c r="J18" s="1" t="s">
        <v>140</v>
      </c>
      <c r="K18" s="1" t="s">
        <v>141</v>
      </c>
      <c r="L18" s="1">
        <v>1005002323</v>
      </c>
      <c r="M18" s="1" t="s">
        <v>10</v>
      </c>
      <c r="N18" s="1">
        <v>31</v>
      </c>
      <c r="O18" s="47" t="str">
        <f t="shared" si="0"/>
        <v>31-60</v>
      </c>
      <c r="P18" s="1" t="s">
        <v>142</v>
      </c>
      <c r="Q18" s="1">
        <v>1001026991</v>
      </c>
      <c r="R18" s="1" t="s">
        <v>166</v>
      </c>
      <c r="S18" s="1" t="s">
        <v>144</v>
      </c>
      <c r="T18" s="1" t="s">
        <v>145</v>
      </c>
      <c r="U18" s="1" t="s">
        <v>146</v>
      </c>
      <c r="V18" s="1" t="s">
        <v>147</v>
      </c>
      <c r="W18" s="1" t="s">
        <v>148</v>
      </c>
      <c r="X18" s="44">
        <v>3.37</v>
      </c>
      <c r="Y18" s="44">
        <v>0.7</v>
      </c>
      <c r="Z18" s="44">
        <v>0</v>
      </c>
      <c r="AA18" s="44">
        <v>0</v>
      </c>
      <c r="AB18" s="44">
        <v>0</v>
      </c>
      <c r="AC18" s="44">
        <v>17.72</v>
      </c>
      <c r="AD18" s="45">
        <v>249852</v>
      </c>
      <c r="AE18" s="45"/>
      <c r="AF18" s="46">
        <v>249852</v>
      </c>
      <c r="AG18" s="55">
        <f t="shared" si="1"/>
        <v>0</v>
      </c>
      <c r="AH18" s="55">
        <f t="shared" si="2"/>
        <v>249852</v>
      </c>
      <c r="AI18" s="55">
        <f t="shared" si="3"/>
        <v>0</v>
      </c>
      <c r="AJ18" s="55">
        <f t="shared" si="4"/>
        <v>0</v>
      </c>
    </row>
    <row r="19" spans="1:36" ht="15" customHeight="1">
      <c r="A19" s="1">
        <v>4</v>
      </c>
      <c r="B19" s="1" t="s">
        <v>167</v>
      </c>
      <c r="C19" s="1" t="s">
        <v>168</v>
      </c>
      <c r="D19" s="1" t="s">
        <v>169</v>
      </c>
      <c r="E19" s="1" t="s">
        <v>168</v>
      </c>
      <c r="F19" s="50" t="s">
        <v>658</v>
      </c>
      <c r="G19" s="50" t="s">
        <v>655</v>
      </c>
      <c r="H19" s="50" t="s">
        <v>656</v>
      </c>
      <c r="I19" s="50" t="s">
        <v>657</v>
      </c>
      <c r="J19" s="1" t="s">
        <v>170</v>
      </c>
      <c r="K19" s="1" t="s">
        <v>141</v>
      </c>
      <c r="L19" s="1">
        <v>1641000005</v>
      </c>
      <c r="M19" s="1" t="s">
        <v>11</v>
      </c>
      <c r="N19" s="1">
        <v>14</v>
      </c>
      <c r="O19" s="47" t="str">
        <f t="shared" si="0"/>
        <v>0-30</v>
      </c>
      <c r="P19" s="1" t="s">
        <v>171</v>
      </c>
      <c r="Q19" s="1">
        <v>1641000171</v>
      </c>
      <c r="R19" s="1" t="s">
        <v>172</v>
      </c>
      <c r="S19" s="1" t="s">
        <v>144</v>
      </c>
      <c r="T19" s="1" t="s">
        <v>145</v>
      </c>
      <c r="U19" s="1" t="s">
        <v>146</v>
      </c>
      <c r="V19" s="1" t="s">
        <v>147</v>
      </c>
      <c r="W19" s="1" t="s">
        <v>173</v>
      </c>
      <c r="X19" s="44">
        <v>5.42</v>
      </c>
      <c r="Y19" s="44">
        <v>0.43</v>
      </c>
      <c r="Z19" s="44">
        <v>0</v>
      </c>
      <c r="AA19" s="44">
        <v>1.89</v>
      </c>
      <c r="AB19" s="44">
        <v>0</v>
      </c>
      <c r="AC19" s="44">
        <v>87090</v>
      </c>
      <c r="AD19" s="45">
        <v>15041000</v>
      </c>
      <c r="AE19" s="45"/>
      <c r="AF19" s="46">
        <v>15041000</v>
      </c>
      <c r="AG19" s="55">
        <f t="shared" si="1"/>
        <v>15041000</v>
      </c>
      <c r="AH19" s="55">
        <f t="shared" si="2"/>
        <v>0</v>
      </c>
      <c r="AI19" s="55">
        <f t="shared" si="3"/>
        <v>0</v>
      </c>
      <c r="AJ19" s="55">
        <f t="shared" si="4"/>
        <v>0</v>
      </c>
    </row>
    <row r="20" spans="1:36" ht="15" customHeight="1">
      <c r="A20" s="1">
        <v>4</v>
      </c>
      <c r="B20" s="1" t="s">
        <v>167</v>
      </c>
      <c r="C20" s="1" t="s">
        <v>168</v>
      </c>
      <c r="D20" s="1" t="s">
        <v>169</v>
      </c>
      <c r="E20" s="1" t="s">
        <v>168</v>
      </c>
      <c r="F20" s="50" t="s">
        <v>658</v>
      </c>
      <c r="G20" s="50" t="s">
        <v>655</v>
      </c>
      <c r="H20" s="50" t="s">
        <v>656</v>
      </c>
      <c r="I20" s="50" t="s">
        <v>657</v>
      </c>
      <c r="J20" s="1" t="s">
        <v>170</v>
      </c>
      <c r="K20" s="1" t="s">
        <v>141</v>
      </c>
      <c r="L20" s="1">
        <v>1641000006</v>
      </c>
      <c r="M20" s="1" t="s">
        <v>11</v>
      </c>
      <c r="N20" s="1">
        <v>14</v>
      </c>
      <c r="O20" s="47" t="str">
        <f t="shared" si="0"/>
        <v>0-30</v>
      </c>
      <c r="P20" s="1" t="s">
        <v>171</v>
      </c>
      <c r="Q20" s="1">
        <v>1641000171</v>
      </c>
      <c r="R20" s="1" t="s">
        <v>172</v>
      </c>
      <c r="S20" s="1" t="s">
        <v>144</v>
      </c>
      <c r="T20" s="1" t="s">
        <v>145</v>
      </c>
      <c r="U20" s="1" t="s">
        <v>146</v>
      </c>
      <c r="V20" s="1" t="s">
        <v>147</v>
      </c>
      <c r="W20" s="1" t="s">
        <v>173</v>
      </c>
      <c r="X20" s="44">
        <v>5.45</v>
      </c>
      <c r="Y20" s="44">
        <v>0.43</v>
      </c>
      <c r="Z20" s="44">
        <v>0</v>
      </c>
      <c r="AA20" s="44">
        <v>1.98</v>
      </c>
      <c r="AB20" s="44">
        <v>0</v>
      </c>
      <c r="AC20" s="44">
        <v>170140</v>
      </c>
      <c r="AD20" s="45">
        <v>19379000</v>
      </c>
      <c r="AE20" s="45"/>
      <c r="AF20" s="46">
        <v>19379000</v>
      </c>
      <c r="AG20" s="55">
        <f t="shared" si="1"/>
        <v>19379000</v>
      </c>
      <c r="AH20" s="55">
        <f t="shared" si="2"/>
        <v>0</v>
      </c>
      <c r="AI20" s="55">
        <f t="shared" si="3"/>
        <v>0</v>
      </c>
      <c r="AJ20" s="55">
        <f t="shared" si="4"/>
        <v>0</v>
      </c>
    </row>
    <row r="21" spans="1:36" ht="15" customHeight="1">
      <c r="A21" s="1">
        <v>5</v>
      </c>
      <c r="B21" s="1" t="s">
        <v>174</v>
      </c>
      <c r="C21" s="1" t="s">
        <v>175</v>
      </c>
      <c r="D21" s="1" t="s">
        <v>176</v>
      </c>
      <c r="E21" s="1" t="s">
        <v>175</v>
      </c>
      <c r="F21" s="50" t="s">
        <v>662</v>
      </c>
      <c r="G21" s="50" t="s">
        <v>659</v>
      </c>
      <c r="H21" s="50" t="s">
        <v>656</v>
      </c>
      <c r="I21" s="50" t="s">
        <v>657</v>
      </c>
      <c r="J21" s="1" t="s">
        <v>170</v>
      </c>
      <c r="K21" s="1" t="s">
        <v>141</v>
      </c>
      <c r="L21" s="1">
        <v>1005002444</v>
      </c>
      <c r="M21" s="1" t="s">
        <v>12</v>
      </c>
      <c r="N21" s="1">
        <v>10</v>
      </c>
      <c r="O21" s="47" t="str">
        <f t="shared" si="0"/>
        <v>0-30</v>
      </c>
      <c r="P21" s="1" t="s">
        <v>171</v>
      </c>
      <c r="Q21" s="1">
        <v>1001027675</v>
      </c>
      <c r="R21" s="1" t="s">
        <v>177</v>
      </c>
      <c r="S21" s="1" t="s">
        <v>178</v>
      </c>
      <c r="T21" s="1" t="s">
        <v>179</v>
      </c>
      <c r="U21" s="1" t="s">
        <v>146</v>
      </c>
      <c r="V21" s="1" t="s">
        <v>147</v>
      </c>
      <c r="W21" s="1" t="s">
        <v>148</v>
      </c>
      <c r="X21" s="44">
        <v>0</v>
      </c>
      <c r="Y21" s="44">
        <v>20.51</v>
      </c>
      <c r="Z21" s="44">
        <v>0.83</v>
      </c>
      <c r="AA21" s="44">
        <v>0</v>
      </c>
      <c r="AB21" s="44">
        <v>0</v>
      </c>
      <c r="AC21" s="44">
        <v>1961.4</v>
      </c>
      <c r="AD21" s="45">
        <v>2059471</v>
      </c>
      <c r="AE21" s="45"/>
      <c r="AF21" s="46">
        <v>2059471</v>
      </c>
      <c r="AG21" s="55">
        <f t="shared" si="1"/>
        <v>2059471</v>
      </c>
      <c r="AH21" s="55">
        <f t="shared" si="2"/>
        <v>0</v>
      </c>
      <c r="AI21" s="55">
        <f t="shared" si="3"/>
        <v>0</v>
      </c>
      <c r="AJ21" s="55">
        <f t="shared" si="4"/>
        <v>0</v>
      </c>
    </row>
    <row r="22" spans="1:36" ht="15" customHeight="1">
      <c r="A22" s="1">
        <v>6</v>
      </c>
      <c r="B22" s="1" t="s">
        <v>180</v>
      </c>
      <c r="C22" s="1" t="s">
        <v>181</v>
      </c>
      <c r="D22" s="1" t="s">
        <v>182</v>
      </c>
      <c r="E22" s="1" t="s">
        <v>181</v>
      </c>
      <c r="F22" s="50" t="s">
        <v>673</v>
      </c>
      <c r="G22" s="50" t="s">
        <v>655</v>
      </c>
      <c r="H22" s="50" t="s">
        <v>656</v>
      </c>
      <c r="I22" s="50" t="s">
        <v>657</v>
      </c>
      <c r="J22" s="1" t="s">
        <v>183</v>
      </c>
      <c r="K22" s="1" t="s">
        <v>141</v>
      </c>
      <c r="L22" s="1">
        <v>337</v>
      </c>
      <c r="M22" s="1" t="s">
        <v>13</v>
      </c>
      <c r="N22" s="1">
        <v>1050</v>
      </c>
      <c r="O22" s="47" t="str">
        <f t="shared" si="0"/>
        <v>&gt; 91 Days</v>
      </c>
      <c r="P22" s="1" t="s">
        <v>184</v>
      </c>
      <c r="Q22" s="1">
        <v>1001009714</v>
      </c>
      <c r="R22" s="1" t="s">
        <v>185</v>
      </c>
      <c r="S22" s="1" t="s">
        <v>144</v>
      </c>
      <c r="T22" s="1" t="s">
        <v>145</v>
      </c>
      <c r="U22" s="1" t="s">
        <v>146</v>
      </c>
      <c r="V22" s="1" t="s">
        <v>147</v>
      </c>
      <c r="W22" s="1" t="s">
        <v>148</v>
      </c>
      <c r="X22" s="44">
        <v>0</v>
      </c>
      <c r="Y22" s="44">
        <v>0</v>
      </c>
      <c r="Z22" s="44">
        <v>0</v>
      </c>
      <c r="AA22" s="44">
        <v>0</v>
      </c>
      <c r="AB22" s="44">
        <v>0</v>
      </c>
      <c r="AC22" s="44">
        <v>1002275</v>
      </c>
      <c r="AD22" s="45">
        <v>9069386</v>
      </c>
      <c r="AE22" s="45"/>
      <c r="AF22" s="46">
        <v>9069386</v>
      </c>
      <c r="AG22" s="55">
        <f t="shared" si="1"/>
        <v>0</v>
      </c>
      <c r="AH22" s="55">
        <f t="shared" si="2"/>
        <v>0</v>
      </c>
      <c r="AI22" s="55">
        <f t="shared" si="3"/>
        <v>0</v>
      </c>
      <c r="AJ22" s="55">
        <f t="shared" si="4"/>
        <v>9069386</v>
      </c>
    </row>
    <row r="23" spans="1:36" ht="15" customHeight="1">
      <c r="A23" s="1">
        <v>6</v>
      </c>
      <c r="B23" s="1" t="s">
        <v>180</v>
      </c>
      <c r="C23" s="1" t="s">
        <v>181</v>
      </c>
      <c r="D23" s="1" t="s">
        <v>182</v>
      </c>
      <c r="E23" s="1" t="s">
        <v>181</v>
      </c>
      <c r="F23" s="50" t="s">
        <v>673</v>
      </c>
      <c r="G23" s="50" t="s">
        <v>655</v>
      </c>
      <c r="H23" s="50" t="s">
        <v>656</v>
      </c>
      <c r="I23" s="50" t="s">
        <v>657</v>
      </c>
      <c r="J23" s="1" t="s">
        <v>183</v>
      </c>
      <c r="K23" s="1" t="s">
        <v>141</v>
      </c>
      <c r="L23" s="1">
        <v>338</v>
      </c>
      <c r="M23" s="1" t="s">
        <v>13</v>
      </c>
      <c r="N23" s="1">
        <v>1050</v>
      </c>
      <c r="O23" s="47" t="str">
        <f t="shared" si="0"/>
        <v>&gt; 91 Days</v>
      </c>
      <c r="P23" s="1" t="s">
        <v>184</v>
      </c>
      <c r="Q23" s="1">
        <v>1001010102</v>
      </c>
      <c r="R23" s="1" t="s">
        <v>185</v>
      </c>
      <c r="S23" s="1" t="s">
        <v>144</v>
      </c>
      <c r="T23" s="1" t="s">
        <v>145</v>
      </c>
      <c r="U23" s="1" t="s">
        <v>146</v>
      </c>
      <c r="V23" s="1" t="s">
        <v>147</v>
      </c>
      <c r="W23" s="1" t="s">
        <v>148</v>
      </c>
      <c r="X23" s="44">
        <v>0</v>
      </c>
      <c r="Y23" s="44">
        <v>0</v>
      </c>
      <c r="Z23" s="44">
        <v>0</v>
      </c>
      <c r="AA23" s="44">
        <v>0</v>
      </c>
      <c r="AB23" s="44">
        <v>0</v>
      </c>
      <c r="AC23" s="44">
        <v>1665562</v>
      </c>
      <c r="AD23" s="45">
        <v>45392605</v>
      </c>
      <c r="AE23" s="45"/>
      <c r="AF23" s="46">
        <v>45392605</v>
      </c>
      <c r="AG23" s="55">
        <f t="shared" si="1"/>
        <v>0</v>
      </c>
      <c r="AH23" s="55">
        <f t="shared" si="2"/>
        <v>0</v>
      </c>
      <c r="AI23" s="55">
        <f t="shared" si="3"/>
        <v>0</v>
      </c>
      <c r="AJ23" s="55">
        <f t="shared" si="4"/>
        <v>45392605</v>
      </c>
    </row>
    <row r="24" spans="1:36" ht="15" customHeight="1">
      <c r="A24" s="1">
        <v>6</v>
      </c>
      <c r="B24" s="1" t="s">
        <v>180</v>
      </c>
      <c r="C24" s="1" t="s">
        <v>181</v>
      </c>
      <c r="D24" s="1" t="s">
        <v>182</v>
      </c>
      <c r="E24" s="1" t="s">
        <v>181</v>
      </c>
      <c r="F24" s="50" t="s">
        <v>673</v>
      </c>
      <c r="G24" s="50" t="s">
        <v>655</v>
      </c>
      <c r="H24" s="50" t="s">
        <v>656</v>
      </c>
      <c r="I24" s="50" t="s">
        <v>657</v>
      </c>
      <c r="J24" s="1" t="s">
        <v>153</v>
      </c>
      <c r="K24" s="1" t="s">
        <v>141</v>
      </c>
      <c r="L24" s="1">
        <v>842</v>
      </c>
      <c r="M24" s="1" t="s">
        <v>14</v>
      </c>
      <c r="N24" s="1">
        <v>858</v>
      </c>
      <c r="O24" s="47" t="str">
        <f t="shared" si="0"/>
        <v>&gt; 91 Days</v>
      </c>
      <c r="P24" s="1" t="s">
        <v>142</v>
      </c>
      <c r="Q24" s="1">
        <v>1001009464</v>
      </c>
      <c r="R24" s="1" t="s">
        <v>186</v>
      </c>
      <c r="S24" s="1" t="s">
        <v>144</v>
      </c>
      <c r="T24" s="1" t="s">
        <v>145</v>
      </c>
      <c r="U24" s="1" t="s">
        <v>146</v>
      </c>
      <c r="V24" s="1" t="s">
        <v>147</v>
      </c>
      <c r="W24" s="1" t="s">
        <v>148</v>
      </c>
      <c r="X24" s="44">
        <v>0</v>
      </c>
      <c r="Y24" s="44">
        <v>0</v>
      </c>
      <c r="Z24" s="44">
        <v>0</v>
      </c>
      <c r="AA24" s="44">
        <v>0</v>
      </c>
      <c r="AB24" s="44">
        <v>0</v>
      </c>
      <c r="AC24" s="44">
        <v>1219</v>
      </c>
      <c r="AD24" s="45">
        <v>13417533</v>
      </c>
      <c r="AE24" s="45"/>
      <c r="AF24" s="46">
        <v>13417533</v>
      </c>
      <c r="AG24" s="55">
        <f t="shared" si="1"/>
        <v>0</v>
      </c>
      <c r="AH24" s="55">
        <f t="shared" si="2"/>
        <v>0</v>
      </c>
      <c r="AI24" s="55">
        <f t="shared" si="3"/>
        <v>0</v>
      </c>
      <c r="AJ24" s="55">
        <f t="shared" si="4"/>
        <v>13417533</v>
      </c>
    </row>
    <row r="25" spans="1:36" ht="15" customHeight="1">
      <c r="A25" s="1">
        <v>6</v>
      </c>
      <c r="B25" s="1" t="s">
        <v>180</v>
      </c>
      <c r="C25" s="1" t="s">
        <v>181</v>
      </c>
      <c r="D25" s="1" t="s">
        <v>182</v>
      </c>
      <c r="E25" s="1" t="s">
        <v>181</v>
      </c>
      <c r="F25" s="50" t="s">
        <v>673</v>
      </c>
      <c r="G25" s="50" t="s">
        <v>655</v>
      </c>
      <c r="H25" s="50" t="s">
        <v>656</v>
      </c>
      <c r="I25" s="50" t="s">
        <v>657</v>
      </c>
      <c r="J25" s="1" t="s">
        <v>153</v>
      </c>
      <c r="K25" s="1" t="s">
        <v>141</v>
      </c>
      <c r="L25" s="1">
        <v>865</v>
      </c>
      <c r="M25" s="1" t="s">
        <v>15</v>
      </c>
      <c r="N25" s="1">
        <v>857</v>
      </c>
      <c r="O25" s="47" t="str">
        <f t="shared" si="0"/>
        <v>&gt; 91 Days</v>
      </c>
      <c r="P25" s="1" t="s">
        <v>184</v>
      </c>
      <c r="Q25" s="1">
        <v>1001011419</v>
      </c>
      <c r="R25" s="1" t="s">
        <v>187</v>
      </c>
      <c r="S25" s="1" t="s">
        <v>144</v>
      </c>
      <c r="T25" s="1" t="s">
        <v>145</v>
      </c>
      <c r="U25" s="1" t="s">
        <v>146</v>
      </c>
      <c r="V25" s="1" t="s">
        <v>147</v>
      </c>
      <c r="W25" s="1" t="s">
        <v>148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1345</v>
      </c>
      <c r="AD25" s="45">
        <v>12967145</v>
      </c>
      <c r="AE25" s="45"/>
      <c r="AF25" s="46">
        <v>12967145</v>
      </c>
      <c r="AG25" s="55">
        <f t="shared" si="1"/>
        <v>0</v>
      </c>
      <c r="AH25" s="55">
        <f t="shared" si="2"/>
        <v>0</v>
      </c>
      <c r="AI25" s="55">
        <f t="shared" si="3"/>
        <v>0</v>
      </c>
      <c r="AJ25" s="55">
        <f t="shared" si="4"/>
        <v>12967145</v>
      </c>
    </row>
    <row r="26" spans="1:36" ht="15" customHeight="1">
      <c r="A26" s="1">
        <v>6</v>
      </c>
      <c r="B26" s="1" t="s">
        <v>180</v>
      </c>
      <c r="C26" s="1" t="s">
        <v>181</v>
      </c>
      <c r="D26" s="1" t="s">
        <v>182</v>
      </c>
      <c r="E26" s="1" t="s">
        <v>181</v>
      </c>
      <c r="F26" s="50" t="s">
        <v>673</v>
      </c>
      <c r="G26" s="50" t="s">
        <v>655</v>
      </c>
      <c r="H26" s="50" t="s">
        <v>656</v>
      </c>
      <c r="I26" s="50" t="s">
        <v>657</v>
      </c>
      <c r="J26" s="1" t="s">
        <v>153</v>
      </c>
      <c r="K26" s="1" t="s">
        <v>141</v>
      </c>
      <c r="L26" s="1">
        <v>866</v>
      </c>
      <c r="M26" s="1" t="s">
        <v>15</v>
      </c>
      <c r="N26" s="1">
        <v>857</v>
      </c>
      <c r="O26" s="47" t="str">
        <f t="shared" si="0"/>
        <v>&gt; 91 Days</v>
      </c>
      <c r="P26" s="1" t="s">
        <v>184</v>
      </c>
      <c r="Q26" s="1">
        <v>1001011955</v>
      </c>
      <c r="R26" s="1" t="s">
        <v>188</v>
      </c>
      <c r="S26" s="1" t="s">
        <v>144</v>
      </c>
      <c r="T26" s="1" t="s">
        <v>145</v>
      </c>
      <c r="U26" s="1" t="s">
        <v>146</v>
      </c>
      <c r="V26" s="1" t="s">
        <v>147</v>
      </c>
      <c r="W26" s="1" t="s">
        <v>148</v>
      </c>
      <c r="X26" s="44">
        <v>0</v>
      </c>
      <c r="Y26" s="44">
        <v>0</v>
      </c>
      <c r="Z26" s="44">
        <v>0</v>
      </c>
      <c r="AA26" s="44">
        <v>0</v>
      </c>
      <c r="AB26" s="44">
        <v>0</v>
      </c>
      <c r="AC26" s="44">
        <v>1401</v>
      </c>
      <c r="AD26" s="45">
        <v>14763738</v>
      </c>
      <c r="AE26" s="45"/>
      <c r="AF26" s="46">
        <v>14763738</v>
      </c>
      <c r="AG26" s="55">
        <f t="shared" si="1"/>
        <v>0</v>
      </c>
      <c r="AH26" s="55">
        <f t="shared" si="2"/>
        <v>0</v>
      </c>
      <c r="AI26" s="55">
        <f t="shared" si="3"/>
        <v>0</v>
      </c>
      <c r="AJ26" s="55">
        <f t="shared" si="4"/>
        <v>14763738</v>
      </c>
    </row>
    <row r="27" spans="1:36" ht="15" customHeight="1">
      <c r="A27" s="1">
        <v>7</v>
      </c>
      <c r="B27" s="1" t="s">
        <v>189</v>
      </c>
      <c r="C27" s="1" t="s">
        <v>190</v>
      </c>
      <c r="D27" s="1" t="s">
        <v>152</v>
      </c>
      <c r="E27" s="1" t="s">
        <v>190</v>
      </c>
      <c r="F27" s="48" t="s">
        <v>654</v>
      </c>
      <c r="G27" s="48" t="s">
        <v>655</v>
      </c>
      <c r="H27" s="48" t="s">
        <v>656</v>
      </c>
      <c r="I27" s="50" t="s">
        <v>665</v>
      </c>
      <c r="J27" s="1" t="s">
        <v>153</v>
      </c>
      <c r="K27" s="1" t="s">
        <v>141</v>
      </c>
      <c r="L27" s="1">
        <v>9085000132</v>
      </c>
      <c r="M27" s="1" t="s">
        <v>16</v>
      </c>
      <c r="N27" s="1">
        <v>221</v>
      </c>
      <c r="O27" s="47" t="str">
        <f t="shared" si="0"/>
        <v>&gt; 91 Days</v>
      </c>
      <c r="P27" s="1" t="s">
        <v>142</v>
      </c>
      <c r="Q27" s="1">
        <v>9081001142</v>
      </c>
      <c r="R27" s="1" t="s">
        <v>191</v>
      </c>
      <c r="S27" s="1" t="s">
        <v>192</v>
      </c>
      <c r="T27" s="1" t="s">
        <v>145</v>
      </c>
      <c r="U27" s="1" t="s">
        <v>146</v>
      </c>
      <c r="V27" s="1" t="s">
        <v>147</v>
      </c>
      <c r="W27" s="1" t="s">
        <v>160</v>
      </c>
      <c r="X27" s="44">
        <v>8.7200000000000006</v>
      </c>
      <c r="Y27" s="44">
        <v>0.47</v>
      </c>
      <c r="Z27" s="44">
        <v>0</v>
      </c>
      <c r="AA27" s="44">
        <v>0</v>
      </c>
      <c r="AB27" s="44">
        <v>0</v>
      </c>
      <c r="AC27" s="44">
        <v>483670</v>
      </c>
      <c r="AD27" s="45">
        <v>86556000</v>
      </c>
      <c r="AE27" s="45"/>
      <c r="AF27" s="46">
        <v>86556000</v>
      </c>
      <c r="AG27" s="55">
        <f t="shared" si="1"/>
        <v>0</v>
      </c>
      <c r="AH27" s="55">
        <f t="shared" si="2"/>
        <v>0</v>
      </c>
      <c r="AI27" s="55">
        <f t="shared" si="3"/>
        <v>0</v>
      </c>
      <c r="AJ27" s="55">
        <f t="shared" si="4"/>
        <v>86556000</v>
      </c>
    </row>
    <row r="28" spans="1:36" ht="15" customHeight="1">
      <c r="A28" s="1">
        <v>7</v>
      </c>
      <c r="B28" s="1" t="s">
        <v>189</v>
      </c>
      <c r="C28" s="1" t="s">
        <v>190</v>
      </c>
      <c r="D28" s="1" t="s">
        <v>152</v>
      </c>
      <c r="E28" s="1" t="s">
        <v>190</v>
      </c>
      <c r="F28" s="48" t="s">
        <v>654</v>
      </c>
      <c r="G28" s="48" t="s">
        <v>655</v>
      </c>
      <c r="H28" s="48" t="s">
        <v>656</v>
      </c>
      <c r="I28" s="50" t="s">
        <v>665</v>
      </c>
      <c r="J28" s="1" t="s">
        <v>153</v>
      </c>
      <c r="K28" s="1" t="s">
        <v>141</v>
      </c>
      <c r="L28" s="1">
        <v>9085000133</v>
      </c>
      <c r="M28" s="1" t="s">
        <v>16</v>
      </c>
      <c r="N28" s="1">
        <v>221</v>
      </c>
      <c r="O28" s="47" t="str">
        <f t="shared" si="0"/>
        <v>&gt; 91 Days</v>
      </c>
      <c r="P28" s="1" t="s">
        <v>142</v>
      </c>
      <c r="Q28" s="1">
        <v>9081001142</v>
      </c>
      <c r="R28" s="1" t="s">
        <v>191</v>
      </c>
      <c r="S28" s="1" t="s">
        <v>192</v>
      </c>
      <c r="T28" s="1" t="s">
        <v>145</v>
      </c>
      <c r="U28" s="1" t="s">
        <v>146</v>
      </c>
      <c r="V28" s="1" t="s">
        <v>147</v>
      </c>
      <c r="W28" s="1" t="s">
        <v>160</v>
      </c>
      <c r="X28" s="44">
        <v>8.56</v>
      </c>
      <c r="Y28" s="44">
        <v>0.56999999999999995</v>
      </c>
      <c r="Z28" s="44">
        <v>0</v>
      </c>
      <c r="AA28" s="44">
        <v>0</v>
      </c>
      <c r="AB28" s="44">
        <v>0</v>
      </c>
      <c r="AC28" s="44">
        <v>27.81</v>
      </c>
      <c r="AD28" s="45">
        <v>348459</v>
      </c>
      <c r="AE28" s="45"/>
      <c r="AF28" s="46">
        <v>348459</v>
      </c>
      <c r="AG28" s="55">
        <f t="shared" si="1"/>
        <v>0</v>
      </c>
      <c r="AH28" s="55">
        <f t="shared" si="2"/>
        <v>0</v>
      </c>
      <c r="AI28" s="55">
        <f t="shared" si="3"/>
        <v>0</v>
      </c>
      <c r="AJ28" s="55">
        <f t="shared" si="4"/>
        <v>348459</v>
      </c>
    </row>
    <row r="29" spans="1:36" ht="15" customHeight="1">
      <c r="A29" s="1">
        <v>7</v>
      </c>
      <c r="B29" s="1" t="s">
        <v>189</v>
      </c>
      <c r="C29" s="1" t="s">
        <v>190</v>
      </c>
      <c r="D29" s="1" t="s">
        <v>152</v>
      </c>
      <c r="E29" s="1" t="s">
        <v>190</v>
      </c>
      <c r="F29" s="48" t="s">
        <v>654</v>
      </c>
      <c r="G29" s="48" t="s">
        <v>655</v>
      </c>
      <c r="H29" s="48" t="s">
        <v>656</v>
      </c>
      <c r="I29" s="50" t="s">
        <v>665</v>
      </c>
      <c r="J29" s="1" t="s">
        <v>153</v>
      </c>
      <c r="K29" s="1" t="s">
        <v>141</v>
      </c>
      <c r="L29" s="1">
        <v>9085000140</v>
      </c>
      <c r="M29" s="1" t="s">
        <v>17</v>
      </c>
      <c r="N29" s="1">
        <v>212</v>
      </c>
      <c r="O29" s="47" t="str">
        <f t="shared" si="0"/>
        <v>&gt; 91 Days</v>
      </c>
      <c r="P29" s="1" t="s">
        <v>142</v>
      </c>
      <c r="Q29" s="1">
        <v>9081001113</v>
      </c>
      <c r="R29" s="1" t="s">
        <v>193</v>
      </c>
      <c r="S29" s="1" t="s">
        <v>144</v>
      </c>
      <c r="T29" s="1" t="s">
        <v>145</v>
      </c>
      <c r="U29" s="1" t="s">
        <v>146</v>
      </c>
      <c r="V29" s="1" t="s">
        <v>147</v>
      </c>
      <c r="W29" s="1" t="s">
        <v>160</v>
      </c>
      <c r="X29" s="44">
        <v>6</v>
      </c>
      <c r="Y29" s="44">
        <v>0.38</v>
      </c>
      <c r="Z29" s="44">
        <v>0</v>
      </c>
      <c r="AA29" s="44">
        <v>0</v>
      </c>
      <c r="AB29" s="44">
        <v>0</v>
      </c>
      <c r="AC29" s="44">
        <v>1001200</v>
      </c>
      <c r="AD29" s="45">
        <v>260547000</v>
      </c>
      <c r="AE29" s="45"/>
      <c r="AF29" s="46">
        <v>260547000</v>
      </c>
      <c r="AG29" s="55">
        <f t="shared" si="1"/>
        <v>0</v>
      </c>
      <c r="AH29" s="55">
        <f t="shared" si="2"/>
        <v>0</v>
      </c>
      <c r="AI29" s="55">
        <f t="shared" si="3"/>
        <v>0</v>
      </c>
      <c r="AJ29" s="55">
        <f t="shared" si="4"/>
        <v>260547000</v>
      </c>
    </row>
    <row r="30" spans="1:36" ht="15" customHeight="1">
      <c r="A30" s="1">
        <v>7</v>
      </c>
      <c r="B30" s="1" t="s">
        <v>189</v>
      </c>
      <c r="C30" s="1" t="s">
        <v>190</v>
      </c>
      <c r="D30" s="1" t="s">
        <v>152</v>
      </c>
      <c r="E30" s="1" t="s">
        <v>190</v>
      </c>
      <c r="F30" s="48" t="s">
        <v>654</v>
      </c>
      <c r="G30" s="48" t="s">
        <v>655</v>
      </c>
      <c r="H30" s="48" t="s">
        <v>656</v>
      </c>
      <c r="I30" s="50" t="s">
        <v>665</v>
      </c>
      <c r="J30" s="1" t="s">
        <v>153</v>
      </c>
      <c r="K30" s="1" t="s">
        <v>141</v>
      </c>
      <c r="L30" s="1">
        <v>9085000141</v>
      </c>
      <c r="M30" s="1" t="s">
        <v>17</v>
      </c>
      <c r="N30" s="1">
        <v>212</v>
      </c>
      <c r="O30" s="47" t="str">
        <f t="shared" si="0"/>
        <v>&gt; 91 Days</v>
      </c>
      <c r="P30" s="1" t="s">
        <v>142</v>
      </c>
      <c r="Q30" s="1">
        <v>9081001113</v>
      </c>
      <c r="R30" s="1" t="s">
        <v>193</v>
      </c>
      <c r="S30" s="1" t="s">
        <v>144</v>
      </c>
      <c r="T30" s="1" t="s">
        <v>145</v>
      </c>
      <c r="U30" s="1" t="s">
        <v>146</v>
      </c>
      <c r="V30" s="1" t="s">
        <v>147</v>
      </c>
      <c r="W30" s="1" t="s">
        <v>160</v>
      </c>
      <c r="X30" s="44">
        <v>6.43</v>
      </c>
      <c r="Y30" s="44">
        <v>0.63</v>
      </c>
      <c r="Z30" s="44">
        <v>0</v>
      </c>
      <c r="AA30" s="44">
        <v>0</v>
      </c>
      <c r="AB30" s="44">
        <v>0</v>
      </c>
      <c r="AC30" s="44">
        <v>52.33</v>
      </c>
      <c r="AD30" s="45">
        <v>703629</v>
      </c>
      <c r="AE30" s="45"/>
      <c r="AF30" s="46">
        <v>703629</v>
      </c>
      <c r="AG30" s="55">
        <f t="shared" si="1"/>
        <v>0</v>
      </c>
      <c r="AH30" s="55">
        <f t="shared" si="2"/>
        <v>0</v>
      </c>
      <c r="AI30" s="55">
        <f t="shared" si="3"/>
        <v>0</v>
      </c>
      <c r="AJ30" s="55">
        <f t="shared" si="4"/>
        <v>703629</v>
      </c>
    </row>
    <row r="31" spans="1:36" ht="15" customHeight="1">
      <c r="A31" s="1">
        <v>7</v>
      </c>
      <c r="B31" s="1" t="s">
        <v>189</v>
      </c>
      <c r="C31" s="1" t="s">
        <v>190</v>
      </c>
      <c r="D31" s="1" t="s">
        <v>152</v>
      </c>
      <c r="E31" s="1" t="s">
        <v>190</v>
      </c>
      <c r="F31" s="48" t="s">
        <v>654</v>
      </c>
      <c r="G31" s="48" t="s">
        <v>655</v>
      </c>
      <c r="H31" s="48" t="s">
        <v>656</v>
      </c>
      <c r="I31" s="50" t="s">
        <v>665</v>
      </c>
      <c r="J31" s="1" t="s">
        <v>140</v>
      </c>
      <c r="K31" s="1" t="s">
        <v>141</v>
      </c>
      <c r="L31" s="1">
        <v>9085000149</v>
      </c>
      <c r="M31" s="1" t="s">
        <v>18</v>
      </c>
      <c r="N31" s="1">
        <v>206</v>
      </c>
      <c r="O31" s="47" t="str">
        <f t="shared" si="0"/>
        <v>&gt; 91 Days</v>
      </c>
      <c r="P31" s="1" t="s">
        <v>142</v>
      </c>
      <c r="Q31" s="1">
        <v>9081001132</v>
      </c>
      <c r="R31" s="1" t="s">
        <v>194</v>
      </c>
      <c r="S31" s="1" t="s">
        <v>144</v>
      </c>
      <c r="T31" s="1" t="s">
        <v>145</v>
      </c>
      <c r="U31" s="1" t="s">
        <v>146</v>
      </c>
      <c r="V31" s="1" t="s">
        <v>147</v>
      </c>
      <c r="W31" s="1" t="s">
        <v>160</v>
      </c>
      <c r="X31" s="44">
        <v>5.57</v>
      </c>
      <c r="Y31" s="44">
        <v>0.3</v>
      </c>
      <c r="Z31" s="44">
        <v>0</v>
      </c>
      <c r="AA31" s="44">
        <v>0</v>
      </c>
      <c r="AB31" s="44">
        <v>0</v>
      </c>
      <c r="AC31" s="44">
        <v>1000330</v>
      </c>
      <c r="AD31" s="45">
        <v>162650000</v>
      </c>
      <c r="AE31" s="45"/>
      <c r="AF31" s="46">
        <v>162650000</v>
      </c>
      <c r="AG31" s="55">
        <f t="shared" si="1"/>
        <v>0</v>
      </c>
      <c r="AH31" s="55">
        <f t="shared" si="2"/>
        <v>0</v>
      </c>
      <c r="AI31" s="55">
        <f t="shared" si="3"/>
        <v>0</v>
      </c>
      <c r="AJ31" s="55">
        <f t="shared" si="4"/>
        <v>162650000</v>
      </c>
    </row>
    <row r="32" spans="1:36" ht="15" customHeight="1">
      <c r="A32" s="1">
        <v>7</v>
      </c>
      <c r="B32" s="1" t="s">
        <v>189</v>
      </c>
      <c r="C32" s="1" t="s">
        <v>190</v>
      </c>
      <c r="D32" s="1" t="s">
        <v>152</v>
      </c>
      <c r="E32" s="1" t="s">
        <v>190</v>
      </c>
      <c r="F32" s="48" t="s">
        <v>654</v>
      </c>
      <c r="G32" s="48" t="s">
        <v>655</v>
      </c>
      <c r="H32" s="48" t="s">
        <v>656</v>
      </c>
      <c r="I32" s="50" t="s">
        <v>665</v>
      </c>
      <c r="J32" s="1" t="s">
        <v>153</v>
      </c>
      <c r="K32" s="1" t="s">
        <v>141</v>
      </c>
      <c r="L32" s="1">
        <v>9085000152</v>
      </c>
      <c r="M32" s="1" t="s">
        <v>7</v>
      </c>
      <c r="N32" s="1">
        <v>200</v>
      </c>
      <c r="O32" s="47" t="str">
        <f t="shared" si="0"/>
        <v>&gt; 91 Days</v>
      </c>
      <c r="P32" s="1" t="s">
        <v>142</v>
      </c>
      <c r="Q32" s="1">
        <v>9081001149</v>
      </c>
      <c r="R32" s="1" t="s">
        <v>195</v>
      </c>
      <c r="S32" s="1" t="s">
        <v>144</v>
      </c>
      <c r="T32" s="1" t="s">
        <v>145</v>
      </c>
      <c r="U32" s="1" t="s">
        <v>146</v>
      </c>
      <c r="V32" s="1" t="s">
        <v>147</v>
      </c>
      <c r="W32" s="1" t="s">
        <v>160</v>
      </c>
      <c r="X32" s="44">
        <v>5.96</v>
      </c>
      <c r="Y32" s="44">
        <v>0</v>
      </c>
      <c r="Z32" s="44">
        <v>0</v>
      </c>
      <c r="AA32" s="44">
        <v>0</v>
      </c>
      <c r="AB32" s="44">
        <v>0</v>
      </c>
      <c r="AC32" s="44">
        <v>1003400</v>
      </c>
      <c r="AD32" s="45">
        <v>200680000</v>
      </c>
      <c r="AE32" s="45"/>
      <c r="AF32" s="46">
        <v>200680000</v>
      </c>
      <c r="AG32" s="55">
        <f t="shared" si="1"/>
        <v>0</v>
      </c>
      <c r="AH32" s="55">
        <f t="shared" si="2"/>
        <v>0</v>
      </c>
      <c r="AI32" s="55">
        <f t="shared" si="3"/>
        <v>0</v>
      </c>
      <c r="AJ32" s="55">
        <f t="shared" si="4"/>
        <v>200680000</v>
      </c>
    </row>
    <row r="33" spans="1:36" ht="15" customHeight="1">
      <c r="A33" s="1">
        <v>7</v>
      </c>
      <c r="B33" s="1" t="s">
        <v>189</v>
      </c>
      <c r="C33" s="1" t="s">
        <v>190</v>
      </c>
      <c r="D33" s="1" t="s">
        <v>152</v>
      </c>
      <c r="E33" s="1" t="s">
        <v>190</v>
      </c>
      <c r="F33" s="48" t="s">
        <v>654</v>
      </c>
      <c r="G33" s="48" t="s">
        <v>655</v>
      </c>
      <c r="H33" s="48" t="s">
        <v>656</v>
      </c>
      <c r="I33" s="50" t="s">
        <v>665</v>
      </c>
      <c r="J33" s="1" t="s">
        <v>140</v>
      </c>
      <c r="K33" s="1" t="s">
        <v>141</v>
      </c>
      <c r="L33" s="1">
        <v>9085000153</v>
      </c>
      <c r="M33" s="1" t="s">
        <v>7</v>
      </c>
      <c r="N33" s="1">
        <v>200</v>
      </c>
      <c r="O33" s="47" t="str">
        <f t="shared" si="0"/>
        <v>&gt; 91 Days</v>
      </c>
      <c r="P33" s="1" t="s">
        <v>142</v>
      </c>
      <c r="Q33" s="1">
        <v>9081001128</v>
      </c>
      <c r="R33" s="1" t="s">
        <v>196</v>
      </c>
      <c r="S33" s="1" t="s">
        <v>144</v>
      </c>
      <c r="T33" s="1" t="s">
        <v>145</v>
      </c>
      <c r="U33" s="1" t="s">
        <v>146</v>
      </c>
      <c r="V33" s="1" t="s">
        <v>147</v>
      </c>
      <c r="W33" s="1" t="s">
        <v>160</v>
      </c>
      <c r="X33" s="44">
        <v>5.33</v>
      </c>
      <c r="Y33" s="44">
        <v>0.28999999999999998</v>
      </c>
      <c r="Z33" s="44">
        <v>0</v>
      </c>
      <c r="AA33" s="44">
        <v>0</v>
      </c>
      <c r="AB33" s="44">
        <v>0</v>
      </c>
      <c r="AC33" s="44">
        <v>998160</v>
      </c>
      <c r="AD33" s="45">
        <v>99816000</v>
      </c>
      <c r="AE33" s="45"/>
      <c r="AF33" s="46">
        <v>99816000</v>
      </c>
      <c r="AG33" s="55">
        <f t="shared" si="1"/>
        <v>0</v>
      </c>
      <c r="AH33" s="55">
        <f t="shared" si="2"/>
        <v>0</v>
      </c>
      <c r="AI33" s="55">
        <f t="shared" si="3"/>
        <v>0</v>
      </c>
      <c r="AJ33" s="55">
        <f t="shared" si="4"/>
        <v>99816000</v>
      </c>
    </row>
    <row r="34" spans="1:36" ht="15" customHeight="1">
      <c r="A34" s="1">
        <v>7</v>
      </c>
      <c r="B34" s="1" t="s">
        <v>189</v>
      </c>
      <c r="C34" s="1" t="s">
        <v>190</v>
      </c>
      <c r="D34" s="1" t="s">
        <v>152</v>
      </c>
      <c r="E34" s="1" t="s">
        <v>190</v>
      </c>
      <c r="F34" s="48" t="s">
        <v>654</v>
      </c>
      <c r="G34" s="48" t="s">
        <v>655</v>
      </c>
      <c r="H34" s="48" t="s">
        <v>656</v>
      </c>
      <c r="I34" s="50" t="s">
        <v>665</v>
      </c>
      <c r="J34" s="1" t="s">
        <v>153</v>
      </c>
      <c r="K34" s="1" t="s">
        <v>141</v>
      </c>
      <c r="L34" s="1">
        <v>9085000165</v>
      </c>
      <c r="M34" s="1" t="s">
        <v>19</v>
      </c>
      <c r="N34" s="1">
        <v>184</v>
      </c>
      <c r="O34" s="47" t="str">
        <f t="shared" si="0"/>
        <v>&gt; 91 Days</v>
      </c>
      <c r="P34" s="1" t="s">
        <v>142</v>
      </c>
      <c r="Q34" s="1">
        <v>9081001175</v>
      </c>
      <c r="R34" s="1" t="s">
        <v>197</v>
      </c>
      <c r="S34" s="1" t="s">
        <v>144</v>
      </c>
      <c r="T34" s="1" t="s">
        <v>145</v>
      </c>
      <c r="U34" s="1" t="s">
        <v>146</v>
      </c>
      <c r="V34" s="1" t="s">
        <v>147</v>
      </c>
      <c r="W34" s="1" t="s">
        <v>160</v>
      </c>
      <c r="X34" s="44">
        <v>5.48</v>
      </c>
      <c r="Y34" s="44">
        <v>0.34</v>
      </c>
      <c r="Z34" s="44">
        <v>0</v>
      </c>
      <c r="AA34" s="44">
        <v>0</v>
      </c>
      <c r="AB34" s="44">
        <v>0</v>
      </c>
      <c r="AC34" s="44">
        <v>1011420</v>
      </c>
      <c r="AD34" s="45">
        <v>138432000</v>
      </c>
      <c r="AE34" s="45"/>
      <c r="AF34" s="46">
        <v>138432000</v>
      </c>
      <c r="AG34" s="55">
        <f t="shared" si="1"/>
        <v>0</v>
      </c>
      <c r="AH34" s="55">
        <f t="shared" si="2"/>
        <v>0</v>
      </c>
      <c r="AI34" s="55">
        <f t="shared" si="3"/>
        <v>0</v>
      </c>
      <c r="AJ34" s="55">
        <f t="shared" si="4"/>
        <v>138432000</v>
      </c>
    </row>
    <row r="35" spans="1:36" ht="15" customHeight="1">
      <c r="A35" s="1">
        <v>7</v>
      </c>
      <c r="B35" s="1" t="s">
        <v>189</v>
      </c>
      <c r="C35" s="1" t="s">
        <v>190</v>
      </c>
      <c r="D35" s="1" t="s">
        <v>152</v>
      </c>
      <c r="E35" s="1" t="s">
        <v>190</v>
      </c>
      <c r="F35" s="48" t="s">
        <v>654</v>
      </c>
      <c r="G35" s="48" t="s">
        <v>655</v>
      </c>
      <c r="H35" s="48" t="s">
        <v>656</v>
      </c>
      <c r="I35" s="50" t="s">
        <v>665</v>
      </c>
      <c r="J35" s="1" t="s">
        <v>153</v>
      </c>
      <c r="K35" s="1" t="s">
        <v>141</v>
      </c>
      <c r="L35" s="1">
        <v>9085000169</v>
      </c>
      <c r="M35" s="1" t="s">
        <v>20</v>
      </c>
      <c r="N35" s="1">
        <v>179</v>
      </c>
      <c r="O35" s="47" t="str">
        <f t="shared" si="0"/>
        <v>&gt; 91 Days</v>
      </c>
      <c r="P35" s="1" t="s">
        <v>142</v>
      </c>
      <c r="Q35" s="1">
        <v>9081001197</v>
      </c>
      <c r="R35" s="1" t="s">
        <v>198</v>
      </c>
      <c r="S35" s="1" t="s">
        <v>144</v>
      </c>
      <c r="T35" s="1" t="s">
        <v>145</v>
      </c>
      <c r="U35" s="1" t="s">
        <v>146</v>
      </c>
      <c r="V35" s="1" t="s">
        <v>147</v>
      </c>
      <c r="W35" s="1" t="s">
        <v>160</v>
      </c>
      <c r="X35" s="44">
        <v>5.44</v>
      </c>
      <c r="Y35" s="44">
        <v>0.35</v>
      </c>
      <c r="Z35" s="44">
        <v>0</v>
      </c>
      <c r="AA35" s="44">
        <v>0</v>
      </c>
      <c r="AB35" s="44">
        <v>0</v>
      </c>
      <c r="AC35" s="44">
        <v>767710</v>
      </c>
      <c r="AD35" s="45">
        <v>107248000</v>
      </c>
      <c r="AE35" s="45"/>
      <c r="AF35" s="46">
        <v>107248000</v>
      </c>
      <c r="AG35" s="55">
        <f t="shared" si="1"/>
        <v>0</v>
      </c>
      <c r="AH35" s="55">
        <f t="shared" si="2"/>
        <v>0</v>
      </c>
      <c r="AI35" s="55">
        <f t="shared" si="3"/>
        <v>0</v>
      </c>
      <c r="AJ35" s="55">
        <f t="shared" si="4"/>
        <v>107248000</v>
      </c>
    </row>
    <row r="36" spans="1:36" ht="15" customHeight="1">
      <c r="A36" s="1">
        <v>7</v>
      </c>
      <c r="B36" s="1" t="s">
        <v>189</v>
      </c>
      <c r="C36" s="1" t="s">
        <v>190</v>
      </c>
      <c r="D36" s="1" t="s">
        <v>152</v>
      </c>
      <c r="E36" s="1" t="s">
        <v>190</v>
      </c>
      <c r="F36" s="48" t="s">
        <v>654</v>
      </c>
      <c r="G36" s="48" t="s">
        <v>655</v>
      </c>
      <c r="H36" s="48" t="s">
        <v>656</v>
      </c>
      <c r="I36" s="50" t="s">
        <v>665</v>
      </c>
      <c r="J36" s="1" t="s">
        <v>153</v>
      </c>
      <c r="K36" s="1" t="s">
        <v>141</v>
      </c>
      <c r="L36" s="1">
        <v>9085000173</v>
      </c>
      <c r="M36" s="1" t="s">
        <v>21</v>
      </c>
      <c r="N36" s="1">
        <v>176</v>
      </c>
      <c r="O36" s="47" t="str">
        <f t="shared" si="0"/>
        <v>&gt; 91 Days</v>
      </c>
      <c r="P36" s="1" t="s">
        <v>142</v>
      </c>
      <c r="Q36" s="1">
        <v>9081001222</v>
      </c>
      <c r="R36" s="1" t="s">
        <v>199</v>
      </c>
      <c r="S36" s="1" t="s">
        <v>144</v>
      </c>
      <c r="T36" s="1" t="s">
        <v>145</v>
      </c>
      <c r="U36" s="1" t="s">
        <v>146</v>
      </c>
      <c r="V36" s="1" t="s">
        <v>147</v>
      </c>
      <c r="W36" s="1" t="s">
        <v>160</v>
      </c>
      <c r="X36" s="44">
        <v>5.73</v>
      </c>
      <c r="Y36" s="44">
        <v>0.35</v>
      </c>
      <c r="Z36" s="44">
        <v>0</v>
      </c>
      <c r="AA36" s="44">
        <v>0</v>
      </c>
      <c r="AB36" s="44">
        <v>0</v>
      </c>
      <c r="AC36" s="44">
        <v>999820</v>
      </c>
      <c r="AD36" s="45">
        <v>197707000</v>
      </c>
      <c r="AE36" s="45"/>
      <c r="AF36" s="46">
        <v>197707000</v>
      </c>
      <c r="AG36" s="55">
        <f t="shared" si="1"/>
        <v>0</v>
      </c>
      <c r="AH36" s="55">
        <f t="shared" si="2"/>
        <v>0</v>
      </c>
      <c r="AI36" s="55">
        <f t="shared" si="3"/>
        <v>0</v>
      </c>
      <c r="AJ36" s="55">
        <f t="shared" si="4"/>
        <v>197707000</v>
      </c>
    </row>
    <row r="37" spans="1:36" ht="15" customHeight="1">
      <c r="A37" s="1">
        <v>7</v>
      </c>
      <c r="B37" s="1" t="s">
        <v>189</v>
      </c>
      <c r="C37" s="1" t="s">
        <v>190</v>
      </c>
      <c r="D37" s="1" t="s">
        <v>152</v>
      </c>
      <c r="E37" s="1" t="s">
        <v>190</v>
      </c>
      <c r="F37" s="48" t="s">
        <v>654</v>
      </c>
      <c r="G37" s="48" t="s">
        <v>655</v>
      </c>
      <c r="H37" s="48" t="s">
        <v>656</v>
      </c>
      <c r="I37" s="50" t="s">
        <v>665</v>
      </c>
      <c r="J37" s="1" t="s">
        <v>153</v>
      </c>
      <c r="K37" s="1" t="s">
        <v>141</v>
      </c>
      <c r="L37" s="1">
        <v>9085000174</v>
      </c>
      <c r="M37" s="1" t="s">
        <v>21</v>
      </c>
      <c r="N37" s="1">
        <v>176</v>
      </c>
      <c r="O37" s="47" t="str">
        <f t="shared" si="0"/>
        <v>&gt; 91 Days</v>
      </c>
      <c r="P37" s="1" t="s">
        <v>142</v>
      </c>
      <c r="Q37" s="1">
        <v>9081001209</v>
      </c>
      <c r="R37" s="1" t="s">
        <v>200</v>
      </c>
      <c r="S37" s="1" t="s">
        <v>144</v>
      </c>
      <c r="T37" s="1" t="s">
        <v>145</v>
      </c>
      <c r="U37" s="1" t="s">
        <v>146</v>
      </c>
      <c r="V37" s="1" t="s">
        <v>147</v>
      </c>
      <c r="W37" s="1" t="s">
        <v>160</v>
      </c>
      <c r="X37" s="44">
        <v>5.54</v>
      </c>
      <c r="Y37" s="44">
        <v>0.36</v>
      </c>
      <c r="Z37" s="44">
        <v>0</v>
      </c>
      <c r="AA37" s="44">
        <v>0</v>
      </c>
      <c r="AB37" s="44">
        <v>0</v>
      </c>
      <c r="AC37" s="44">
        <v>1000200</v>
      </c>
      <c r="AD37" s="45">
        <v>149987000</v>
      </c>
      <c r="AE37" s="45"/>
      <c r="AF37" s="46">
        <v>149987000</v>
      </c>
      <c r="AG37" s="55">
        <f t="shared" si="1"/>
        <v>0</v>
      </c>
      <c r="AH37" s="55">
        <f t="shared" si="2"/>
        <v>0</v>
      </c>
      <c r="AI37" s="55">
        <f t="shared" si="3"/>
        <v>0</v>
      </c>
      <c r="AJ37" s="55">
        <f t="shared" si="4"/>
        <v>149987000</v>
      </c>
    </row>
    <row r="38" spans="1:36" ht="15" customHeight="1">
      <c r="A38" s="1">
        <v>7</v>
      </c>
      <c r="B38" s="1" t="s">
        <v>189</v>
      </c>
      <c r="C38" s="1" t="s">
        <v>190</v>
      </c>
      <c r="D38" s="1" t="s">
        <v>152</v>
      </c>
      <c r="E38" s="1" t="s">
        <v>190</v>
      </c>
      <c r="F38" s="48" t="s">
        <v>654</v>
      </c>
      <c r="G38" s="48" t="s">
        <v>655</v>
      </c>
      <c r="H38" s="48" t="s">
        <v>656</v>
      </c>
      <c r="I38" s="50" t="s">
        <v>665</v>
      </c>
      <c r="J38" s="1" t="s">
        <v>153</v>
      </c>
      <c r="K38" s="1" t="s">
        <v>141</v>
      </c>
      <c r="L38" s="1">
        <v>9085000175</v>
      </c>
      <c r="M38" s="1" t="s">
        <v>21</v>
      </c>
      <c r="N38" s="1">
        <v>176</v>
      </c>
      <c r="O38" s="47" t="str">
        <f t="shared" si="0"/>
        <v>&gt; 91 Days</v>
      </c>
      <c r="P38" s="1" t="s">
        <v>142</v>
      </c>
      <c r="Q38" s="1">
        <v>9081001236</v>
      </c>
      <c r="R38" s="1" t="s">
        <v>201</v>
      </c>
      <c r="S38" s="1" t="s">
        <v>144</v>
      </c>
      <c r="T38" s="1" t="s">
        <v>145</v>
      </c>
      <c r="U38" s="1" t="s">
        <v>146</v>
      </c>
      <c r="V38" s="1" t="s">
        <v>147</v>
      </c>
      <c r="W38" s="1" t="s">
        <v>160</v>
      </c>
      <c r="X38" s="44">
        <v>5.17</v>
      </c>
      <c r="Y38" s="44">
        <v>0.32</v>
      </c>
      <c r="Z38" s="44">
        <v>0</v>
      </c>
      <c r="AA38" s="44">
        <v>0</v>
      </c>
      <c r="AB38" s="44">
        <v>0</v>
      </c>
      <c r="AC38" s="44">
        <v>999870</v>
      </c>
      <c r="AD38" s="45">
        <v>105125000</v>
      </c>
      <c r="AE38" s="45"/>
      <c r="AF38" s="46">
        <v>105125000</v>
      </c>
      <c r="AG38" s="55">
        <f t="shared" si="1"/>
        <v>0</v>
      </c>
      <c r="AH38" s="55">
        <f t="shared" si="2"/>
        <v>0</v>
      </c>
      <c r="AI38" s="55">
        <f t="shared" si="3"/>
        <v>0</v>
      </c>
      <c r="AJ38" s="55">
        <f t="shared" si="4"/>
        <v>105125000</v>
      </c>
    </row>
    <row r="39" spans="1:36" ht="15" customHeight="1">
      <c r="A39" s="1">
        <v>7</v>
      </c>
      <c r="B39" s="1" t="s">
        <v>189</v>
      </c>
      <c r="C39" s="1" t="s">
        <v>190</v>
      </c>
      <c r="D39" s="1" t="s">
        <v>152</v>
      </c>
      <c r="E39" s="1" t="s">
        <v>190</v>
      </c>
      <c r="F39" s="48" t="s">
        <v>654</v>
      </c>
      <c r="G39" s="48" t="s">
        <v>655</v>
      </c>
      <c r="H39" s="48" t="s">
        <v>656</v>
      </c>
      <c r="I39" s="50" t="s">
        <v>665</v>
      </c>
      <c r="J39" s="1" t="s">
        <v>153</v>
      </c>
      <c r="K39" s="1" t="s">
        <v>141</v>
      </c>
      <c r="L39" s="1">
        <v>9085000180</v>
      </c>
      <c r="M39" s="1" t="s">
        <v>22</v>
      </c>
      <c r="N39" s="1">
        <v>170</v>
      </c>
      <c r="O39" s="47" t="str">
        <f t="shared" si="0"/>
        <v>&gt; 91 Days</v>
      </c>
      <c r="P39" s="1" t="s">
        <v>142</v>
      </c>
      <c r="Q39" s="1">
        <v>9081001255</v>
      </c>
      <c r="R39" s="1" t="s">
        <v>202</v>
      </c>
      <c r="S39" s="1" t="s">
        <v>144</v>
      </c>
      <c r="T39" s="1" t="s">
        <v>145</v>
      </c>
      <c r="U39" s="1" t="s">
        <v>146</v>
      </c>
      <c r="V39" s="1" t="s">
        <v>147</v>
      </c>
      <c r="W39" s="1" t="s">
        <v>160</v>
      </c>
      <c r="X39" s="44">
        <v>5.74</v>
      </c>
      <c r="Y39" s="44">
        <v>0.33</v>
      </c>
      <c r="Z39" s="44">
        <v>0</v>
      </c>
      <c r="AA39" s="44">
        <v>0</v>
      </c>
      <c r="AB39" s="44">
        <v>0</v>
      </c>
      <c r="AC39" s="44">
        <v>999060</v>
      </c>
      <c r="AD39" s="45">
        <v>191069000</v>
      </c>
      <c r="AE39" s="45"/>
      <c r="AF39" s="46">
        <v>191069000</v>
      </c>
      <c r="AG39" s="55">
        <f t="shared" si="1"/>
        <v>0</v>
      </c>
      <c r="AH39" s="55">
        <f t="shared" si="2"/>
        <v>0</v>
      </c>
      <c r="AI39" s="55">
        <f t="shared" si="3"/>
        <v>0</v>
      </c>
      <c r="AJ39" s="55">
        <f t="shared" si="4"/>
        <v>191069000</v>
      </c>
    </row>
    <row r="40" spans="1:36" ht="15" customHeight="1">
      <c r="A40" s="1">
        <v>7</v>
      </c>
      <c r="B40" s="1" t="s">
        <v>189</v>
      </c>
      <c r="C40" s="1" t="s">
        <v>190</v>
      </c>
      <c r="D40" s="1" t="s">
        <v>152</v>
      </c>
      <c r="E40" s="1" t="s">
        <v>190</v>
      </c>
      <c r="F40" s="48" t="s">
        <v>654</v>
      </c>
      <c r="G40" s="48" t="s">
        <v>655</v>
      </c>
      <c r="H40" s="48" t="s">
        <v>656</v>
      </c>
      <c r="I40" s="50" t="s">
        <v>665</v>
      </c>
      <c r="J40" s="1" t="s">
        <v>153</v>
      </c>
      <c r="K40" s="1" t="s">
        <v>141</v>
      </c>
      <c r="L40" s="1">
        <v>9085000181</v>
      </c>
      <c r="M40" s="1" t="s">
        <v>22</v>
      </c>
      <c r="N40" s="1">
        <v>170</v>
      </c>
      <c r="O40" s="47" t="str">
        <f t="shared" si="0"/>
        <v>&gt; 91 Days</v>
      </c>
      <c r="P40" s="1" t="s">
        <v>142</v>
      </c>
      <c r="Q40" s="1">
        <v>9081001265</v>
      </c>
      <c r="R40" s="1" t="s">
        <v>203</v>
      </c>
      <c r="S40" s="1" t="s">
        <v>144</v>
      </c>
      <c r="T40" s="1" t="s">
        <v>145</v>
      </c>
      <c r="U40" s="1" t="s">
        <v>146</v>
      </c>
      <c r="V40" s="1" t="s">
        <v>147</v>
      </c>
      <c r="W40" s="1" t="s">
        <v>160</v>
      </c>
      <c r="X40" s="44">
        <v>5.91</v>
      </c>
      <c r="Y40" s="44">
        <v>0.34</v>
      </c>
      <c r="Z40" s="44">
        <v>0</v>
      </c>
      <c r="AA40" s="44">
        <v>0</v>
      </c>
      <c r="AB40" s="44">
        <v>0</v>
      </c>
      <c r="AC40" s="44">
        <v>995660</v>
      </c>
      <c r="AD40" s="45">
        <v>223862000</v>
      </c>
      <c r="AE40" s="45"/>
      <c r="AF40" s="46">
        <v>223862000</v>
      </c>
      <c r="AG40" s="55">
        <f t="shared" si="1"/>
        <v>0</v>
      </c>
      <c r="AH40" s="55">
        <f t="shared" si="2"/>
        <v>0</v>
      </c>
      <c r="AI40" s="55">
        <f t="shared" si="3"/>
        <v>0</v>
      </c>
      <c r="AJ40" s="55">
        <f t="shared" si="4"/>
        <v>223862000</v>
      </c>
    </row>
    <row r="41" spans="1:36" ht="15" customHeight="1">
      <c r="A41" s="1">
        <v>7</v>
      </c>
      <c r="B41" s="1" t="s">
        <v>189</v>
      </c>
      <c r="C41" s="1" t="s">
        <v>190</v>
      </c>
      <c r="D41" s="1" t="s">
        <v>152</v>
      </c>
      <c r="E41" s="1" t="s">
        <v>190</v>
      </c>
      <c r="F41" s="48" t="s">
        <v>654</v>
      </c>
      <c r="G41" s="48" t="s">
        <v>655</v>
      </c>
      <c r="H41" s="48" t="s">
        <v>656</v>
      </c>
      <c r="I41" s="50" t="s">
        <v>665</v>
      </c>
      <c r="J41" s="1" t="s">
        <v>140</v>
      </c>
      <c r="K41" s="1" t="s">
        <v>141</v>
      </c>
      <c r="L41" s="1">
        <v>9085000186</v>
      </c>
      <c r="M41" s="1" t="s">
        <v>23</v>
      </c>
      <c r="N41" s="1">
        <v>161</v>
      </c>
      <c r="O41" s="47" t="str">
        <f t="shared" si="0"/>
        <v>&gt; 91 Days</v>
      </c>
      <c r="P41" s="1" t="s">
        <v>142</v>
      </c>
      <c r="Q41" s="1">
        <v>9081001280</v>
      </c>
      <c r="R41" s="1" t="s">
        <v>204</v>
      </c>
      <c r="S41" s="1" t="s">
        <v>144</v>
      </c>
      <c r="T41" s="1" t="s">
        <v>145</v>
      </c>
      <c r="U41" s="1" t="s">
        <v>146</v>
      </c>
      <c r="V41" s="1" t="s">
        <v>147</v>
      </c>
      <c r="W41" s="1" t="s">
        <v>160</v>
      </c>
      <c r="X41" s="44">
        <v>5.89</v>
      </c>
      <c r="Y41" s="44">
        <v>0.32</v>
      </c>
      <c r="Z41" s="44">
        <v>0</v>
      </c>
      <c r="AA41" s="44">
        <v>0</v>
      </c>
      <c r="AB41" s="44">
        <v>0</v>
      </c>
      <c r="AC41" s="44">
        <v>900240</v>
      </c>
      <c r="AD41" s="45">
        <v>180048000</v>
      </c>
      <c r="AE41" s="45"/>
      <c r="AF41" s="46">
        <v>180048000</v>
      </c>
      <c r="AG41" s="55">
        <f t="shared" si="1"/>
        <v>0</v>
      </c>
      <c r="AH41" s="55">
        <f t="shared" si="2"/>
        <v>0</v>
      </c>
      <c r="AI41" s="55">
        <f t="shared" si="3"/>
        <v>0</v>
      </c>
      <c r="AJ41" s="55">
        <f t="shared" si="4"/>
        <v>180048000</v>
      </c>
    </row>
    <row r="42" spans="1:36" ht="15" customHeight="1">
      <c r="A42" s="1">
        <v>7</v>
      </c>
      <c r="B42" s="1" t="s">
        <v>189</v>
      </c>
      <c r="C42" s="1" t="s">
        <v>190</v>
      </c>
      <c r="D42" s="1" t="s">
        <v>152</v>
      </c>
      <c r="E42" s="1" t="s">
        <v>190</v>
      </c>
      <c r="F42" s="48" t="s">
        <v>654</v>
      </c>
      <c r="G42" s="48" t="s">
        <v>655</v>
      </c>
      <c r="H42" s="48" t="s">
        <v>656</v>
      </c>
      <c r="I42" s="50" t="s">
        <v>665</v>
      </c>
      <c r="J42" s="1" t="s">
        <v>140</v>
      </c>
      <c r="K42" s="1" t="s">
        <v>141</v>
      </c>
      <c r="L42" s="1">
        <v>9085000192</v>
      </c>
      <c r="M42" s="1" t="s">
        <v>24</v>
      </c>
      <c r="N42" s="1">
        <v>158</v>
      </c>
      <c r="O42" s="47" t="str">
        <f t="shared" si="0"/>
        <v>&gt; 91 Days</v>
      </c>
      <c r="P42" s="1" t="s">
        <v>142</v>
      </c>
      <c r="Q42" s="1">
        <v>9081001286</v>
      </c>
      <c r="R42" s="1" t="s">
        <v>205</v>
      </c>
      <c r="S42" s="1" t="s">
        <v>144</v>
      </c>
      <c r="T42" s="1" t="s">
        <v>145</v>
      </c>
      <c r="U42" s="1" t="s">
        <v>146</v>
      </c>
      <c r="V42" s="1" t="s">
        <v>147</v>
      </c>
      <c r="W42" s="1" t="s">
        <v>160</v>
      </c>
      <c r="X42" s="44">
        <v>6.62</v>
      </c>
      <c r="Y42" s="44">
        <v>0.32</v>
      </c>
      <c r="Z42" s="44">
        <v>0</v>
      </c>
      <c r="AA42" s="44">
        <v>0</v>
      </c>
      <c r="AB42" s="44">
        <v>0</v>
      </c>
      <c r="AC42" s="44">
        <v>172660</v>
      </c>
      <c r="AD42" s="45">
        <v>138128000</v>
      </c>
      <c r="AE42" s="45"/>
      <c r="AF42" s="46">
        <v>138128000</v>
      </c>
      <c r="AG42" s="55">
        <f t="shared" si="1"/>
        <v>0</v>
      </c>
      <c r="AH42" s="55">
        <f t="shared" si="2"/>
        <v>0</v>
      </c>
      <c r="AI42" s="55">
        <f t="shared" si="3"/>
        <v>0</v>
      </c>
      <c r="AJ42" s="55">
        <f t="shared" si="4"/>
        <v>138128000</v>
      </c>
    </row>
    <row r="43" spans="1:36" ht="15" customHeight="1">
      <c r="A43" s="1">
        <v>7</v>
      </c>
      <c r="B43" s="1" t="s">
        <v>189</v>
      </c>
      <c r="C43" s="1" t="s">
        <v>190</v>
      </c>
      <c r="D43" s="1" t="s">
        <v>152</v>
      </c>
      <c r="E43" s="1" t="s">
        <v>190</v>
      </c>
      <c r="F43" s="48" t="s">
        <v>654</v>
      </c>
      <c r="G43" s="48" t="s">
        <v>655</v>
      </c>
      <c r="H43" s="48" t="s">
        <v>656</v>
      </c>
      <c r="I43" s="50" t="s">
        <v>665</v>
      </c>
      <c r="J43" s="1" t="s">
        <v>153</v>
      </c>
      <c r="K43" s="1" t="s">
        <v>141</v>
      </c>
      <c r="L43" s="1">
        <v>9085000228</v>
      </c>
      <c r="M43" s="1" t="s">
        <v>25</v>
      </c>
      <c r="N43" s="1">
        <v>95</v>
      </c>
      <c r="O43" s="47" t="str">
        <f t="shared" si="0"/>
        <v>&gt; 91 Days</v>
      </c>
      <c r="P43" s="1" t="s">
        <v>142</v>
      </c>
      <c r="Q43" s="1">
        <v>9081001364</v>
      </c>
      <c r="R43" s="1" t="s">
        <v>206</v>
      </c>
      <c r="S43" s="1" t="s">
        <v>144</v>
      </c>
      <c r="T43" s="1" t="s">
        <v>145</v>
      </c>
      <c r="U43" s="1" t="s">
        <v>146</v>
      </c>
      <c r="V43" s="1" t="s">
        <v>147</v>
      </c>
      <c r="W43" s="1" t="s">
        <v>160</v>
      </c>
      <c r="X43" s="44">
        <v>4.6100000000000003</v>
      </c>
      <c r="Y43" s="44">
        <v>0.55000000000000004</v>
      </c>
      <c r="Z43" s="44">
        <v>0</v>
      </c>
      <c r="AA43" s="44">
        <v>0</v>
      </c>
      <c r="AB43" s="44">
        <v>0</v>
      </c>
      <c r="AC43" s="44">
        <v>7.11</v>
      </c>
      <c r="AD43" s="45">
        <v>106373</v>
      </c>
      <c r="AE43" s="45"/>
      <c r="AF43" s="46">
        <v>106373</v>
      </c>
      <c r="AG43" s="55">
        <f t="shared" si="1"/>
        <v>0</v>
      </c>
      <c r="AH43" s="55">
        <f t="shared" si="2"/>
        <v>0</v>
      </c>
      <c r="AI43" s="55">
        <f t="shared" si="3"/>
        <v>0</v>
      </c>
      <c r="AJ43" s="55">
        <f t="shared" si="4"/>
        <v>106373</v>
      </c>
    </row>
    <row r="44" spans="1:36" ht="15" customHeight="1">
      <c r="A44" s="1">
        <v>7</v>
      </c>
      <c r="B44" s="1" t="s">
        <v>189</v>
      </c>
      <c r="C44" s="1" t="s">
        <v>190</v>
      </c>
      <c r="D44" s="1" t="s">
        <v>152</v>
      </c>
      <c r="E44" s="1" t="s">
        <v>190</v>
      </c>
      <c r="F44" s="48" t="s">
        <v>654</v>
      </c>
      <c r="G44" s="48" t="s">
        <v>655</v>
      </c>
      <c r="H44" s="48" t="s">
        <v>656</v>
      </c>
      <c r="I44" s="50" t="s">
        <v>665</v>
      </c>
      <c r="J44" s="1" t="s">
        <v>153</v>
      </c>
      <c r="K44" s="1" t="s">
        <v>141</v>
      </c>
      <c r="L44" s="1">
        <v>9085000240</v>
      </c>
      <c r="M44" s="1" t="s">
        <v>26</v>
      </c>
      <c r="N44" s="1">
        <v>67</v>
      </c>
      <c r="O44" s="47" t="str">
        <f t="shared" si="0"/>
        <v>61-90</v>
      </c>
      <c r="P44" s="1" t="s">
        <v>142</v>
      </c>
      <c r="Q44" s="1">
        <v>9081001501</v>
      </c>
      <c r="R44" s="1" t="s">
        <v>207</v>
      </c>
      <c r="S44" s="1" t="s">
        <v>144</v>
      </c>
      <c r="T44" s="1" t="s">
        <v>145</v>
      </c>
      <c r="U44" s="1" t="s">
        <v>146</v>
      </c>
      <c r="V44" s="1" t="s">
        <v>147</v>
      </c>
      <c r="W44" s="1" t="s">
        <v>160</v>
      </c>
      <c r="X44" s="44">
        <v>5.13</v>
      </c>
      <c r="Y44" s="44">
        <v>0.49</v>
      </c>
      <c r="Z44" s="44">
        <v>0</v>
      </c>
      <c r="AA44" s="44">
        <v>0</v>
      </c>
      <c r="AB44" s="44">
        <v>0</v>
      </c>
      <c r="AC44" s="44">
        <v>17300</v>
      </c>
      <c r="AD44" s="45">
        <v>1730000</v>
      </c>
      <c r="AE44" s="45"/>
      <c r="AF44" s="46">
        <v>1730000</v>
      </c>
      <c r="AG44" s="55">
        <f t="shared" si="1"/>
        <v>0</v>
      </c>
      <c r="AH44" s="55">
        <f t="shared" si="2"/>
        <v>0</v>
      </c>
      <c r="AI44" s="55">
        <f t="shared" si="3"/>
        <v>1730000</v>
      </c>
      <c r="AJ44" s="55">
        <f t="shared" si="4"/>
        <v>0</v>
      </c>
    </row>
    <row r="45" spans="1:36" ht="15" customHeight="1">
      <c r="A45" s="1">
        <v>7</v>
      </c>
      <c r="B45" s="1" t="s">
        <v>189</v>
      </c>
      <c r="C45" s="1" t="s">
        <v>190</v>
      </c>
      <c r="D45" s="1" t="s">
        <v>152</v>
      </c>
      <c r="E45" s="1" t="s">
        <v>190</v>
      </c>
      <c r="F45" s="48" t="s">
        <v>654</v>
      </c>
      <c r="G45" s="48" t="s">
        <v>655</v>
      </c>
      <c r="H45" s="48" t="s">
        <v>656</v>
      </c>
      <c r="I45" s="50" t="s">
        <v>665</v>
      </c>
      <c r="J45" s="1" t="s">
        <v>153</v>
      </c>
      <c r="K45" s="1" t="s">
        <v>141</v>
      </c>
      <c r="L45" s="1">
        <v>9085000241</v>
      </c>
      <c r="M45" s="1" t="s">
        <v>26</v>
      </c>
      <c r="N45" s="1">
        <v>67</v>
      </c>
      <c r="O45" s="47" t="str">
        <f t="shared" si="0"/>
        <v>61-90</v>
      </c>
      <c r="P45" s="1" t="s">
        <v>142</v>
      </c>
      <c r="Q45" s="1">
        <v>9081001385</v>
      </c>
      <c r="R45" s="1" t="s">
        <v>208</v>
      </c>
      <c r="S45" s="1" t="s">
        <v>144</v>
      </c>
      <c r="T45" s="1" t="s">
        <v>145</v>
      </c>
      <c r="U45" s="1" t="s">
        <v>146</v>
      </c>
      <c r="V45" s="1" t="s">
        <v>147</v>
      </c>
      <c r="W45" s="1" t="s">
        <v>160</v>
      </c>
      <c r="X45" s="44">
        <v>4.7300000000000004</v>
      </c>
      <c r="Y45" s="44">
        <v>0.86</v>
      </c>
      <c r="Z45" s="44">
        <v>0</v>
      </c>
      <c r="AA45" s="44">
        <v>0</v>
      </c>
      <c r="AB45" s="44">
        <v>0</v>
      </c>
      <c r="AC45" s="44">
        <v>130.79</v>
      </c>
      <c r="AD45" s="45">
        <v>1917643</v>
      </c>
      <c r="AE45" s="45"/>
      <c r="AF45" s="46">
        <v>1917643</v>
      </c>
      <c r="AG45" s="55">
        <f t="shared" si="1"/>
        <v>0</v>
      </c>
      <c r="AH45" s="55">
        <f t="shared" si="2"/>
        <v>0</v>
      </c>
      <c r="AI45" s="55">
        <f t="shared" si="3"/>
        <v>1917643</v>
      </c>
      <c r="AJ45" s="55">
        <f t="shared" si="4"/>
        <v>0</v>
      </c>
    </row>
    <row r="46" spans="1:36" ht="15" customHeight="1">
      <c r="A46" s="1">
        <v>7</v>
      </c>
      <c r="B46" s="1" t="s">
        <v>189</v>
      </c>
      <c r="C46" s="1" t="s">
        <v>190</v>
      </c>
      <c r="D46" s="1" t="s">
        <v>152</v>
      </c>
      <c r="E46" s="1" t="s">
        <v>190</v>
      </c>
      <c r="F46" s="48" t="s">
        <v>654</v>
      </c>
      <c r="G46" s="48" t="s">
        <v>655</v>
      </c>
      <c r="H46" s="48" t="s">
        <v>656</v>
      </c>
      <c r="I46" s="50" t="s">
        <v>665</v>
      </c>
      <c r="J46" s="1" t="s">
        <v>153</v>
      </c>
      <c r="K46" s="1" t="s">
        <v>141</v>
      </c>
      <c r="L46" s="1">
        <v>9085000243</v>
      </c>
      <c r="M46" s="1" t="s">
        <v>27</v>
      </c>
      <c r="N46" s="1">
        <v>60</v>
      </c>
      <c r="O46" s="47" t="str">
        <f t="shared" si="0"/>
        <v>31-60</v>
      </c>
      <c r="P46" s="1" t="s">
        <v>142</v>
      </c>
      <c r="Q46" s="1">
        <v>9081001513</v>
      </c>
      <c r="R46" s="1" t="s">
        <v>209</v>
      </c>
      <c r="S46" s="1" t="s">
        <v>144</v>
      </c>
      <c r="T46" s="1" t="s">
        <v>145</v>
      </c>
      <c r="U46" s="1" t="s">
        <v>146</v>
      </c>
      <c r="V46" s="1" t="s">
        <v>147</v>
      </c>
      <c r="W46" s="1" t="s">
        <v>160</v>
      </c>
      <c r="X46" s="44">
        <v>5.36</v>
      </c>
      <c r="Y46" s="44">
        <v>0.65</v>
      </c>
      <c r="Z46" s="44">
        <v>0</v>
      </c>
      <c r="AA46" s="44">
        <v>0</v>
      </c>
      <c r="AB46" s="44">
        <v>0</v>
      </c>
      <c r="AC46" s="44">
        <v>25.76</v>
      </c>
      <c r="AD46" s="45">
        <v>373134</v>
      </c>
      <c r="AE46" s="45"/>
      <c r="AF46" s="46">
        <v>373134</v>
      </c>
      <c r="AG46" s="55">
        <f t="shared" si="1"/>
        <v>0</v>
      </c>
      <c r="AH46" s="55">
        <f t="shared" si="2"/>
        <v>373134</v>
      </c>
      <c r="AI46" s="55">
        <f t="shared" si="3"/>
        <v>0</v>
      </c>
      <c r="AJ46" s="55">
        <f t="shared" si="4"/>
        <v>0</v>
      </c>
    </row>
    <row r="47" spans="1:36" ht="15" customHeight="1">
      <c r="A47" s="1">
        <v>7</v>
      </c>
      <c r="B47" s="1" t="s">
        <v>189</v>
      </c>
      <c r="C47" s="1" t="s">
        <v>190</v>
      </c>
      <c r="D47" s="1" t="s">
        <v>152</v>
      </c>
      <c r="E47" s="1" t="s">
        <v>190</v>
      </c>
      <c r="F47" s="48" t="s">
        <v>654</v>
      </c>
      <c r="G47" s="48" t="s">
        <v>655</v>
      </c>
      <c r="H47" s="48" t="s">
        <v>656</v>
      </c>
      <c r="I47" s="50" t="s">
        <v>665</v>
      </c>
      <c r="J47" s="1" t="s">
        <v>153</v>
      </c>
      <c r="K47" s="1" t="s">
        <v>141</v>
      </c>
      <c r="L47" s="1">
        <v>9085000244</v>
      </c>
      <c r="M47" s="1" t="s">
        <v>27</v>
      </c>
      <c r="N47" s="1">
        <v>60</v>
      </c>
      <c r="O47" s="47" t="str">
        <f t="shared" si="0"/>
        <v>31-60</v>
      </c>
      <c r="P47" s="1" t="s">
        <v>142</v>
      </c>
      <c r="Q47" s="1">
        <v>9081001513</v>
      </c>
      <c r="R47" s="1" t="s">
        <v>209</v>
      </c>
      <c r="S47" s="1" t="s">
        <v>144</v>
      </c>
      <c r="T47" s="1" t="s">
        <v>145</v>
      </c>
      <c r="U47" s="1" t="s">
        <v>146</v>
      </c>
      <c r="V47" s="1" t="s">
        <v>147</v>
      </c>
      <c r="W47" s="1" t="s">
        <v>160</v>
      </c>
      <c r="X47" s="44">
        <v>5.37</v>
      </c>
      <c r="Y47" s="44">
        <v>0.52</v>
      </c>
      <c r="Z47" s="44">
        <v>0</v>
      </c>
      <c r="AA47" s="44">
        <v>0</v>
      </c>
      <c r="AB47" s="44">
        <v>0</v>
      </c>
      <c r="AC47" s="44">
        <v>99830</v>
      </c>
      <c r="AD47" s="45">
        <v>9983000</v>
      </c>
      <c r="AE47" s="45"/>
      <c r="AF47" s="46">
        <v>9983000</v>
      </c>
      <c r="AG47" s="55">
        <f t="shared" si="1"/>
        <v>0</v>
      </c>
      <c r="AH47" s="55">
        <f t="shared" si="2"/>
        <v>9983000</v>
      </c>
      <c r="AI47" s="55">
        <f t="shared" si="3"/>
        <v>0</v>
      </c>
      <c r="AJ47" s="55">
        <f t="shared" si="4"/>
        <v>0</v>
      </c>
    </row>
    <row r="48" spans="1:36" ht="15" customHeight="1">
      <c r="A48" s="1">
        <v>8</v>
      </c>
      <c r="B48" s="1" t="s">
        <v>210</v>
      </c>
      <c r="C48" s="1" t="s">
        <v>211</v>
      </c>
      <c r="D48" s="1" t="s">
        <v>212</v>
      </c>
      <c r="E48" s="1" t="s">
        <v>211</v>
      </c>
      <c r="F48" s="50" t="s">
        <v>658</v>
      </c>
      <c r="G48" s="50" t="s">
        <v>655</v>
      </c>
      <c r="H48" s="50" t="s">
        <v>656</v>
      </c>
      <c r="I48" s="50" t="s">
        <v>657</v>
      </c>
      <c r="J48" s="1" t="s">
        <v>170</v>
      </c>
      <c r="K48" s="1" t="s">
        <v>141</v>
      </c>
      <c r="L48" s="1">
        <v>1005002054</v>
      </c>
      <c r="M48" s="1" t="s">
        <v>8</v>
      </c>
      <c r="N48" s="1">
        <v>66</v>
      </c>
      <c r="O48" s="47" t="str">
        <f t="shared" si="0"/>
        <v>61-90</v>
      </c>
      <c r="P48" s="1" t="s">
        <v>171</v>
      </c>
      <c r="Q48" s="1">
        <v>1001023967</v>
      </c>
      <c r="R48" s="1" t="s">
        <v>213</v>
      </c>
      <c r="S48" s="1" t="s">
        <v>178</v>
      </c>
      <c r="T48" s="1" t="s">
        <v>179</v>
      </c>
      <c r="U48" s="1" t="s">
        <v>146</v>
      </c>
      <c r="V48" s="1" t="s">
        <v>147</v>
      </c>
      <c r="W48" s="1" t="s">
        <v>148</v>
      </c>
      <c r="X48" s="44">
        <v>0</v>
      </c>
      <c r="Y48" s="44">
        <v>22.61</v>
      </c>
      <c r="Z48" s="44">
        <v>0.71</v>
      </c>
      <c r="AA48" s="44">
        <v>0</v>
      </c>
      <c r="AB48" s="44">
        <v>0</v>
      </c>
      <c r="AC48" s="44">
        <v>409.77</v>
      </c>
      <c r="AD48" s="45">
        <v>363056</v>
      </c>
      <c r="AE48" s="45"/>
      <c r="AF48" s="46">
        <v>363056</v>
      </c>
      <c r="AG48" s="55">
        <f t="shared" si="1"/>
        <v>0</v>
      </c>
      <c r="AH48" s="55">
        <f t="shared" si="2"/>
        <v>0</v>
      </c>
      <c r="AI48" s="55">
        <f t="shared" si="3"/>
        <v>363056</v>
      </c>
      <c r="AJ48" s="55">
        <f t="shared" si="4"/>
        <v>0</v>
      </c>
    </row>
    <row r="49" spans="1:36" ht="15" customHeight="1">
      <c r="A49" s="1">
        <v>8</v>
      </c>
      <c r="B49" s="1" t="s">
        <v>210</v>
      </c>
      <c r="C49" s="1" t="s">
        <v>211</v>
      </c>
      <c r="D49" s="1" t="s">
        <v>212</v>
      </c>
      <c r="E49" s="1" t="s">
        <v>211</v>
      </c>
      <c r="F49" s="50" t="s">
        <v>658</v>
      </c>
      <c r="G49" s="50" t="s">
        <v>655</v>
      </c>
      <c r="H49" s="50" t="s">
        <v>656</v>
      </c>
      <c r="I49" s="50" t="s">
        <v>657</v>
      </c>
      <c r="J49" s="1" t="s">
        <v>170</v>
      </c>
      <c r="K49" s="1" t="s">
        <v>141</v>
      </c>
      <c r="L49" s="1">
        <v>1005002055</v>
      </c>
      <c r="M49" s="1" t="s">
        <v>8</v>
      </c>
      <c r="N49" s="1">
        <v>66</v>
      </c>
      <c r="O49" s="47" t="str">
        <f t="shared" si="0"/>
        <v>61-90</v>
      </c>
      <c r="P49" s="1" t="s">
        <v>171</v>
      </c>
      <c r="Q49" s="1">
        <v>1001024501</v>
      </c>
      <c r="R49" s="1" t="s">
        <v>214</v>
      </c>
      <c r="S49" s="1" t="s">
        <v>178</v>
      </c>
      <c r="T49" s="1" t="s">
        <v>179</v>
      </c>
      <c r="U49" s="1" t="s">
        <v>146</v>
      </c>
      <c r="V49" s="1" t="s">
        <v>147</v>
      </c>
      <c r="W49" s="1" t="s">
        <v>148</v>
      </c>
      <c r="X49" s="44">
        <v>0</v>
      </c>
      <c r="Y49" s="44">
        <v>22.89</v>
      </c>
      <c r="Z49" s="44">
        <v>0.77</v>
      </c>
      <c r="AA49" s="44">
        <v>0</v>
      </c>
      <c r="AB49" s="44">
        <v>0</v>
      </c>
      <c r="AC49" s="44">
        <v>2886.31</v>
      </c>
      <c r="AD49" s="45">
        <v>2557271</v>
      </c>
      <c r="AE49" s="45"/>
      <c r="AF49" s="46">
        <v>2557271</v>
      </c>
      <c r="AG49" s="55">
        <f t="shared" si="1"/>
        <v>0</v>
      </c>
      <c r="AH49" s="55">
        <f t="shared" si="2"/>
        <v>0</v>
      </c>
      <c r="AI49" s="55">
        <f t="shared" si="3"/>
        <v>2557271</v>
      </c>
      <c r="AJ49" s="55">
        <f t="shared" si="4"/>
        <v>0</v>
      </c>
    </row>
    <row r="50" spans="1:36" ht="15" customHeight="1">
      <c r="A50" s="1">
        <v>9</v>
      </c>
      <c r="B50" s="1" t="s">
        <v>215</v>
      </c>
      <c r="C50" s="1" t="s">
        <v>216</v>
      </c>
      <c r="D50" s="1" t="s">
        <v>217</v>
      </c>
      <c r="E50" s="1" t="s">
        <v>216</v>
      </c>
      <c r="F50" s="50" t="s">
        <v>662</v>
      </c>
      <c r="G50" s="50" t="s">
        <v>659</v>
      </c>
      <c r="H50" s="50" t="s">
        <v>656</v>
      </c>
      <c r="I50" s="50" t="s">
        <v>657</v>
      </c>
      <c r="J50" s="1" t="s">
        <v>170</v>
      </c>
      <c r="K50" s="1" t="s">
        <v>141</v>
      </c>
      <c r="L50" s="1">
        <v>1005002475</v>
      </c>
      <c r="M50" s="1" t="s">
        <v>28</v>
      </c>
      <c r="N50" s="1">
        <v>8</v>
      </c>
      <c r="O50" s="47" t="str">
        <f t="shared" si="0"/>
        <v>0-30</v>
      </c>
      <c r="P50" s="1" t="s">
        <v>171</v>
      </c>
      <c r="Q50" s="1">
        <v>1001026184</v>
      </c>
      <c r="R50" s="1" t="s">
        <v>218</v>
      </c>
      <c r="S50" s="1" t="s">
        <v>178</v>
      </c>
      <c r="T50" s="1" t="s">
        <v>179</v>
      </c>
      <c r="U50" s="1" t="s">
        <v>146</v>
      </c>
      <c r="V50" s="1" t="s">
        <v>147</v>
      </c>
      <c r="W50" s="1" t="s">
        <v>148</v>
      </c>
      <c r="X50" s="44">
        <v>0</v>
      </c>
      <c r="Y50" s="44">
        <v>20.69</v>
      </c>
      <c r="Z50" s="44">
        <v>0.8</v>
      </c>
      <c r="AA50" s="44">
        <v>0</v>
      </c>
      <c r="AB50" s="44">
        <v>0</v>
      </c>
      <c r="AC50" s="44">
        <v>3492.5</v>
      </c>
      <c r="AD50" s="45">
        <v>4540250</v>
      </c>
      <c r="AE50" s="45"/>
      <c r="AF50" s="46">
        <v>4540250</v>
      </c>
      <c r="AG50" s="55">
        <f t="shared" si="1"/>
        <v>4540250</v>
      </c>
      <c r="AH50" s="55">
        <f t="shared" si="2"/>
        <v>0</v>
      </c>
      <c r="AI50" s="55">
        <f t="shared" si="3"/>
        <v>0</v>
      </c>
      <c r="AJ50" s="55">
        <f t="shared" si="4"/>
        <v>0</v>
      </c>
    </row>
    <row r="51" spans="1:36" ht="15" customHeight="1">
      <c r="A51" s="1">
        <v>10</v>
      </c>
      <c r="B51" s="1" t="s">
        <v>219</v>
      </c>
      <c r="C51" s="1" t="s">
        <v>220</v>
      </c>
      <c r="D51" s="1" t="s">
        <v>221</v>
      </c>
      <c r="E51" s="1" t="s">
        <v>220</v>
      </c>
      <c r="F51" s="52" t="s">
        <v>676</v>
      </c>
      <c r="G51" s="52" t="s">
        <v>659</v>
      </c>
      <c r="H51" s="50" t="s">
        <v>656</v>
      </c>
      <c r="I51" s="50" t="s">
        <v>657</v>
      </c>
      <c r="J51" s="1" t="s">
        <v>170</v>
      </c>
      <c r="K51" s="1" t="s">
        <v>141</v>
      </c>
      <c r="L51" s="1">
        <v>1005002476</v>
      </c>
      <c r="M51" s="1" t="s">
        <v>28</v>
      </c>
      <c r="N51" s="1">
        <v>8</v>
      </c>
      <c r="O51" s="47" t="str">
        <f t="shared" si="0"/>
        <v>0-30</v>
      </c>
      <c r="P51" s="1" t="s">
        <v>171</v>
      </c>
      <c r="Q51" s="1">
        <v>1001027576</v>
      </c>
      <c r="R51" s="1" t="s">
        <v>222</v>
      </c>
      <c r="S51" s="1" t="s">
        <v>178</v>
      </c>
      <c r="T51" s="1" t="s">
        <v>179</v>
      </c>
      <c r="U51" s="1" t="s">
        <v>146</v>
      </c>
      <c r="V51" s="1" t="s">
        <v>147</v>
      </c>
      <c r="W51" s="1" t="s">
        <v>148</v>
      </c>
      <c r="X51" s="44">
        <v>0</v>
      </c>
      <c r="Y51" s="44">
        <v>20.61</v>
      </c>
      <c r="Z51" s="44">
        <v>0.82</v>
      </c>
      <c r="AA51" s="44">
        <v>0</v>
      </c>
      <c r="AB51" s="44">
        <v>0</v>
      </c>
      <c r="AC51" s="44">
        <v>1837.19</v>
      </c>
      <c r="AD51" s="45">
        <v>1708587</v>
      </c>
      <c r="AE51" s="45"/>
      <c r="AF51" s="46">
        <v>1708587</v>
      </c>
      <c r="AG51" s="55">
        <f t="shared" si="1"/>
        <v>1708587</v>
      </c>
      <c r="AH51" s="55">
        <f t="shared" si="2"/>
        <v>0</v>
      </c>
      <c r="AI51" s="55">
        <f t="shared" si="3"/>
        <v>0</v>
      </c>
      <c r="AJ51" s="55">
        <f t="shared" si="4"/>
        <v>0</v>
      </c>
    </row>
    <row r="52" spans="1:36" ht="15" customHeight="1">
      <c r="A52" s="1">
        <v>11</v>
      </c>
      <c r="B52" s="1" t="s">
        <v>223</v>
      </c>
      <c r="C52" s="1" t="s">
        <v>224</v>
      </c>
      <c r="D52" s="1" t="s">
        <v>225</v>
      </c>
      <c r="E52" s="1" t="s">
        <v>224</v>
      </c>
      <c r="F52" s="50" t="s">
        <v>658</v>
      </c>
      <c r="G52" s="50" t="s">
        <v>655</v>
      </c>
      <c r="H52" s="50" t="s">
        <v>656</v>
      </c>
      <c r="I52" s="50" t="s">
        <v>657</v>
      </c>
      <c r="J52" s="1" t="s">
        <v>140</v>
      </c>
      <c r="K52" s="1" t="s">
        <v>141</v>
      </c>
      <c r="L52" s="1">
        <v>1365000166</v>
      </c>
      <c r="M52" s="1" t="s">
        <v>29</v>
      </c>
      <c r="N52" s="1">
        <v>135</v>
      </c>
      <c r="O52" s="47" t="str">
        <f t="shared" si="0"/>
        <v>&gt; 91 Days</v>
      </c>
      <c r="P52" s="1" t="s">
        <v>226</v>
      </c>
      <c r="Q52" s="1">
        <v>1361001721</v>
      </c>
      <c r="R52" s="1" t="s">
        <v>227</v>
      </c>
      <c r="S52" s="1" t="s">
        <v>178</v>
      </c>
      <c r="T52" s="1" t="s">
        <v>179</v>
      </c>
      <c r="U52" s="1" t="s">
        <v>146</v>
      </c>
      <c r="V52" s="1" t="s">
        <v>147</v>
      </c>
      <c r="W52" s="1" t="s">
        <v>228</v>
      </c>
      <c r="X52" s="44">
        <v>0</v>
      </c>
      <c r="Y52" s="44">
        <v>22</v>
      </c>
      <c r="Z52" s="44">
        <v>0.91</v>
      </c>
      <c r="AA52" s="44">
        <v>0</v>
      </c>
      <c r="AB52" s="44">
        <v>0</v>
      </c>
      <c r="AC52" s="44">
        <v>502</v>
      </c>
      <c r="AD52" s="45">
        <v>428206</v>
      </c>
      <c r="AE52" s="45"/>
      <c r="AF52" s="46">
        <v>428206</v>
      </c>
      <c r="AG52" s="55">
        <f t="shared" si="1"/>
        <v>0</v>
      </c>
      <c r="AH52" s="55">
        <f t="shared" si="2"/>
        <v>0</v>
      </c>
      <c r="AI52" s="55">
        <f t="shared" si="3"/>
        <v>0</v>
      </c>
      <c r="AJ52" s="55">
        <f t="shared" si="4"/>
        <v>428206</v>
      </c>
    </row>
    <row r="53" spans="1:36" ht="15" customHeight="1">
      <c r="A53" s="1">
        <v>11</v>
      </c>
      <c r="B53" s="1" t="s">
        <v>223</v>
      </c>
      <c r="C53" s="1" t="s">
        <v>224</v>
      </c>
      <c r="D53" s="1" t="s">
        <v>225</v>
      </c>
      <c r="E53" s="1" t="s">
        <v>224</v>
      </c>
      <c r="F53" s="50" t="s">
        <v>658</v>
      </c>
      <c r="G53" s="50" t="s">
        <v>655</v>
      </c>
      <c r="H53" s="50" t="s">
        <v>656</v>
      </c>
      <c r="I53" s="50" t="s">
        <v>657</v>
      </c>
      <c r="J53" s="1" t="s">
        <v>140</v>
      </c>
      <c r="K53" s="1" t="s">
        <v>141</v>
      </c>
      <c r="L53" s="1">
        <v>1365000188</v>
      </c>
      <c r="M53" s="1" t="s">
        <v>30</v>
      </c>
      <c r="N53" s="1">
        <v>70</v>
      </c>
      <c r="O53" s="47" t="str">
        <f t="shared" si="0"/>
        <v>61-90</v>
      </c>
      <c r="P53" s="1" t="s">
        <v>226</v>
      </c>
      <c r="Q53" s="1">
        <v>1361001765</v>
      </c>
      <c r="R53" s="1" t="s">
        <v>229</v>
      </c>
      <c r="S53" s="1" t="s">
        <v>178</v>
      </c>
      <c r="T53" s="1" t="s">
        <v>179</v>
      </c>
      <c r="U53" s="1" t="s">
        <v>146</v>
      </c>
      <c r="V53" s="1" t="s">
        <v>147</v>
      </c>
      <c r="W53" s="1" t="s">
        <v>228</v>
      </c>
      <c r="X53" s="44">
        <v>0</v>
      </c>
      <c r="Y53" s="44">
        <v>22</v>
      </c>
      <c r="Z53" s="44">
        <v>0.91</v>
      </c>
      <c r="AA53" s="44">
        <v>0</v>
      </c>
      <c r="AB53" s="44">
        <v>0</v>
      </c>
      <c r="AC53" s="44">
        <v>162.19999999999999</v>
      </c>
      <c r="AD53" s="45">
        <v>138357</v>
      </c>
      <c r="AE53" s="45"/>
      <c r="AF53" s="46">
        <v>138357</v>
      </c>
      <c r="AG53" s="55">
        <f t="shared" si="1"/>
        <v>0</v>
      </c>
      <c r="AH53" s="55">
        <f t="shared" si="2"/>
        <v>0</v>
      </c>
      <c r="AI53" s="55">
        <f t="shared" si="3"/>
        <v>138357</v>
      </c>
      <c r="AJ53" s="55">
        <f t="shared" si="4"/>
        <v>0</v>
      </c>
    </row>
    <row r="54" spans="1:36" ht="15" customHeight="1">
      <c r="A54" s="1">
        <v>11</v>
      </c>
      <c r="B54" s="1" t="s">
        <v>223</v>
      </c>
      <c r="C54" s="1" t="s">
        <v>224</v>
      </c>
      <c r="D54" s="1" t="s">
        <v>225</v>
      </c>
      <c r="E54" s="1" t="s">
        <v>224</v>
      </c>
      <c r="F54" s="50" t="s">
        <v>658</v>
      </c>
      <c r="G54" s="50" t="s">
        <v>655</v>
      </c>
      <c r="H54" s="50" t="s">
        <v>656</v>
      </c>
      <c r="I54" s="50" t="s">
        <v>657</v>
      </c>
      <c r="J54" s="1" t="s">
        <v>140</v>
      </c>
      <c r="K54" s="1" t="s">
        <v>141</v>
      </c>
      <c r="L54" s="1">
        <v>1365000186</v>
      </c>
      <c r="M54" s="1" t="s">
        <v>30</v>
      </c>
      <c r="N54" s="1">
        <v>70</v>
      </c>
      <c r="O54" s="47" t="str">
        <f t="shared" si="0"/>
        <v>61-90</v>
      </c>
      <c r="P54" s="1" t="s">
        <v>226</v>
      </c>
      <c r="Q54" s="1">
        <v>1361001762</v>
      </c>
      <c r="R54" s="1" t="s">
        <v>230</v>
      </c>
      <c r="S54" s="1" t="s">
        <v>178</v>
      </c>
      <c r="T54" s="1" t="s">
        <v>179</v>
      </c>
      <c r="U54" s="1" t="s">
        <v>146</v>
      </c>
      <c r="V54" s="1" t="s">
        <v>147</v>
      </c>
      <c r="W54" s="1" t="s">
        <v>228</v>
      </c>
      <c r="X54" s="44">
        <v>0</v>
      </c>
      <c r="Y54" s="44">
        <v>22.09</v>
      </c>
      <c r="Z54" s="44">
        <v>0.72</v>
      </c>
      <c r="AA54" s="44">
        <v>0</v>
      </c>
      <c r="AB54" s="44">
        <v>0</v>
      </c>
      <c r="AC54" s="44">
        <v>1228.92</v>
      </c>
      <c r="AD54" s="45">
        <v>1189595</v>
      </c>
      <c r="AE54" s="45"/>
      <c r="AF54" s="46">
        <v>1189595</v>
      </c>
      <c r="AG54" s="55">
        <f t="shared" si="1"/>
        <v>0</v>
      </c>
      <c r="AH54" s="55">
        <f t="shared" si="2"/>
        <v>0</v>
      </c>
      <c r="AI54" s="55">
        <f t="shared" si="3"/>
        <v>1189595</v>
      </c>
      <c r="AJ54" s="55">
        <f t="shared" si="4"/>
        <v>0</v>
      </c>
    </row>
    <row r="55" spans="1:36" ht="15" customHeight="1">
      <c r="A55" s="1">
        <v>11</v>
      </c>
      <c r="B55" s="1" t="s">
        <v>223</v>
      </c>
      <c r="C55" s="1" t="s">
        <v>224</v>
      </c>
      <c r="D55" s="1" t="s">
        <v>225</v>
      </c>
      <c r="E55" s="1" t="s">
        <v>224</v>
      </c>
      <c r="F55" s="50" t="s">
        <v>658</v>
      </c>
      <c r="G55" s="50" t="s">
        <v>655</v>
      </c>
      <c r="H55" s="50" t="s">
        <v>656</v>
      </c>
      <c r="I55" s="50" t="s">
        <v>657</v>
      </c>
      <c r="J55" s="1" t="s">
        <v>140</v>
      </c>
      <c r="K55" s="1" t="s">
        <v>141</v>
      </c>
      <c r="L55" s="1">
        <v>1365000187</v>
      </c>
      <c r="M55" s="1" t="s">
        <v>30</v>
      </c>
      <c r="N55" s="1">
        <v>70</v>
      </c>
      <c r="O55" s="47" t="str">
        <f t="shared" si="0"/>
        <v>61-90</v>
      </c>
      <c r="P55" s="1" t="s">
        <v>226</v>
      </c>
      <c r="Q55" s="1">
        <v>1361001763</v>
      </c>
      <c r="R55" s="1" t="s">
        <v>231</v>
      </c>
      <c r="S55" s="1" t="s">
        <v>178</v>
      </c>
      <c r="T55" s="1" t="s">
        <v>179</v>
      </c>
      <c r="U55" s="1" t="s">
        <v>146</v>
      </c>
      <c r="V55" s="1" t="s">
        <v>147</v>
      </c>
      <c r="W55" s="1" t="s">
        <v>228</v>
      </c>
      <c r="X55" s="44">
        <v>0</v>
      </c>
      <c r="Y55" s="44">
        <v>23.3</v>
      </c>
      <c r="Z55" s="44">
        <v>0.73</v>
      </c>
      <c r="AA55" s="44">
        <v>0</v>
      </c>
      <c r="AB55" s="44">
        <v>0</v>
      </c>
      <c r="AC55" s="44">
        <v>4388.2</v>
      </c>
      <c r="AD55" s="45">
        <v>4247778</v>
      </c>
      <c r="AE55" s="45"/>
      <c r="AF55" s="46">
        <v>4247778</v>
      </c>
      <c r="AG55" s="55">
        <f t="shared" si="1"/>
        <v>0</v>
      </c>
      <c r="AH55" s="55">
        <f t="shared" si="2"/>
        <v>0</v>
      </c>
      <c r="AI55" s="55">
        <f t="shared" si="3"/>
        <v>4247778</v>
      </c>
      <c r="AJ55" s="55">
        <f t="shared" si="4"/>
        <v>0</v>
      </c>
    </row>
    <row r="56" spans="1:36" ht="15" customHeight="1">
      <c r="A56" s="1">
        <v>11</v>
      </c>
      <c r="B56" s="1" t="s">
        <v>223</v>
      </c>
      <c r="C56" s="1" t="s">
        <v>224</v>
      </c>
      <c r="D56" s="1" t="s">
        <v>225</v>
      </c>
      <c r="E56" s="1" t="s">
        <v>224</v>
      </c>
      <c r="F56" s="50" t="s">
        <v>658</v>
      </c>
      <c r="G56" s="50" t="s">
        <v>655</v>
      </c>
      <c r="H56" s="50" t="s">
        <v>656</v>
      </c>
      <c r="I56" s="50" t="s">
        <v>657</v>
      </c>
      <c r="J56" s="1" t="s">
        <v>140</v>
      </c>
      <c r="K56" s="1" t="s">
        <v>141</v>
      </c>
      <c r="L56" s="1">
        <v>1365000189</v>
      </c>
      <c r="M56" s="1" t="s">
        <v>30</v>
      </c>
      <c r="N56" s="1">
        <v>70</v>
      </c>
      <c r="O56" s="47" t="str">
        <f t="shared" si="0"/>
        <v>61-90</v>
      </c>
      <c r="P56" s="1" t="s">
        <v>226</v>
      </c>
      <c r="Q56" s="1">
        <v>1361001809</v>
      </c>
      <c r="R56" s="1" t="s">
        <v>232</v>
      </c>
      <c r="S56" s="1" t="s">
        <v>178</v>
      </c>
      <c r="T56" s="1" t="s">
        <v>179</v>
      </c>
      <c r="U56" s="1" t="s">
        <v>146</v>
      </c>
      <c r="V56" s="1" t="s">
        <v>147</v>
      </c>
      <c r="W56" s="1" t="s">
        <v>228</v>
      </c>
      <c r="X56" s="44">
        <v>0</v>
      </c>
      <c r="Y56" s="44">
        <v>22.17</v>
      </c>
      <c r="Z56" s="44">
        <v>0.66</v>
      </c>
      <c r="AA56" s="44">
        <v>0</v>
      </c>
      <c r="AB56" s="44">
        <v>0</v>
      </c>
      <c r="AC56" s="44">
        <v>754.51</v>
      </c>
      <c r="AD56" s="45">
        <v>730366</v>
      </c>
      <c r="AE56" s="45">
        <v>80340.259999999995</v>
      </c>
      <c r="AF56" s="46">
        <v>810706.26</v>
      </c>
      <c r="AG56" s="55">
        <f t="shared" si="1"/>
        <v>0</v>
      </c>
      <c r="AH56" s="55">
        <f t="shared" si="2"/>
        <v>0</v>
      </c>
      <c r="AI56" s="55">
        <f t="shared" si="3"/>
        <v>810706.26</v>
      </c>
      <c r="AJ56" s="55">
        <f t="shared" si="4"/>
        <v>0</v>
      </c>
    </row>
    <row r="57" spans="1:36" ht="15" customHeight="1">
      <c r="A57" s="1">
        <v>11</v>
      </c>
      <c r="B57" s="1" t="s">
        <v>223</v>
      </c>
      <c r="C57" s="1" t="s">
        <v>224</v>
      </c>
      <c r="D57" s="1" t="s">
        <v>225</v>
      </c>
      <c r="E57" s="1" t="s">
        <v>224</v>
      </c>
      <c r="F57" s="50" t="s">
        <v>658</v>
      </c>
      <c r="G57" s="50" t="s">
        <v>655</v>
      </c>
      <c r="H57" s="50" t="s">
        <v>656</v>
      </c>
      <c r="I57" s="50" t="s">
        <v>657</v>
      </c>
      <c r="J57" s="1" t="s">
        <v>140</v>
      </c>
      <c r="K57" s="1" t="s">
        <v>141</v>
      </c>
      <c r="L57" s="1">
        <v>1365000221</v>
      </c>
      <c r="M57" s="1" t="s">
        <v>31</v>
      </c>
      <c r="N57" s="1">
        <v>18</v>
      </c>
      <c r="O57" s="47" t="str">
        <f t="shared" si="0"/>
        <v>0-30</v>
      </c>
      <c r="P57" s="1" t="s">
        <v>226</v>
      </c>
      <c r="Q57" s="1">
        <v>1361001896</v>
      </c>
      <c r="R57" s="1" t="s">
        <v>233</v>
      </c>
      <c r="S57" s="1" t="s">
        <v>178</v>
      </c>
      <c r="T57" s="1" t="s">
        <v>179</v>
      </c>
      <c r="U57" s="1" t="s">
        <v>146</v>
      </c>
      <c r="V57" s="1" t="s">
        <v>147</v>
      </c>
      <c r="W57" s="1" t="s">
        <v>228</v>
      </c>
      <c r="X57" s="44">
        <v>0</v>
      </c>
      <c r="Y57" s="44">
        <v>21.35</v>
      </c>
      <c r="Z57" s="44">
        <v>0.67</v>
      </c>
      <c r="AA57" s="44">
        <v>0</v>
      </c>
      <c r="AB57" s="44">
        <v>0</v>
      </c>
      <c r="AC57" s="44">
        <v>1159.94</v>
      </c>
      <c r="AD57" s="45">
        <v>1235336</v>
      </c>
      <c r="AE57" s="45"/>
      <c r="AF57" s="46">
        <v>1235336</v>
      </c>
      <c r="AG57" s="55">
        <f t="shared" si="1"/>
        <v>1235336</v>
      </c>
      <c r="AH57" s="55">
        <f t="shared" si="2"/>
        <v>0</v>
      </c>
      <c r="AI57" s="55">
        <f t="shared" si="3"/>
        <v>0</v>
      </c>
      <c r="AJ57" s="55">
        <f t="shared" si="4"/>
        <v>0</v>
      </c>
    </row>
    <row r="58" spans="1:36" ht="15" customHeight="1">
      <c r="A58" s="1">
        <v>12</v>
      </c>
      <c r="B58" s="1" t="s">
        <v>234</v>
      </c>
      <c r="C58" s="1" t="s">
        <v>235</v>
      </c>
      <c r="D58" s="1" t="s">
        <v>225</v>
      </c>
      <c r="E58" s="1" t="s">
        <v>235</v>
      </c>
      <c r="F58" s="50" t="s">
        <v>658</v>
      </c>
      <c r="G58" s="50" t="s">
        <v>655</v>
      </c>
      <c r="H58" s="50" t="s">
        <v>656</v>
      </c>
      <c r="I58" s="50" t="s">
        <v>657</v>
      </c>
      <c r="J58" s="1" t="s">
        <v>140</v>
      </c>
      <c r="K58" s="1" t="s">
        <v>141</v>
      </c>
      <c r="L58" s="1">
        <v>1365000163</v>
      </c>
      <c r="M58" s="1" t="s">
        <v>32</v>
      </c>
      <c r="N58" s="1">
        <v>137</v>
      </c>
      <c r="O58" s="47" t="str">
        <f t="shared" si="0"/>
        <v>&gt; 91 Days</v>
      </c>
      <c r="P58" s="1" t="s">
        <v>226</v>
      </c>
      <c r="Q58" s="1">
        <v>1361001683</v>
      </c>
      <c r="R58" s="1" t="s">
        <v>236</v>
      </c>
      <c r="S58" s="1" t="s">
        <v>178</v>
      </c>
      <c r="T58" s="1" t="s">
        <v>179</v>
      </c>
      <c r="U58" s="1" t="s">
        <v>146</v>
      </c>
      <c r="V58" s="1" t="s">
        <v>147</v>
      </c>
      <c r="W58" s="1" t="s">
        <v>228</v>
      </c>
      <c r="X58" s="44">
        <v>0</v>
      </c>
      <c r="Y58" s="44">
        <v>20.59</v>
      </c>
      <c r="Z58" s="44">
        <v>0.46</v>
      </c>
      <c r="AA58" s="44">
        <v>0</v>
      </c>
      <c r="AB58" s="44">
        <v>0</v>
      </c>
      <c r="AC58" s="44">
        <v>22.72</v>
      </c>
      <c r="AD58" s="45">
        <v>23061</v>
      </c>
      <c r="AE58" s="45">
        <v>2536.71</v>
      </c>
      <c r="AF58" s="46">
        <v>25597.71</v>
      </c>
      <c r="AG58" s="55">
        <f t="shared" si="1"/>
        <v>0</v>
      </c>
      <c r="AH58" s="55">
        <f t="shared" si="2"/>
        <v>0</v>
      </c>
      <c r="AI58" s="55">
        <f t="shared" si="3"/>
        <v>0</v>
      </c>
      <c r="AJ58" s="55">
        <f t="shared" si="4"/>
        <v>25597.71</v>
      </c>
    </row>
    <row r="59" spans="1:36" ht="15" customHeight="1">
      <c r="A59" s="1">
        <v>12</v>
      </c>
      <c r="B59" s="1" t="s">
        <v>234</v>
      </c>
      <c r="C59" s="1" t="s">
        <v>235</v>
      </c>
      <c r="D59" s="1" t="s">
        <v>225</v>
      </c>
      <c r="E59" s="1" t="s">
        <v>235</v>
      </c>
      <c r="F59" s="50" t="s">
        <v>658</v>
      </c>
      <c r="G59" s="50" t="s">
        <v>655</v>
      </c>
      <c r="H59" s="50" t="s">
        <v>656</v>
      </c>
      <c r="I59" s="50" t="s">
        <v>657</v>
      </c>
      <c r="J59" s="1" t="s">
        <v>140</v>
      </c>
      <c r="K59" s="1" t="s">
        <v>141</v>
      </c>
      <c r="L59" s="1">
        <v>1365000183</v>
      </c>
      <c r="M59" s="1" t="s">
        <v>33</v>
      </c>
      <c r="N59" s="1">
        <v>85</v>
      </c>
      <c r="O59" s="47" t="str">
        <f t="shared" si="0"/>
        <v>61-90</v>
      </c>
      <c r="P59" s="1" t="s">
        <v>226</v>
      </c>
      <c r="Q59" s="1">
        <v>1361001797</v>
      </c>
      <c r="R59" s="1" t="s">
        <v>237</v>
      </c>
      <c r="S59" s="1" t="s">
        <v>178</v>
      </c>
      <c r="T59" s="1" t="s">
        <v>179</v>
      </c>
      <c r="U59" s="1" t="s">
        <v>146</v>
      </c>
      <c r="V59" s="1" t="s">
        <v>147</v>
      </c>
      <c r="W59" s="1" t="s">
        <v>228</v>
      </c>
      <c r="X59" s="44">
        <v>0</v>
      </c>
      <c r="Y59" s="44">
        <v>20.65</v>
      </c>
      <c r="Z59" s="44">
        <v>0.52</v>
      </c>
      <c r="AA59" s="44">
        <v>0</v>
      </c>
      <c r="AB59" s="44">
        <v>0</v>
      </c>
      <c r="AC59" s="44">
        <v>207.55</v>
      </c>
      <c r="AD59" s="45">
        <v>238683</v>
      </c>
      <c r="AE59" s="45">
        <v>26255.13</v>
      </c>
      <c r="AF59" s="46">
        <v>264938.13</v>
      </c>
      <c r="AG59" s="55">
        <f t="shared" si="1"/>
        <v>0</v>
      </c>
      <c r="AH59" s="55">
        <f t="shared" si="2"/>
        <v>0</v>
      </c>
      <c r="AI59" s="55">
        <f t="shared" si="3"/>
        <v>264938.13</v>
      </c>
      <c r="AJ59" s="55">
        <f t="shared" si="4"/>
        <v>0</v>
      </c>
    </row>
    <row r="60" spans="1:36" ht="15" customHeight="1">
      <c r="A60" s="1">
        <v>12</v>
      </c>
      <c r="B60" s="1" t="s">
        <v>234</v>
      </c>
      <c r="C60" s="1" t="s">
        <v>235</v>
      </c>
      <c r="D60" s="1" t="s">
        <v>225</v>
      </c>
      <c r="E60" s="1" t="s">
        <v>235</v>
      </c>
      <c r="F60" s="50" t="s">
        <v>658</v>
      </c>
      <c r="G60" s="50" t="s">
        <v>655</v>
      </c>
      <c r="H60" s="50" t="s">
        <v>656</v>
      </c>
      <c r="I60" s="50" t="s">
        <v>657</v>
      </c>
      <c r="J60" s="1" t="s">
        <v>140</v>
      </c>
      <c r="K60" s="1" t="s">
        <v>141</v>
      </c>
      <c r="L60" s="1">
        <v>9271000329</v>
      </c>
      <c r="M60" s="1" t="s">
        <v>34</v>
      </c>
      <c r="N60" s="1">
        <v>437</v>
      </c>
      <c r="O60" s="47" t="str">
        <f t="shared" si="0"/>
        <v>&gt; 91 Days</v>
      </c>
      <c r="P60" s="1" t="s">
        <v>226</v>
      </c>
      <c r="Q60" s="1">
        <v>1361001389</v>
      </c>
      <c r="R60" s="1" t="s">
        <v>238</v>
      </c>
      <c r="S60" s="1" t="s">
        <v>178</v>
      </c>
      <c r="T60" s="1" t="s">
        <v>179</v>
      </c>
      <c r="U60" s="1" t="s">
        <v>146</v>
      </c>
      <c r="V60" s="1" t="s">
        <v>147</v>
      </c>
      <c r="W60" s="1" t="s">
        <v>228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1057.79</v>
      </c>
      <c r="AD60" s="45">
        <v>973167</v>
      </c>
      <c r="AE60" s="45"/>
      <c r="AF60" s="46">
        <v>973167</v>
      </c>
      <c r="AG60" s="55">
        <f t="shared" si="1"/>
        <v>0</v>
      </c>
      <c r="AH60" s="55">
        <f t="shared" si="2"/>
        <v>0</v>
      </c>
      <c r="AI60" s="55">
        <f t="shared" si="3"/>
        <v>0</v>
      </c>
      <c r="AJ60" s="55">
        <f t="shared" si="4"/>
        <v>973167</v>
      </c>
    </row>
    <row r="61" spans="1:36" ht="15" customHeight="1">
      <c r="A61" s="1">
        <v>12</v>
      </c>
      <c r="B61" s="1" t="s">
        <v>234</v>
      </c>
      <c r="C61" s="1" t="s">
        <v>235</v>
      </c>
      <c r="D61" s="1" t="s">
        <v>225</v>
      </c>
      <c r="E61" s="1" t="s">
        <v>235</v>
      </c>
      <c r="F61" s="50" t="s">
        <v>658</v>
      </c>
      <c r="G61" s="50" t="s">
        <v>655</v>
      </c>
      <c r="H61" s="50" t="s">
        <v>656</v>
      </c>
      <c r="I61" s="50" t="s">
        <v>657</v>
      </c>
      <c r="J61" s="1" t="s">
        <v>140</v>
      </c>
      <c r="K61" s="1" t="s">
        <v>141</v>
      </c>
      <c r="L61" s="1">
        <v>9271000330</v>
      </c>
      <c r="M61" s="1" t="s">
        <v>34</v>
      </c>
      <c r="N61" s="1">
        <v>437</v>
      </c>
      <c r="O61" s="47" t="str">
        <f t="shared" si="0"/>
        <v>&gt; 91 Days</v>
      </c>
      <c r="P61" s="1" t="s">
        <v>226</v>
      </c>
      <c r="Q61" s="1">
        <v>1361001389</v>
      </c>
      <c r="R61" s="1" t="s">
        <v>238</v>
      </c>
      <c r="S61" s="1" t="s">
        <v>178</v>
      </c>
      <c r="T61" s="1" t="s">
        <v>179</v>
      </c>
      <c r="U61" s="1" t="s">
        <v>146</v>
      </c>
      <c r="V61" s="1" t="s">
        <v>147</v>
      </c>
      <c r="W61" s="1" t="s">
        <v>228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0.1</v>
      </c>
      <c r="AD61" s="45">
        <v>107048</v>
      </c>
      <c r="AE61" s="45"/>
      <c r="AF61" s="46">
        <v>107048</v>
      </c>
      <c r="AG61" s="55">
        <f t="shared" si="1"/>
        <v>0</v>
      </c>
      <c r="AH61" s="55">
        <f t="shared" si="2"/>
        <v>0</v>
      </c>
      <c r="AI61" s="55">
        <f t="shared" si="3"/>
        <v>0</v>
      </c>
      <c r="AJ61" s="55">
        <f t="shared" si="4"/>
        <v>107048</v>
      </c>
    </row>
    <row r="62" spans="1:36" ht="15" customHeight="1">
      <c r="A62" s="1">
        <v>13</v>
      </c>
      <c r="B62" s="1" t="s">
        <v>239</v>
      </c>
      <c r="C62" s="1" t="s">
        <v>240</v>
      </c>
      <c r="D62" s="1" t="s">
        <v>241</v>
      </c>
      <c r="E62" s="1" t="s">
        <v>240</v>
      </c>
      <c r="F62" s="50" t="s">
        <v>680</v>
      </c>
      <c r="G62" s="50" t="s">
        <v>655</v>
      </c>
      <c r="H62" s="50" t="s">
        <v>656</v>
      </c>
      <c r="I62" s="50" t="s">
        <v>665</v>
      </c>
      <c r="J62" s="1" t="s">
        <v>183</v>
      </c>
      <c r="K62" s="1" t="s">
        <v>141</v>
      </c>
      <c r="L62" s="1">
        <v>9145000090</v>
      </c>
      <c r="M62" s="1" t="s">
        <v>35</v>
      </c>
      <c r="N62" s="1">
        <v>224</v>
      </c>
      <c r="O62" s="47" t="str">
        <f t="shared" ref="O62:O122" si="5">VLOOKUP(N62,$M$1:$N$4,2,TRUE)</f>
        <v>&gt; 91 Days</v>
      </c>
      <c r="P62" s="1" t="s">
        <v>184</v>
      </c>
      <c r="Q62" s="1">
        <v>9141001251</v>
      </c>
      <c r="R62" s="1">
        <v>1131000076</v>
      </c>
      <c r="S62" s="1" t="s">
        <v>144</v>
      </c>
      <c r="T62" s="1" t="s">
        <v>145</v>
      </c>
      <c r="U62" s="1" t="s">
        <v>146</v>
      </c>
      <c r="V62" s="1" t="s">
        <v>147</v>
      </c>
      <c r="W62" s="1" t="s">
        <v>162</v>
      </c>
      <c r="X62" s="44">
        <v>5.32</v>
      </c>
      <c r="Y62" s="44">
        <v>0.26</v>
      </c>
      <c r="Z62" s="44">
        <v>0</v>
      </c>
      <c r="AA62" s="44">
        <v>0</v>
      </c>
      <c r="AB62" s="44">
        <v>0</v>
      </c>
      <c r="AC62" s="44">
        <v>592450</v>
      </c>
      <c r="AD62" s="45">
        <v>31629500</v>
      </c>
      <c r="AE62" s="45"/>
      <c r="AF62" s="46">
        <v>31629500</v>
      </c>
      <c r="AG62" s="55">
        <f t="shared" ref="AG62:AG122" si="6">IF($O62="0-30",$AF62,0)</f>
        <v>0</v>
      </c>
      <c r="AH62" s="55">
        <f t="shared" ref="AH62:AH122" si="7">IF($O62="31-60",$AF62,0)</f>
        <v>0</v>
      </c>
      <c r="AI62" s="55">
        <f t="shared" ref="AI62:AI122" si="8">IF($O62="61-90",$AF62,0)</f>
        <v>0</v>
      </c>
      <c r="AJ62" s="55">
        <f t="shared" si="4"/>
        <v>31629500</v>
      </c>
    </row>
    <row r="63" spans="1:36" ht="15" customHeight="1">
      <c r="A63" s="1">
        <v>13</v>
      </c>
      <c r="B63" s="1" t="s">
        <v>239</v>
      </c>
      <c r="C63" s="1" t="s">
        <v>240</v>
      </c>
      <c r="D63" s="1" t="s">
        <v>241</v>
      </c>
      <c r="E63" s="1" t="s">
        <v>240</v>
      </c>
      <c r="F63" s="50" t="s">
        <v>680</v>
      </c>
      <c r="G63" s="50" t="s">
        <v>655</v>
      </c>
      <c r="H63" s="50" t="s">
        <v>656</v>
      </c>
      <c r="I63" s="50" t="s">
        <v>665</v>
      </c>
      <c r="J63" s="1" t="s">
        <v>183</v>
      </c>
      <c r="K63" s="1" t="s">
        <v>141</v>
      </c>
      <c r="L63" s="1">
        <v>9145000091</v>
      </c>
      <c r="M63" s="1" t="s">
        <v>35</v>
      </c>
      <c r="N63" s="1">
        <v>224</v>
      </c>
      <c r="O63" s="47" t="str">
        <f t="shared" si="5"/>
        <v>&gt; 91 Days</v>
      </c>
      <c r="P63" s="1" t="s">
        <v>184</v>
      </c>
      <c r="Q63" s="1">
        <v>9141001276</v>
      </c>
      <c r="R63" s="1">
        <v>1131000077</v>
      </c>
      <c r="S63" s="1" t="s">
        <v>144</v>
      </c>
      <c r="T63" s="1" t="s">
        <v>145</v>
      </c>
      <c r="U63" s="1" t="s">
        <v>146</v>
      </c>
      <c r="V63" s="1" t="s">
        <v>147</v>
      </c>
      <c r="W63" s="1" t="s">
        <v>162</v>
      </c>
      <c r="X63" s="44">
        <v>5.13</v>
      </c>
      <c r="Y63" s="44">
        <v>0.24</v>
      </c>
      <c r="Z63" s="44">
        <v>0</v>
      </c>
      <c r="AA63" s="44">
        <v>0</v>
      </c>
      <c r="AB63" s="44">
        <v>0</v>
      </c>
      <c r="AC63" s="44">
        <v>910540</v>
      </c>
      <c r="AD63" s="45">
        <v>45527000</v>
      </c>
      <c r="AE63" s="45"/>
      <c r="AF63" s="46">
        <v>45527000</v>
      </c>
      <c r="AG63" s="55">
        <f t="shared" si="6"/>
        <v>0</v>
      </c>
      <c r="AH63" s="55">
        <f t="shared" si="7"/>
        <v>0</v>
      </c>
      <c r="AI63" s="55">
        <f t="shared" si="8"/>
        <v>0</v>
      </c>
      <c r="AJ63" s="55">
        <f t="shared" si="4"/>
        <v>45527000</v>
      </c>
    </row>
    <row r="64" spans="1:36" ht="15" customHeight="1">
      <c r="A64" s="1">
        <v>13</v>
      </c>
      <c r="B64" s="1" t="s">
        <v>239</v>
      </c>
      <c r="C64" s="1" t="s">
        <v>240</v>
      </c>
      <c r="D64" s="1" t="s">
        <v>241</v>
      </c>
      <c r="E64" s="1" t="s">
        <v>240</v>
      </c>
      <c r="F64" s="50" t="s">
        <v>680</v>
      </c>
      <c r="G64" s="50" t="s">
        <v>655</v>
      </c>
      <c r="H64" s="50" t="s">
        <v>656</v>
      </c>
      <c r="I64" s="50" t="s">
        <v>665</v>
      </c>
      <c r="J64" s="1" t="s">
        <v>183</v>
      </c>
      <c r="K64" s="1" t="s">
        <v>141</v>
      </c>
      <c r="L64" s="1">
        <v>9145000092</v>
      </c>
      <c r="M64" s="1" t="s">
        <v>36</v>
      </c>
      <c r="N64" s="1">
        <v>220</v>
      </c>
      <c r="O64" s="47" t="str">
        <f t="shared" si="5"/>
        <v>&gt; 91 Days</v>
      </c>
      <c r="P64" s="1" t="s">
        <v>184</v>
      </c>
      <c r="Q64" s="1">
        <v>9141001277</v>
      </c>
      <c r="R64" s="1">
        <v>1131000078</v>
      </c>
      <c r="S64" s="1" t="s">
        <v>144</v>
      </c>
      <c r="T64" s="1" t="s">
        <v>145</v>
      </c>
      <c r="U64" s="1" t="s">
        <v>146</v>
      </c>
      <c r="V64" s="1" t="s">
        <v>147</v>
      </c>
      <c r="W64" s="1" t="s">
        <v>162</v>
      </c>
      <c r="X64" s="44">
        <v>5.27</v>
      </c>
      <c r="Y64" s="44">
        <v>0.27</v>
      </c>
      <c r="Z64" s="44">
        <v>0</v>
      </c>
      <c r="AA64" s="44">
        <v>0</v>
      </c>
      <c r="AB64" s="44">
        <v>0</v>
      </c>
      <c r="AC64" s="44">
        <v>1012100</v>
      </c>
      <c r="AD64" s="45">
        <v>50605000</v>
      </c>
      <c r="AE64" s="45"/>
      <c r="AF64" s="46">
        <v>50605000</v>
      </c>
      <c r="AG64" s="55">
        <f t="shared" si="6"/>
        <v>0</v>
      </c>
      <c r="AH64" s="55">
        <f t="shared" si="7"/>
        <v>0</v>
      </c>
      <c r="AI64" s="55">
        <f t="shared" si="8"/>
        <v>0</v>
      </c>
      <c r="AJ64" s="55">
        <f t="shared" si="4"/>
        <v>50605000</v>
      </c>
    </row>
    <row r="65" spans="1:36" ht="15" customHeight="1">
      <c r="A65" s="1">
        <v>13</v>
      </c>
      <c r="B65" s="1" t="s">
        <v>239</v>
      </c>
      <c r="C65" s="1" t="s">
        <v>240</v>
      </c>
      <c r="D65" s="1" t="s">
        <v>241</v>
      </c>
      <c r="E65" s="1" t="s">
        <v>240</v>
      </c>
      <c r="F65" s="50" t="s">
        <v>680</v>
      </c>
      <c r="G65" s="50" t="s">
        <v>655</v>
      </c>
      <c r="H65" s="50" t="s">
        <v>656</v>
      </c>
      <c r="I65" s="50" t="s">
        <v>665</v>
      </c>
      <c r="J65" s="1" t="s">
        <v>183</v>
      </c>
      <c r="K65" s="1" t="s">
        <v>141</v>
      </c>
      <c r="L65" s="1">
        <v>9145000093</v>
      </c>
      <c r="M65" s="1" t="s">
        <v>36</v>
      </c>
      <c r="N65" s="1">
        <v>220</v>
      </c>
      <c r="O65" s="47" t="str">
        <f t="shared" si="5"/>
        <v>&gt; 91 Days</v>
      </c>
      <c r="P65" s="1" t="s">
        <v>184</v>
      </c>
      <c r="Q65" s="1">
        <v>9141001278</v>
      </c>
      <c r="R65" s="1">
        <v>1131000079</v>
      </c>
      <c r="S65" s="1" t="s">
        <v>144</v>
      </c>
      <c r="T65" s="1" t="s">
        <v>145</v>
      </c>
      <c r="U65" s="1" t="s">
        <v>146</v>
      </c>
      <c r="V65" s="1" t="s">
        <v>147</v>
      </c>
      <c r="W65" s="1" t="s">
        <v>162</v>
      </c>
      <c r="X65" s="44">
        <v>5.28</v>
      </c>
      <c r="Y65" s="44">
        <v>0.22</v>
      </c>
      <c r="Z65" s="44">
        <v>0</v>
      </c>
      <c r="AA65" s="44">
        <v>0</v>
      </c>
      <c r="AB65" s="44">
        <v>0</v>
      </c>
      <c r="AC65" s="44">
        <v>985070</v>
      </c>
      <c r="AD65" s="45">
        <v>49253500</v>
      </c>
      <c r="AE65" s="45"/>
      <c r="AF65" s="46">
        <v>49253500</v>
      </c>
      <c r="AG65" s="55">
        <f t="shared" si="6"/>
        <v>0</v>
      </c>
      <c r="AH65" s="55">
        <f t="shared" si="7"/>
        <v>0</v>
      </c>
      <c r="AI65" s="55">
        <f t="shared" si="8"/>
        <v>0</v>
      </c>
      <c r="AJ65" s="55">
        <f t="shared" si="4"/>
        <v>49253500</v>
      </c>
    </row>
    <row r="66" spans="1:36" ht="15" customHeight="1">
      <c r="A66" s="1">
        <v>13</v>
      </c>
      <c r="B66" s="1" t="s">
        <v>239</v>
      </c>
      <c r="C66" s="1" t="s">
        <v>240</v>
      </c>
      <c r="D66" s="1" t="s">
        <v>241</v>
      </c>
      <c r="E66" s="1" t="s">
        <v>240</v>
      </c>
      <c r="F66" s="50" t="s">
        <v>680</v>
      </c>
      <c r="G66" s="50" t="s">
        <v>655</v>
      </c>
      <c r="H66" s="50" t="s">
        <v>656</v>
      </c>
      <c r="I66" s="50" t="s">
        <v>665</v>
      </c>
      <c r="J66" s="1" t="s">
        <v>183</v>
      </c>
      <c r="K66" s="1" t="s">
        <v>141</v>
      </c>
      <c r="L66" s="1">
        <v>9145000094</v>
      </c>
      <c r="M66" s="1" t="s">
        <v>36</v>
      </c>
      <c r="N66" s="1">
        <v>220</v>
      </c>
      <c r="O66" s="47" t="str">
        <f t="shared" si="5"/>
        <v>&gt; 91 Days</v>
      </c>
      <c r="P66" s="1" t="s">
        <v>184</v>
      </c>
      <c r="Q66" s="1">
        <v>9141001279</v>
      </c>
      <c r="R66" s="1">
        <v>1131000080</v>
      </c>
      <c r="S66" s="1" t="s">
        <v>144</v>
      </c>
      <c r="T66" s="1" t="s">
        <v>145</v>
      </c>
      <c r="U66" s="1" t="s">
        <v>146</v>
      </c>
      <c r="V66" s="1" t="s">
        <v>147</v>
      </c>
      <c r="W66" s="1" t="s">
        <v>162</v>
      </c>
      <c r="X66" s="44">
        <v>5.3</v>
      </c>
      <c r="Y66" s="44">
        <v>0.32</v>
      </c>
      <c r="Z66" s="44">
        <v>0</v>
      </c>
      <c r="AA66" s="44">
        <v>0</v>
      </c>
      <c r="AB66" s="44">
        <v>0</v>
      </c>
      <c r="AC66" s="44">
        <v>1010710</v>
      </c>
      <c r="AD66" s="45">
        <v>50535500</v>
      </c>
      <c r="AE66" s="45"/>
      <c r="AF66" s="46">
        <v>50535500</v>
      </c>
      <c r="AG66" s="55">
        <f t="shared" si="6"/>
        <v>0</v>
      </c>
      <c r="AH66" s="55">
        <f t="shared" si="7"/>
        <v>0</v>
      </c>
      <c r="AI66" s="55">
        <f t="shared" si="8"/>
        <v>0</v>
      </c>
      <c r="AJ66" s="55">
        <f t="shared" si="4"/>
        <v>50535500</v>
      </c>
    </row>
    <row r="67" spans="1:36" ht="15" customHeight="1">
      <c r="A67" s="1">
        <v>13</v>
      </c>
      <c r="B67" s="1" t="s">
        <v>239</v>
      </c>
      <c r="C67" s="1" t="s">
        <v>240</v>
      </c>
      <c r="D67" s="1" t="s">
        <v>241</v>
      </c>
      <c r="E67" s="1" t="s">
        <v>240</v>
      </c>
      <c r="F67" s="50" t="s">
        <v>680</v>
      </c>
      <c r="G67" s="50" t="s">
        <v>655</v>
      </c>
      <c r="H67" s="50" t="s">
        <v>656</v>
      </c>
      <c r="I67" s="50" t="s">
        <v>665</v>
      </c>
      <c r="J67" s="1" t="s">
        <v>183</v>
      </c>
      <c r="K67" s="1" t="s">
        <v>141</v>
      </c>
      <c r="L67" s="1">
        <v>9145000095</v>
      </c>
      <c r="M67" s="1" t="s">
        <v>36</v>
      </c>
      <c r="N67" s="1">
        <v>220</v>
      </c>
      <c r="O67" s="47" t="str">
        <f t="shared" si="5"/>
        <v>&gt; 91 Days</v>
      </c>
      <c r="P67" s="1" t="s">
        <v>184</v>
      </c>
      <c r="Q67" s="1">
        <v>9141001290</v>
      </c>
      <c r="R67" s="1">
        <v>1131000083</v>
      </c>
      <c r="S67" s="1" t="s">
        <v>144</v>
      </c>
      <c r="T67" s="1" t="s">
        <v>145</v>
      </c>
      <c r="U67" s="1" t="s">
        <v>146</v>
      </c>
      <c r="V67" s="1" t="s">
        <v>147</v>
      </c>
      <c r="W67" s="1" t="s">
        <v>162</v>
      </c>
      <c r="X67" s="44">
        <v>5.28</v>
      </c>
      <c r="Y67" s="44">
        <v>0.27</v>
      </c>
      <c r="Z67" s="44">
        <v>0</v>
      </c>
      <c r="AA67" s="44">
        <v>0</v>
      </c>
      <c r="AB67" s="44">
        <v>0</v>
      </c>
      <c r="AC67" s="44">
        <v>1014500</v>
      </c>
      <c r="AD67" s="45">
        <v>50725000</v>
      </c>
      <c r="AE67" s="45"/>
      <c r="AF67" s="46">
        <v>50725000</v>
      </c>
      <c r="AG67" s="55">
        <f t="shared" si="6"/>
        <v>0</v>
      </c>
      <c r="AH67" s="55">
        <f t="shared" si="7"/>
        <v>0</v>
      </c>
      <c r="AI67" s="55">
        <f t="shared" si="8"/>
        <v>0</v>
      </c>
      <c r="AJ67" s="55">
        <f t="shared" si="4"/>
        <v>50725000</v>
      </c>
    </row>
    <row r="68" spans="1:36" ht="15" customHeight="1">
      <c r="A68" s="1">
        <v>13</v>
      </c>
      <c r="B68" s="1" t="s">
        <v>239</v>
      </c>
      <c r="C68" s="1" t="s">
        <v>240</v>
      </c>
      <c r="D68" s="1" t="s">
        <v>241</v>
      </c>
      <c r="E68" s="1" t="s">
        <v>240</v>
      </c>
      <c r="F68" s="50" t="s">
        <v>680</v>
      </c>
      <c r="G68" s="50" t="s">
        <v>655</v>
      </c>
      <c r="H68" s="50" t="s">
        <v>656</v>
      </c>
      <c r="I68" s="50" t="s">
        <v>665</v>
      </c>
      <c r="J68" s="1" t="s">
        <v>183</v>
      </c>
      <c r="K68" s="1" t="s">
        <v>141</v>
      </c>
      <c r="L68" s="1">
        <v>9145000096</v>
      </c>
      <c r="M68" s="1" t="s">
        <v>36</v>
      </c>
      <c r="N68" s="1">
        <v>220</v>
      </c>
      <c r="O68" s="47" t="str">
        <f t="shared" si="5"/>
        <v>&gt; 91 Days</v>
      </c>
      <c r="P68" s="1" t="s">
        <v>184</v>
      </c>
      <c r="Q68" s="1">
        <v>9141001291</v>
      </c>
      <c r="R68" s="1">
        <v>1131000084</v>
      </c>
      <c r="S68" s="1" t="s">
        <v>144</v>
      </c>
      <c r="T68" s="1" t="s">
        <v>145</v>
      </c>
      <c r="U68" s="1" t="s">
        <v>146</v>
      </c>
      <c r="V68" s="1" t="s">
        <v>147</v>
      </c>
      <c r="W68" s="1" t="s">
        <v>162</v>
      </c>
      <c r="X68" s="44">
        <v>5.32</v>
      </c>
      <c r="Y68" s="44">
        <v>0.28000000000000003</v>
      </c>
      <c r="Z68" s="44">
        <v>0</v>
      </c>
      <c r="AA68" s="44">
        <v>0</v>
      </c>
      <c r="AB68" s="44">
        <v>0</v>
      </c>
      <c r="AC68" s="44">
        <v>876930</v>
      </c>
      <c r="AD68" s="45">
        <v>43846500</v>
      </c>
      <c r="AE68" s="45"/>
      <c r="AF68" s="46">
        <v>43846500</v>
      </c>
      <c r="AG68" s="55">
        <f t="shared" si="6"/>
        <v>0</v>
      </c>
      <c r="AH68" s="55">
        <f t="shared" si="7"/>
        <v>0</v>
      </c>
      <c r="AI68" s="55">
        <f t="shared" si="8"/>
        <v>0</v>
      </c>
      <c r="AJ68" s="55">
        <f t="shared" si="4"/>
        <v>43846500</v>
      </c>
    </row>
    <row r="69" spans="1:36" ht="15" customHeight="1">
      <c r="A69" s="1">
        <v>13</v>
      </c>
      <c r="B69" s="1" t="s">
        <v>239</v>
      </c>
      <c r="C69" s="1" t="s">
        <v>240</v>
      </c>
      <c r="D69" s="1" t="s">
        <v>241</v>
      </c>
      <c r="E69" s="1" t="s">
        <v>240</v>
      </c>
      <c r="F69" s="50" t="s">
        <v>680</v>
      </c>
      <c r="G69" s="50" t="s">
        <v>655</v>
      </c>
      <c r="H69" s="50" t="s">
        <v>656</v>
      </c>
      <c r="I69" s="50" t="s">
        <v>665</v>
      </c>
      <c r="J69" s="1" t="s">
        <v>183</v>
      </c>
      <c r="K69" s="1" t="s">
        <v>141</v>
      </c>
      <c r="L69" s="1">
        <v>9145000097</v>
      </c>
      <c r="M69" s="1" t="s">
        <v>36</v>
      </c>
      <c r="N69" s="1">
        <v>220</v>
      </c>
      <c r="O69" s="47" t="str">
        <f t="shared" si="5"/>
        <v>&gt; 91 Days</v>
      </c>
      <c r="P69" s="1" t="s">
        <v>184</v>
      </c>
      <c r="Q69" s="1">
        <v>9141001311</v>
      </c>
      <c r="R69" s="1">
        <v>1131000091</v>
      </c>
      <c r="S69" s="1" t="s">
        <v>144</v>
      </c>
      <c r="T69" s="1" t="s">
        <v>145</v>
      </c>
      <c r="U69" s="1" t="s">
        <v>146</v>
      </c>
      <c r="V69" s="1" t="s">
        <v>147</v>
      </c>
      <c r="W69" s="1" t="s">
        <v>162</v>
      </c>
      <c r="X69" s="44">
        <v>5.24</v>
      </c>
      <c r="Y69" s="44">
        <v>0.28000000000000003</v>
      </c>
      <c r="Z69" s="44">
        <v>0</v>
      </c>
      <c r="AA69" s="44">
        <v>0</v>
      </c>
      <c r="AB69" s="44">
        <v>0</v>
      </c>
      <c r="AC69" s="44">
        <v>759090</v>
      </c>
      <c r="AD69" s="45">
        <v>37954500</v>
      </c>
      <c r="AE69" s="45"/>
      <c r="AF69" s="46">
        <v>37954500</v>
      </c>
      <c r="AG69" s="55">
        <f t="shared" si="6"/>
        <v>0</v>
      </c>
      <c r="AH69" s="55">
        <f t="shared" si="7"/>
        <v>0</v>
      </c>
      <c r="AI69" s="55">
        <f t="shared" si="8"/>
        <v>0</v>
      </c>
      <c r="AJ69" s="55">
        <f t="shared" si="4"/>
        <v>37954500</v>
      </c>
    </row>
    <row r="70" spans="1:36" ht="15" customHeight="1">
      <c r="A70" s="1">
        <v>13</v>
      </c>
      <c r="B70" s="1" t="s">
        <v>239</v>
      </c>
      <c r="C70" s="1" t="s">
        <v>240</v>
      </c>
      <c r="D70" s="1" t="s">
        <v>241</v>
      </c>
      <c r="E70" s="1" t="s">
        <v>240</v>
      </c>
      <c r="F70" s="50" t="s">
        <v>680</v>
      </c>
      <c r="G70" s="50" t="s">
        <v>655</v>
      </c>
      <c r="H70" s="50" t="s">
        <v>656</v>
      </c>
      <c r="I70" s="50" t="s">
        <v>665</v>
      </c>
      <c r="J70" s="1" t="s">
        <v>183</v>
      </c>
      <c r="K70" s="1" t="s">
        <v>141</v>
      </c>
      <c r="L70" s="1">
        <v>9145000098</v>
      </c>
      <c r="M70" s="1" t="s">
        <v>36</v>
      </c>
      <c r="N70" s="1">
        <v>220</v>
      </c>
      <c r="O70" s="47" t="str">
        <f t="shared" si="5"/>
        <v>&gt; 91 Days</v>
      </c>
      <c r="P70" s="1" t="s">
        <v>184</v>
      </c>
      <c r="Q70" s="1">
        <v>9141001312</v>
      </c>
      <c r="R70" s="1">
        <v>1131000092</v>
      </c>
      <c r="S70" s="1" t="s">
        <v>144</v>
      </c>
      <c r="T70" s="1" t="s">
        <v>145</v>
      </c>
      <c r="U70" s="1" t="s">
        <v>146</v>
      </c>
      <c r="V70" s="1" t="s">
        <v>147</v>
      </c>
      <c r="W70" s="1" t="s">
        <v>162</v>
      </c>
      <c r="X70" s="44">
        <v>5.29</v>
      </c>
      <c r="Y70" s="44">
        <v>0.26</v>
      </c>
      <c r="Z70" s="44">
        <v>0</v>
      </c>
      <c r="AA70" s="44">
        <v>0</v>
      </c>
      <c r="AB70" s="44">
        <v>0</v>
      </c>
      <c r="AC70" s="44">
        <v>1003590</v>
      </c>
      <c r="AD70" s="45">
        <v>50179500</v>
      </c>
      <c r="AE70" s="45"/>
      <c r="AF70" s="46">
        <v>50179500</v>
      </c>
      <c r="AG70" s="55">
        <f t="shared" si="6"/>
        <v>0</v>
      </c>
      <c r="AH70" s="55">
        <f t="shared" si="7"/>
        <v>0</v>
      </c>
      <c r="AI70" s="55">
        <f t="shared" si="8"/>
        <v>0</v>
      </c>
      <c r="AJ70" s="55">
        <f t="shared" si="4"/>
        <v>50179500</v>
      </c>
    </row>
    <row r="71" spans="1:36" ht="15" customHeight="1">
      <c r="A71" s="1">
        <v>13</v>
      </c>
      <c r="B71" s="1" t="s">
        <v>239</v>
      </c>
      <c r="C71" s="1" t="s">
        <v>240</v>
      </c>
      <c r="D71" s="1" t="s">
        <v>241</v>
      </c>
      <c r="E71" s="1" t="s">
        <v>240</v>
      </c>
      <c r="F71" s="50" t="s">
        <v>680</v>
      </c>
      <c r="G71" s="50" t="s">
        <v>655</v>
      </c>
      <c r="H71" s="50" t="s">
        <v>656</v>
      </c>
      <c r="I71" s="50" t="s">
        <v>665</v>
      </c>
      <c r="J71" s="1" t="s">
        <v>183</v>
      </c>
      <c r="K71" s="1" t="s">
        <v>141</v>
      </c>
      <c r="L71" s="1">
        <v>9145000099</v>
      </c>
      <c r="M71" s="1" t="s">
        <v>36</v>
      </c>
      <c r="N71" s="1">
        <v>220</v>
      </c>
      <c r="O71" s="47" t="str">
        <f t="shared" si="5"/>
        <v>&gt; 91 Days</v>
      </c>
      <c r="P71" s="1" t="s">
        <v>184</v>
      </c>
      <c r="Q71" s="1">
        <v>9141001317</v>
      </c>
      <c r="R71" s="1">
        <v>1131000094</v>
      </c>
      <c r="S71" s="1" t="s">
        <v>144</v>
      </c>
      <c r="T71" s="1" t="s">
        <v>145</v>
      </c>
      <c r="U71" s="1" t="s">
        <v>146</v>
      </c>
      <c r="V71" s="1" t="s">
        <v>147</v>
      </c>
      <c r="W71" s="1" t="s">
        <v>162</v>
      </c>
      <c r="X71" s="44">
        <v>5.3</v>
      </c>
      <c r="Y71" s="44">
        <v>0.31</v>
      </c>
      <c r="Z71" s="44">
        <v>0</v>
      </c>
      <c r="AA71" s="44">
        <v>0</v>
      </c>
      <c r="AB71" s="44">
        <v>0</v>
      </c>
      <c r="AC71" s="44">
        <v>1000620</v>
      </c>
      <c r="AD71" s="45">
        <v>50031000</v>
      </c>
      <c r="AE71" s="45"/>
      <c r="AF71" s="46">
        <v>50031000</v>
      </c>
      <c r="AG71" s="55">
        <f t="shared" si="6"/>
        <v>0</v>
      </c>
      <c r="AH71" s="55">
        <f t="shared" si="7"/>
        <v>0</v>
      </c>
      <c r="AI71" s="55">
        <f t="shared" si="8"/>
        <v>0</v>
      </c>
      <c r="AJ71" s="55">
        <f t="shared" si="4"/>
        <v>50031000</v>
      </c>
    </row>
    <row r="72" spans="1:36" ht="15" customHeight="1">
      <c r="A72" s="1">
        <v>13</v>
      </c>
      <c r="B72" s="1" t="s">
        <v>239</v>
      </c>
      <c r="C72" s="1" t="s">
        <v>240</v>
      </c>
      <c r="D72" s="1" t="s">
        <v>241</v>
      </c>
      <c r="E72" s="1" t="s">
        <v>240</v>
      </c>
      <c r="F72" s="50" t="s">
        <v>680</v>
      </c>
      <c r="G72" s="50" t="s">
        <v>655</v>
      </c>
      <c r="H72" s="50" t="s">
        <v>656</v>
      </c>
      <c r="I72" s="50" t="s">
        <v>665</v>
      </c>
      <c r="J72" s="1" t="s">
        <v>183</v>
      </c>
      <c r="K72" s="1" t="s">
        <v>141</v>
      </c>
      <c r="L72" s="1">
        <v>9145000100</v>
      </c>
      <c r="M72" s="1" t="s">
        <v>36</v>
      </c>
      <c r="N72" s="1">
        <v>220</v>
      </c>
      <c r="O72" s="47" t="str">
        <f t="shared" si="5"/>
        <v>&gt; 91 Days</v>
      </c>
      <c r="P72" s="1" t="s">
        <v>184</v>
      </c>
      <c r="Q72" s="1">
        <v>9141001318</v>
      </c>
      <c r="R72" s="1">
        <v>1131000095</v>
      </c>
      <c r="S72" s="1" t="s">
        <v>144</v>
      </c>
      <c r="T72" s="1" t="s">
        <v>145</v>
      </c>
      <c r="U72" s="1" t="s">
        <v>146</v>
      </c>
      <c r="V72" s="1" t="s">
        <v>147</v>
      </c>
      <c r="W72" s="1" t="s">
        <v>162</v>
      </c>
      <c r="X72" s="44">
        <v>5.22</v>
      </c>
      <c r="Y72" s="44">
        <v>0.22</v>
      </c>
      <c r="Z72" s="44">
        <v>0</v>
      </c>
      <c r="AA72" s="44">
        <v>0</v>
      </c>
      <c r="AB72" s="44">
        <v>0</v>
      </c>
      <c r="AC72" s="44">
        <v>514120</v>
      </c>
      <c r="AD72" s="45">
        <v>25706000</v>
      </c>
      <c r="AE72" s="45"/>
      <c r="AF72" s="46">
        <v>25706000</v>
      </c>
      <c r="AG72" s="55">
        <f t="shared" si="6"/>
        <v>0</v>
      </c>
      <c r="AH72" s="55">
        <f t="shared" si="7"/>
        <v>0</v>
      </c>
      <c r="AI72" s="55">
        <f t="shared" si="8"/>
        <v>0</v>
      </c>
      <c r="AJ72" s="55">
        <f t="shared" si="4"/>
        <v>25706000</v>
      </c>
    </row>
    <row r="73" spans="1:36" ht="15" customHeight="1">
      <c r="A73" s="1">
        <v>13</v>
      </c>
      <c r="B73" s="1" t="s">
        <v>239</v>
      </c>
      <c r="C73" s="1" t="s">
        <v>240</v>
      </c>
      <c r="D73" s="1" t="s">
        <v>241</v>
      </c>
      <c r="E73" s="1" t="s">
        <v>240</v>
      </c>
      <c r="F73" s="50" t="s">
        <v>680</v>
      </c>
      <c r="G73" s="50" t="s">
        <v>655</v>
      </c>
      <c r="H73" s="50" t="s">
        <v>656</v>
      </c>
      <c r="I73" s="50" t="s">
        <v>665</v>
      </c>
      <c r="J73" s="1" t="s">
        <v>183</v>
      </c>
      <c r="K73" s="1" t="s">
        <v>141</v>
      </c>
      <c r="L73" s="1">
        <v>9145000101</v>
      </c>
      <c r="M73" s="1" t="s">
        <v>36</v>
      </c>
      <c r="N73" s="1">
        <v>220</v>
      </c>
      <c r="O73" s="47" t="str">
        <f t="shared" si="5"/>
        <v>&gt; 91 Days</v>
      </c>
      <c r="P73" s="1" t="s">
        <v>184</v>
      </c>
      <c r="Q73" s="1">
        <v>9141001326</v>
      </c>
      <c r="R73" s="1">
        <v>1131000096</v>
      </c>
      <c r="S73" s="1" t="s">
        <v>144</v>
      </c>
      <c r="T73" s="1" t="s">
        <v>145</v>
      </c>
      <c r="U73" s="1" t="s">
        <v>146</v>
      </c>
      <c r="V73" s="1" t="s">
        <v>147</v>
      </c>
      <c r="W73" s="1" t="s">
        <v>162</v>
      </c>
      <c r="X73" s="44">
        <v>5.26</v>
      </c>
      <c r="Y73" s="44">
        <v>0.21</v>
      </c>
      <c r="Z73" s="44">
        <v>0</v>
      </c>
      <c r="AA73" s="44">
        <v>0</v>
      </c>
      <c r="AB73" s="44">
        <v>0</v>
      </c>
      <c r="AC73" s="44">
        <v>584850</v>
      </c>
      <c r="AD73" s="45">
        <v>29242500</v>
      </c>
      <c r="AE73" s="45"/>
      <c r="AF73" s="46">
        <v>29242500</v>
      </c>
      <c r="AG73" s="55">
        <f t="shared" si="6"/>
        <v>0</v>
      </c>
      <c r="AH73" s="55">
        <f t="shared" si="7"/>
        <v>0</v>
      </c>
      <c r="AI73" s="55">
        <f t="shared" si="8"/>
        <v>0</v>
      </c>
      <c r="AJ73" s="55">
        <f t="shared" si="4"/>
        <v>29242500</v>
      </c>
    </row>
    <row r="74" spans="1:36" ht="15" customHeight="1">
      <c r="A74" s="1">
        <v>13</v>
      </c>
      <c r="B74" s="1" t="s">
        <v>239</v>
      </c>
      <c r="C74" s="1" t="s">
        <v>240</v>
      </c>
      <c r="D74" s="1" t="s">
        <v>241</v>
      </c>
      <c r="E74" s="1" t="s">
        <v>240</v>
      </c>
      <c r="F74" s="50" t="s">
        <v>680</v>
      </c>
      <c r="G74" s="50" t="s">
        <v>655</v>
      </c>
      <c r="H74" s="50" t="s">
        <v>656</v>
      </c>
      <c r="I74" s="50" t="s">
        <v>665</v>
      </c>
      <c r="J74" s="1" t="s">
        <v>183</v>
      </c>
      <c r="K74" s="1" t="s">
        <v>141</v>
      </c>
      <c r="L74" s="1">
        <v>9145000102</v>
      </c>
      <c r="M74" s="1" t="s">
        <v>36</v>
      </c>
      <c r="N74" s="1">
        <v>220</v>
      </c>
      <c r="O74" s="47" t="str">
        <f t="shared" si="5"/>
        <v>&gt; 91 Days</v>
      </c>
      <c r="P74" s="1" t="s">
        <v>184</v>
      </c>
      <c r="Q74" s="1">
        <v>9141001327</v>
      </c>
      <c r="R74" s="1">
        <v>1131000097</v>
      </c>
      <c r="S74" s="1" t="s">
        <v>144</v>
      </c>
      <c r="T74" s="1" t="s">
        <v>145</v>
      </c>
      <c r="U74" s="1" t="s">
        <v>146</v>
      </c>
      <c r="V74" s="1" t="s">
        <v>147</v>
      </c>
      <c r="W74" s="1" t="s">
        <v>162</v>
      </c>
      <c r="X74" s="44">
        <v>5.36</v>
      </c>
      <c r="Y74" s="44">
        <v>0.19</v>
      </c>
      <c r="Z74" s="44">
        <v>0</v>
      </c>
      <c r="AA74" s="44">
        <v>0</v>
      </c>
      <c r="AB74" s="44">
        <v>0</v>
      </c>
      <c r="AC74" s="44">
        <v>299140</v>
      </c>
      <c r="AD74" s="45">
        <v>14957000</v>
      </c>
      <c r="AE74" s="45"/>
      <c r="AF74" s="46">
        <v>14957000</v>
      </c>
      <c r="AG74" s="55">
        <f t="shared" si="6"/>
        <v>0</v>
      </c>
      <c r="AH74" s="55">
        <f t="shared" si="7"/>
        <v>0</v>
      </c>
      <c r="AI74" s="55">
        <f t="shared" si="8"/>
        <v>0</v>
      </c>
      <c r="AJ74" s="55">
        <f t="shared" ref="AJ74:AJ137" si="9">IF($O74="&gt; 91 Days",$AF74,0)</f>
        <v>14957000</v>
      </c>
    </row>
    <row r="75" spans="1:36" ht="15" customHeight="1">
      <c r="A75" s="1">
        <v>13</v>
      </c>
      <c r="B75" s="1" t="s">
        <v>239</v>
      </c>
      <c r="C75" s="1" t="s">
        <v>240</v>
      </c>
      <c r="D75" s="1" t="s">
        <v>241</v>
      </c>
      <c r="E75" s="1" t="s">
        <v>240</v>
      </c>
      <c r="F75" s="50" t="s">
        <v>680</v>
      </c>
      <c r="G75" s="50" t="s">
        <v>655</v>
      </c>
      <c r="H75" s="50" t="s">
        <v>656</v>
      </c>
      <c r="I75" s="50" t="s">
        <v>665</v>
      </c>
      <c r="J75" s="1" t="s">
        <v>183</v>
      </c>
      <c r="K75" s="1" t="s">
        <v>141</v>
      </c>
      <c r="L75" s="1">
        <v>9145000103</v>
      </c>
      <c r="M75" s="1" t="s">
        <v>37</v>
      </c>
      <c r="N75" s="1">
        <v>219</v>
      </c>
      <c r="O75" s="47" t="str">
        <f t="shared" si="5"/>
        <v>&gt; 91 Days</v>
      </c>
      <c r="P75" s="1" t="s">
        <v>184</v>
      </c>
      <c r="Q75" s="1">
        <v>9141001337</v>
      </c>
      <c r="R75" s="1">
        <v>1131000101</v>
      </c>
      <c r="S75" s="1" t="s">
        <v>144</v>
      </c>
      <c r="T75" s="1" t="s">
        <v>145</v>
      </c>
      <c r="U75" s="1" t="s">
        <v>146</v>
      </c>
      <c r="V75" s="1" t="s">
        <v>147</v>
      </c>
      <c r="W75" s="1" t="s">
        <v>162</v>
      </c>
      <c r="X75" s="44">
        <v>5.54</v>
      </c>
      <c r="Y75" s="44">
        <v>0.25</v>
      </c>
      <c r="Z75" s="44">
        <v>0</v>
      </c>
      <c r="AA75" s="44">
        <v>0</v>
      </c>
      <c r="AB75" s="44">
        <v>0</v>
      </c>
      <c r="AC75" s="44">
        <v>1015290</v>
      </c>
      <c r="AD75" s="45">
        <v>203058000</v>
      </c>
      <c r="AE75" s="45"/>
      <c r="AF75" s="46">
        <v>203058000</v>
      </c>
      <c r="AG75" s="55">
        <f t="shared" si="6"/>
        <v>0</v>
      </c>
      <c r="AH75" s="55">
        <f t="shared" si="7"/>
        <v>0</v>
      </c>
      <c r="AI75" s="55">
        <f t="shared" si="8"/>
        <v>0</v>
      </c>
      <c r="AJ75" s="55">
        <f t="shared" si="9"/>
        <v>203058000</v>
      </c>
    </row>
    <row r="76" spans="1:36" ht="15" customHeight="1">
      <c r="A76" s="1">
        <v>13</v>
      </c>
      <c r="B76" s="1" t="s">
        <v>239</v>
      </c>
      <c r="C76" s="1" t="s">
        <v>240</v>
      </c>
      <c r="D76" s="1" t="s">
        <v>241</v>
      </c>
      <c r="E76" s="1" t="s">
        <v>240</v>
      </c>
      <c r="F76" s="50" t="s">
        <v>680</v>
      </c>
      <c r="G76" s="50" t="s">
        <v>655</v>
      </c>
      <c r="H76" s="50" t="s">
        <v>656</v>
      </c>
      <c r="I76" s="50" t="s">
        <v>665</v>
      </c>
      <c r="J76" s="1" t="s">
        <v>183</v>
      </c>
      <c r="K76" s="1" t="s">
        <v>141</v>
      </c>
      <c r="L76" s="1">
        <v>9145000104</v>
      </c>
      <c r="M76" s="1" t="s">
        <v>37</v>
      </c>
      <c r="N76" s="1">
        <v>219</v>
      </c>
      <c r="O76" s="47" t="str">
        <f t="shared" si="5"/>
        <v>&gt; 91 Days</v>
      </c>
      <c r="P76" s="1" t="s">
        <v>184</v>
      </c>
      <c r="Q76" s="1">
        <v>9141001383</v>
      </c>
      <c r="R76" s="1">
        <v>1131000113</v>
      </c>
      <c r="S76" s="1" t="s">
        <v>144</v>
      </c>
      <c r="T76" s="1" t="s">
        <v>145</v>
      </c>
      <c r="U76" s="1" t="s">
        <v>146</v>
      </c>
      <c r="V76" s="1" t="s">
        <v>147</v>
      </c>
      <c r="W76" s="1" t="s">
        <v>162</v>
      </c>
      <c r="X76" s="44">
        <v>5.9</v>
      </c>
      <c r="Y76" s="44">
        <v>0.24</v>
      </c>
      <c r="Z76" s="44">
        <v>0</v>
      </c>
      <c r="AA76" s="44">
        <v>0</v>
      </c>
      <c r="AB76" s="44">
        <v>0</v>
      </c>
      <c r="AC76" s="44">
        <v>1014400</v>
      </c>
      <c r="AD76" s="45">
        <v>202880000</v>
      </c>
      <c r="AE76" s="45"/>
      <c r="AF76" s="46">
        <v>202880000</v>
      </c>
      <c r="AG76" s="55">
        <f t="shared" si="6"/>
        <v>0</v>
      </c>
      <c r="AH76" s="55">
        <f t="shared" si="7"/>
        <v>0</v>
      </c>
      <c r="AI76" s="55">
        <f t="shared" si="8"/>
        <v>0</v>
      </c>
      <c r="AJ76" s="55">
        <f t="shared" si="9"/>
        <v>202880000</v>
      </c>
    </row>
    <row r="77" spans="1:36" ht="15" customHeight="1">
      <c r="A77" s="1">
        <v>13</v>
      </c>
      <c r="B77" s="1" t="s">
        <v>239</v>
      </c>
      <c r="C77" s="1" t="s">
        <v>240</v>
      </c>
      <c r="D77" s="1" t="s">
        <v>241</v>
      </c>
      <c r="E77" s="1" t="s">
        <v>240</v>
      </c>
      <c r="F77" s="50" t="s">
        <v>680</v>
      </c>
      <c r="G77" s="50" t="s">
        <v>655</v>
      </c>
      <c r="H77" s="50" t="s">
        <v>656</v>
      </c>
      <c r="I77" s="50" t="s">
        <v>665</v>
      </c>
      <c r="J77" s="1" t="s">
        <v>183</v>
      </c>
      <c r="K77" s="1" t="s">
        <v>141</v>
      </c>
      <c r="L77" s="1">
        <v>9145000105</v>
      </c>
      <c r="M77" s="1" t="s">
        <v>37</v>
      </c>
      <c r="N77" s="1">
        <v>219</v>
      </c>
      <c r="O77" s="47" t="str">
        <f t="shared" si="5"/>
        <v>&gt; 91 Days</v>
      </c>
      <c r="P77" s="1" t="s">
        <v>184</v>
      </c>
      <c r="Q77" s="1">
        <v>9141001384</v>
      </c>
      <c r="R77" s="1">
        <v>1131000114</v>
      </c>
      <c r="S77" s="1" t="s">
        <v>144</v>
      </c>
      <c r="T77" s="1" t="s">
        <v>145</v>
      </c>
      <c r="U77" s="1" t="s">
        <v>146</v>
      </c>
      <c r="V77" s="1" t="s">
        <v>147</v>
      </c>
      <c r="W77" s="1" t="s">
        <v>162</v>
      </c>
      <c r="X77" s="44">
        <v>5.65</v>
      </c>
      <c r="Y77" s="44">
        <v>0.23</v>
      </c>
      <c r="Z77" s="44">
        <v>0</v>
      </c>
      <c r="AA77" s="44">
        <v>0</v>
      </c>
      <c r="AB77" s="44">
        <v>0</v>
      </c>
      <c r="AC77" s="44">
        <v>1015790</v>
      </c>
      <c r="AD77" s="45">
        <v>203158000</v>
      </c>
      <c r="AE77" s="45"/>
      <c r="AF77" s="46">
        <v>203158000</v>
      </c>
      <c r="AG77" s="55">
        <f t="shared" si="6"/>
        <v>0</v>
      </c>
      <c r="AH77" s="55">
        <f t="shared" si="7"/>
        <v>0</v>
      </c>
      <c r="AI77" s="55">
        <f t="shared" si="8"/>
        <v>0</v>
      </c>
      <c r="AJ77" s="55">
        <f t="shared" si="9"/>
        <v>203158000</v>
      </c>
    </row>
    <row r="78" spans="1:36" ht="15" customHeight="1">
      <c r="A78" s="1">
        <v>13</v>
      </c>
      <c r="B78" s="1" t="s">
        <v>239</v>
      </c>
      <c r="C78" s="1" t="s">
        <v>240</v>
      </c>
      <c r="D78" s="1" t="s">
        <v>241</v>
      </c>
      <c r="E78" s="1" t="s">
        <v>240</v>
      </c>
      <c r="F78" s="50" t="s">
        <v>680</v>
      </c>
      <c r="G78" s="50" t="s">
        <v>655</v>
      </c>
      <c r="H78" s="50" t="s">
        <v>656</v>
      </c>
      <c r="I78" s="50" t="s">
        <v>665</v>
      </c>
      <c r="J78" s="1" t="s">
        <v>183</v>
      </c>
      <c r="K78" s="1" t="s">
        <v>141</v>
      </c>
      <c r="L78" s="1">
        <v>9145000106</v>
      </c>
      <c r="M78" s="1" t="s">
        <v>37</v>
      </c>
      <c r="N78" s="1">
        <v>219</v>
      </c>
      <c r="O78" s="47" t="str">
        <f t="shared" si="5"/>
        <v>&gt; 91 Days</v>
      </c>
      <c r="P78" s="1" t="s">
        <v>184</v>
      </c>
      <c r="Q78" s="1">
        <v>9141001429</v>
      </c>
      <c r="R78" s="1">
        <v>1131000122</v>
      </c>
      <c r="S78" s="1" t="s">
        <v>144</v>
      </c>
      <c r="T78" s="1" t="s">
        <v>145</v>
      </c>
      <c r="U78" s="1" t="s">
        <v>146</v>
      </c>
      <c r="V78" s="1" t="s">
        <v>147</v>
      </c>
      <c r="W78" s="1" t="s">
        <v>162</v>
      </c>
      <c r="X78" s="44">
        <v>6.01</v>
      </c>
      <c r="Y78" s="44">
        <v>0.23</v>
      </c>
      <c r="Z78" s="44">
        <v>0</v>
      </c>
      <c r="AA78" s="44">
        <v>0</v>
      </c>
      <c r="AB78" s="44">
        <v>0</v>
      </c>
      <c r="AC78" s="44">
        <v>1012510</v>
      </c>
      <c r="AD78" s="45">
        <v>405004000</v>
      </c>
      <c r="AE78" s="45"/>
      <c r="AF78" s="46">
        <v>405004000</v>
      </c>
      <c r="AG78" s="55">
        <f t="shared" si="6"/>
        <v>0</v>
      </c>
      <c r="AH78" s="55">
        <f t="shared" si="7"/>
        <v>0</v>
      </c>
      <c r="AI78" s="55">
        <f t="shared" si="8"/>
        <v>0</v>
      </c>
      <c r="AJ78" s="55">
        <f t="shared" si="9"/>
        <v>405004000</v>
      </c>
    </row>
    <row r="79" spans="1:36" ht="15" customHeight="1">
      <c r="A79" s="1">
        <v>13</v>
      </c>
      <c r="B79" s="1" t="s">
        <v>239</v>
      </c>
      <c r="C79" s="1" t="s">
        <v>240</v>
      </c>
      <c r="D79" s="1" t="s">
        <v>241</v>
      </c>
      <c r="E79" s="1" t="s">
        <v>240</v>
      </c>
      <c r="F79" s="50" t="s">
        <v>680</v>
      </c>
      <c r="G79" s="50" t="s">
        <v>655</v>
      </c>
      <c r="H79" s="50" t="s">
        <v>656</v>
      </c>
      <c r="I79" s="50" t="s">
        <v>665</v>
      </c>
      <c r="J79" s="1" t="s">
        <v>183</v>
      </c>
      <c r="K79" s="1" t="s">
        <v>141</v>
      </c>
      <c r="L79" s="1">
        <v>9145000107</v>
      </c>
      <c r="M79" s="1" t="s">
        <v>37</v>
      </c>
      <c r="N79" s="1">
        <v>219</v>
      </c>
      <c r="O79" s="47" t="str">
        <f t="shared" si="5"/>
        <v>&gt; 91 Days</v>
      </c>
      <c r="P79" s="1" t="s">
        <v>184</v>
      </c>
      <c r="Q79" s="1">
        <v>9141001430</v>
      </c>
      <c r="R79" s="1">
        <v>1131000123</v>
      </c>
      <c r="S79" s="1" t="s">
        <v>144</v>
      </c>
      <c r="T79" s="1" t="s">
        <v>145</v>
      </c>
      <c r="U79" s="1" t="s">
        <v>146</v>
      </c>
      <c r="V79" s="1" t="s">
        <v>147</v>
      </c>
      <c r="W79" s="1" t="s">
        <v>162</v>
      </c>
      <c r="X79" s="44">
        <v>5.9</v>
      </c>
      <c r="Y79" s="44">
        <v>0.24</v>
      </c>
      <c r="Z79" s="44">
        <v>0</v>
      </c>
      <c r="AA79" s="44">
        <v>0</v>
      </c>
      <c r="AB79" s="44">
        <v>0</v>
      </c>
      <c r="AC79" s="44">
        <v>1013110</v>
      </c>
      <c r="AD79" s="45">
        <v>202622000</v>
      </c>
      <c r="AE79" s="45"/>
      <c r="AF79" s="46">
        <v>202622000</v>
      </c>
      <c r="AG79" s="55">
        <f t="shared" si="6"/>
        <v>0</v>
      </c>
      <c r="AH79" s="55">
        <f t="shared" si="7"/>
        <v>0</v>
      </c>
      <c r="AI79" s="55">
        <f t="shared" si="8"/>
        <v>0</v>
      </c>
      <c r="AJ79" s="55">
        <f t="shared" si="9"/>
        <v>202622000</v>
      </c>
    </row>
    <row r="80" spans="1:36" ht="15" customHeight="1">
      <c r="A80" s="1">
        <v>13</v>
      </c>
      <c r="B80" s="1" t="s">
        <v>239</v>
      </c>
      <c r="C80" s="1" t="s">
        <v>240</v>
      </c>
      <c r="D80" s="1" t="s">
        <v>241</v>
      </c>
      <c r="E80" s="1" t="s">
        <v>240</v>
      </c>
      <c r="F80" s="50" t="s">
        <v>680</v>
      </c>
      <c r="G80" s="50" t="s">
        <v>655</v>
      </c>
      <c r="H80" s="50" t="s">
        <v>656</v>
      </c>
      <c r="I80" s="50" t="s">
        <v>665</v>
      </c>
      <c r="J80" s="1" t="s">
        <v>183</v>
      </c>
      <c r="K80" s="1" t="s">
        <v>141</v>
      </c>
      <c r="L80" s="1">
        <v>9145000108</v>
      </c>
      <c r="M80" s="1" t="s">
        <v>37</v>
      </c>
      <c r="N80" s="1">
        <v>219</v>
      </c>
      <c r="O80" s="47" t="str">
        <f t="shared" si="5"/>
        <v>&gt; 91 Days</v>
      </c>
      <c r="P80" s="1" t="s">
        <v>184</v>
      </c>
      <c r="Q80" s="1">
        <v>9141001437</v>
      </c>
      <c r="R80" s="1">
        <v>1131000126</v>
      </c>
      <c r="S80" s="1" t="s">
        <v>144</v>
      </c>
      <c r="T80" s="1" t="s">
        <v>145</v>
      </c>
      <c r="U80" s="1" t="s">
        <v>146</v>
      </c>
      <c r="V80" s="1" t="s">
        <v>147</v>
      </c>
      <c r="W80" s="1" t="s">
        <v>162</v>
      </c>
      <c r="X80" s="44">
        <v>6.05</v>
      </c>
      <c r="Y80" s="44">
        <v>0.25</v>
      </c>
      <c r="Z80" s="44">
        <v>0</v>
      </c>
      <c r="AA80" s="44">
        <v>0</v>
      </c>
      <c r="AB80" s="44">
        <v>0</v>
      </c>
      <c r="AC80" s="44">
        <v>1014650</v>
      </c>
      <c r="AD80" s="45">
        <v>405860000</v>
      </c>
      <c r="AE80" s="45"/>
      <c r="AF80" s="46">
        <v>405860000</v>
      </c>
      <c r="AG80" s="55">
        <f t="shared" si="6"/>
        <v>0</v>
      </c>
      <c r="AH80" s="55">
        <f t="shared" si="7"/>
        <v>0</v>
      </c>
      <c r="AI80" s="55">
        <f t="shared" si="8"/>
        <v>0</v>
      </c>
      <c r="AJ80" s="55">
        <f t="shared" si="9"/>
        <v>405860000</v>
      </c>
    </row>
    <row r="81" spans="1:36" ht="15" customHeight="1">
      <c r="A81" s="1">
        <v>13</v>
      </c>
      <c r="B81" s="1" t="s">
        <v>239</v>
      </c>
      <c r="C81" s="1" t="s">
        <v>240</v>
      </c>
      <c r="D81" s="1" t="s">
        <v>241</v>
      </c>
      <c r="E81" s="1" t="s">
        <v>240</v>
      </c>
      <c r="F81" s="50" t="s">
        <v>680</v>
      </c>
      <c r="G81" s="50" t="s">
        <v>655</v>
      </c>
      <c r="H81" s="50" t="s">
        <v>656</v>
      </c>
      <c r="I81" s="50" t="s">
        <v>665</v>
      </c>
      <c r="J81" s="1" t="s">
        <v>183</v>
      </c>
      <c r="K81" s="1" t="s">
        <v>141</v>
      </c>
      <c r="L81" s="1">
        <v>9145000109</v>
      </c>
      <c r="M81" s="1" t="s">
        <v>37</v>
      </c>
      <c r="N81" s="1">
        <v>219</v>
      </c>
      <c r="O81" s="47" t="str">
        <f t="shared" si="5"/>
        <v>&gt; 91 Days</v>
      </c>
      <c r="P81" s="1" t="s">
        <v>184</v>
      </c>
      <c r="Q81" s="1">
        <v>9141001438</v>
      </c>
      <c r="R81" s="1">
        <v>1131000127</v>
      </c>
      <c r="S81" s="1" t="s">
        <v>144</v>
      </c>
      <c r="T81" s="1" t="s">
        <v>145</v>
      </c>
      <c r="U81" s="1" t="s">
        <v>146</v>
      </c>
      <c r="V81" s="1" t="s">
        <v>147</v>
      </c>
      <c r="W81" s="1" t="s">
        <v>162</v>
      </c>
      <c r="X81" s="44">
        <v>6.12</v>
      </c>
      <c r="Y81" s="44">
        <v>0.25</v>
      </c>
      <c r="Z81" s="44">
        <v>0</v>
      </c>
      <c r="AA81" s="44">
        <v>0</v>
      </c>
      <c r="AB81" s="44">
        <v>0</v>
      </c>
      <c r="AC81" s="44">
        <v>1006460</v>
      </c>
      <c r="AD81" s="45">
        <v>402584000</v>
      </c>
      <c r="AE81" s="45"/>
      <c r="AF81" s="46">
        <v>402584000</v>
      </c>
      <c r="AG81" s="55">
        <f t="shared" si="6"/>
        <v>0</v>
      </c>
      <c r="AH81" s="55">
        <f t="shared" si="7"/>
        <v>0</v>
      </c>
      <c r="AI81" s="55">
        <f t="shared" si="8"/>
        <v>0</v>
      </c>
      <c r="AJ81" s="55">
        <f t="shared" si="9"/>
        <v>402584000</v>
      </c>
    </row>
    <row r="82" spans="1:36" ht="15" customHeight="1">
      <c r="A82" s="1">
        <v>13</v>
      </c>
      <c r="B82" s="1" t="s">
        <v>239</v>
      </c>
      <c r="C82" s="1" t="s">
        <v>240</v>
      </c>
      <c r="D82" s="1" t="s">
        <v>241</v>
      </c>
      <c r="E82" s="1" t="s">
        <v>240</v>
      </c>
      <c r="F82" s="50" t="s">
        <v>680</v>
      </c>
      <c r="G82" s="50" t="s">
        <v>655</v>
      </c>
      <c r="H82" s="50" t="s">
        <v>656</v>
      </c>
      <c r="I82" s="50" t="s">
        <v>665</v>
      </c>
      <c r="J82" s="1" t="s">
        <v>183</v>
      </c>
      <c r="K82" s="1" t="s">
        <v>141</v>
      </c>
      <c r="L82" s="1">
        <v>9145000131</v>
      </c>
      <c r="M82" s="1" t="s">
        <v>38</v>
      </c>
      <c r="N82" s="1">
        <v>157</v>
      </c>
      <c r="O82" s="47" t="str">
        <f t="shared" si="5"/>
        <v>&gt; 91 Days</v>
      </c>
      <c r="P82" s="1" t="s">
        <v>184</v>
      </c>
      <c r="Q82" s="1">
        <v>9141001450</v>
      </c>
      <c r="R82" s="1">
        <v>1131000131</v>
      </c>
      <c r="S82" s="1" t="s">
        <v>144</v>
      </c>
      <c r="T82" s="1" t="s">
        <v>145</v>
      </c>
      <c r="U82" s="1" t="s">
        <v>146</v>
      </c>
      <c r="V82" s="1" t="s">
        <v>147</v>
      </c>
      <c r="W82" s="1" t="s">
        <v>162</v>
      </c>
      <c r="X82" s="44">
        <v>6.22</v>
      </c>
      <c r="Y82" s="44">
        <v>0.23</v>
      </c>
      <c r="Z82" s="44">
        <v>0</v>
      </c>
      <c r="AA82" s="44">
        <v>0</v>
      </c>
      <c r="AB82" s="44">
        <v>0</v>
      </c>
      <c r="AC82" s="44">
        <v>918810</v>
      </c>
      <c r="AD82" s="45">
        <v>403384000</v>
      </c>
      <c r="AE82" s="45"/>
      <c r="AF82" s="46">
        <v>403384000</v>
      </c>
      <c r="AG82" s="55">
        <f t="shared" si="6"/>
        <v>0</v>
      </c>
      <c r="AH82" s="55">
        <f t="shared" si="7"/>
        <v>0</v>
      </c>
      <c r="AI82" s="55">
        <f t="shared" si="8"/>
        <v>0</v>
      </c>
      <c r="AJ82" s="55">
        <f t="shared" si="9"/>
        <v>403384000</v>
      </c>
    </row>
    <row r="83" spans="1:36" ht="15" customHeight="1">
      <c r="A83" s="1">
        <v>13</v>
      </c>
      <c r="B83" s="1" t="s">
        <v>239</v>
      </c>
      <c r="C83" s="1" t="s">
        <v>240</v>
      </c>
      <c r="D83" s="1" t="s">
        <v>241</v>
      </c>
      <c r="E83" s="1" t="s">
        <v>240</v>
      </c>
      <c r="F83" s="50" t="s">
        <v>680</v>
      </c>
      <c r="G83" s="50" t="s">
        <v>655</v>
      </c>
      <c r="H83" s="50" t="s">
        <v>656</v>
      </c>
      <c r="I83" s="50" t="s">
        <v>665</v>
      </c>
      <c r="J83" s="1" t="s">
        <v>183</v>
      </c>
      <c r="K83" s="1" t="s">
        <v>141</v>
      </c>
      <c r="L83" s="1">
        <v>9145000132</v>
      </c>
      <c r="M83" s="1" t="s">
        <v>38</v>
      </c>
      <c r="N83" s="1">
        <v>157</v>
      </c>
      <c r="O83" s="47" t="str">
        <f t="shared" si="5"/>
        <v>&gt; 91 Days</v>
      </c>
      <c r="P83" s="1" t="s">
        <v>184</v>
      </c>
      <c r="Q83" s="1">
        <v>9141001451</v>
      </c>
      <c r="R83" s="1">
        <v>1131000132</v>
      </c>
      <c r="S83" s="1" t="s">
        <v>144</v>
      </c>
      <c r="T83" s="1" t="s">
        <v>145</v>
      </c>
      <c r="U83" s="1" t="s">
        <v>146</v>
      </c>
      <c r="V83" s="1" t="s">
        <v>147</v>
      </c>
      <c r="W83" s="1" t="s">
        <v>162</v>
      </c>
      <c r="X83" s="44">
        <v>6.78</v>
      </c>
      <c r="Y83" s="44">
        <v>0.23</v>
      </c>
      <c r="Z83" s="44">
        <v>0</v>
      </c>
      <c r="AA83" s="44">
        <v>0</v>
      </c>
      <c r="AB83" s="44">
        <v>0</v>
      </c>
      <c r="AC83" s="44">
        <v>502690</v>
      </c>
      <c r="AD83" s="45">
        <v>100302000</v>
      </c>
      <c r="AE83" s="45"/>
      <c r="AF83" s="46">
        <v>100302000</v>
      </c>
      <c r="AG83" s="55">
        <f t="shared" si="6"/>
        <v>0</v>
      </c>
      <c r="AH83" s="55">
        <f t="shared" si="7"/>
        <v>0</v>
      </c>
      <c r="AI83" s="55">
        <f t="shared" si="8"/>
        <v>0</v>
      </c>
      <c r="AJ83" s="55">
        <f t="shared" si="9"/>
        <v>100302000</v>
      </c>
    </row>
    <row r="84" spans="1:36" ht="15" customHeight="1">
      <c r="A84" s="1">
        <v>13</v>
      </c>
      <c r="B84" s="1" t="s">
        <v>239</v>
      </c>
      <c r="C84" s="1" t="s">
        <v>240</v>
      </c>
      <c r="D84" s="1" t="s">
        <v>241</v>
      </c>
      <c r="E84" s="1" t="s">
        <v>240</v>
      </c>
      <c r="F84" s="50" t="s">
        <v>680</v>
      </c>
      <c r="G84" s="50" t="s">
        <v>655</v>
      </c>
      <c r="H84" s="50" t="s">
        <v>656</v>
      </c>
      <c r="I84" s="50" t="s">
        <v>665</v>
      </c>
      <c r="J84" s="1" t="s">
        <v>183</v>
      </c>
      <c r="K84" s="1" t="s">
        <v>141</v>
      </c>
      <c r="L84" s="1">
        <v>9145000133</v>
      </c>
      <c r="M84" s="1" t="s">
        <v>38</v>
      </c>
      <c r="N84" s="1">
        <v>157</v>
      </c>
      <c r="O84" s="47" t="str">
        <f t="shared" si="5"/>
        <v>&gt; 91 Days</v>
      </c>
      <c r="P84" s="1" t="s">
        <v>184</v>
      </c>
      <c r="Q84" s="1">
        <v>9141001463</v>
      </c>
      <c r="R84" s="1">
        <v>1131000138</v>
      </c>
      <c r="S84" s="1" t="s">
        <v>144</v>
      </c>
      <c r="T84" s="1" t="s">
        <v>145</v>
      </c>
      <c r="U84" s="1" t="s">
        <v>146</v>
      </c>
      <c r="V84" s="1" t="s">
        <v>147</v>
      </c>
      <c r="W84" s="1" t="s">
        <v>162</v>
      </c>
      <c r="X84" s="44">
        <v>6.58</v>
      </c>
      <c r="Y84" s="44">
        <v>0.24</v>
      </c>
      <c r="Z84" s="44">
        <v>0</v>
      </c>
      <c r="AA84" s="44">
        <v>0</v>
      </c>
      <c r="AB84" s="44">
        <v>0</v>
      </c>
      <c r="AC84" s="44">
        <v>702480</v>
      </c>
      <c r="AD84" s="45">
        <v>200034000</v>
      </c>
      <c r="AE84" s="45"/>
      <c r="AF84" s="46">
        <v>200034000</v>
      </c>
      <c r="AG84" s="55">
        <f t="shared" si="6"/>
        <v>0</v>
      </c>
      <c r="AH84" s="55">
        <f t="shared" si="7"/>
        <v>0</v>
      </c>
      <c r="AI84" s="55">
        <f t="shared" si="8"/>
        <v>0</v>
      </c>
      <c r="AJ84" s="55">
        <f t="shared" si="9"/>
        <v>200034000</v>
      </c>
    </row>
    <row r="85" spans="1:36" ht="15" customHeight="1">
      <c r="A85" s="1">
        <v>13</v>
      </c>
      <c r="B85" s="1" t="s">
        <v>239</v>
      </c>
      <c r="C85" s="1" t="s">
        <v>240</v>
      </c>
      <c r="D85" s="1" t="s">
        <v>241</v>
      </c>
      <c r="E85" s="1" t="s">
        <v>240</v>
      </c>
      <c r="F85" s="50" t="s">
        <v>680</v>
      </c>
      <c r="G85" s="50" t="s">
        <v>655</v>
      </c>
      <c r="H85" s="50" t="s">
        <v>656</v>
      </c>
      <c r="I85" s="50" t="s">
        <v>665</v>
      </c>
      <c r="J85" s="1" t="s">
        <v>183</v>
      </c>
      <c r="K85" s="1" t="s">
        <v>141</v>
      </c>
      <c r="L85" s="1">
        <v>9145000134</v>
      </c>
      <c r="M85" s="1" t="s">
        <v>38</v>
      </c>
      <c r="N85" s="1">
        <v>157</v>
      </c>
      <c r="O85" s="47" t="str">
        <f t="shared" si="5"/>
        <v>&gt; 91 Days</v>
      </c>
      <c r="P85" s="1" t="s">
        <v>184</v>
      </c>
      <c r="Q85" s="1">
        <v>9141001464</v>
      </c>
      <c r="R85" s="1">
        <v>1131000139</v>
      </c>
      <c r="S85" s="1" t="s">
        <v>144</v>
      </c>
      <c r="T85" s="1" t="s">
        <v>145</v>
      </c>
      <c r="U85" s="1" t="s">
        <v>146</v>
      </c>
      <c r="V85" s="1" t="s">
        <v>147</v>
      </c>
      <c r="W85" s="1" t="s">
        <v>162</v>
      </c>
      <c r="X85" s="44">
        <v>6.69</v>
      </c>
      <c r="Y85" s="44">
        <v>0.24</v>
      </c>
      <c r="Z85" s="44">
        <v>0</v>
      </c>
      <c r="AA85" s="44">
        <v>0</v>
      </c>
      <c r="AB85" s="44">
        <v>0</v>
      </c>
      <c r="AC85" s="44">
        <v>719270</v>
      </c>
      <c r="AD85" s="45">
        <v>201340000</v>
      </c>
      <c r="AE85" s="45"/>
      <c r="AF85" s="46">
        <v>201340000</v>
      </c>
      <c r="AG85" s="55">
        <f t="shared" si="6"/>
        <v>0</v>
      </c>
      <c r="AH85" s="55">
        <f t="shared" si="7"/>
        <v>0</v>
      </c>
      <c r="AI85" s="55">
        <f t="shared" si="8"/>
        <v>0</v>
      </c>
      <c r="AJ85" s="55">
        <f t="shared" si="9"/>
        <v>201340000</v>
      </c>
    </row>
    <row r="86" spans="1:36" ht="15" customHeight="1">
      <c r="A86" s="1">
        <v>13</v>
      </c>
      <c r="B86" s="1" t="s">
        <v>239</v>
      </c>
      <c r="C86" s="1" t="s">
        <v>240</v>
      </c>
      <c r="D86" s="1" t="s">
        <v>241</v>
      </c>
      <c r="E86" s="1" t="s">
        <v>240</v>
      </c>
      <c r="F86" s="50" t="s">
        <v>680</v>
      </c>
      <c r="G86" s="50" t="s">
        <v>655</v>
      </c>
      <c r="H86" s="50" t="s">
        <v>656</v>
      </c>
      <c r="I86" s="50" t="s">
        <v>665</v>
      </c>
      <c r="J86" s="1" t="s">
        <v>183</v>
      </c>
      <c r="K86" s="1" t="s">
        <v>141</v>
      </c>
      <c r="L86" s="1">
        <v>9145000135</v>
      </c>
      <c r="M86" s="1" t="s">
        <v>38</v>
      </c>
      <c r="N86" s="1">
        <v>157</v>
      </c>
      <c r="O86" s="47" t="str">
        <f t="shared" si="5"/>
        <v>&gt; 91 Days</v>
      </c>
      <c r="P86" s="1" t="s">
        <v>184</v>
      </c>
      <c r="Q86" s="1">
        <v>9141001466</v>
      </c>
      <c r="R86" s="1">
        <v>1131000141</v>
      </c>
      <c r="S86" s="1" t="s">
        <v>144</v>
      </c>
      <c r="T86" s="1" t="s">
        <v>145</v>
      </c>
      <c r="U86" s="1" t="s">
        <v>146</v>
      </c>
      <c r="V86" s="1" t="s">
        <v>147</v>
      </c>
      <c r="W86" s="1" t="s">
        <v>162</v>
      </c>
      <c r="X86" s="44">
        <v>6.59</v>
      </c>
      <c r="Y86" s="44">
        <v>0.25</v>
      </c>
      <c r="Z86" s="44">
        <v>0</v>
      </c>
      <c r="AA86" s="44">
        <v>0</v>
      </c>
      <c r="AB86" s="44">
        <v>0</v>
      </c>
      <c r="AC86" s="44">
        <v>707350</v>
      </c>
      <c r="AD86" s="45">
        <v>201556000</v>
      </c>
      <c r="AE86" s="45"/>
      <c r="AF86" s="46">
        <v>201556000</v>
      </c>
      <c r="AG86" s="55">
        <f t="shared" si="6"/>
        <v>0</v>
      </c>
      <c r="AH86" s="55">
        <f t="shared" si="7"/>
        <v>0</v>
      </c>
      <c r="AI86" s="55">
        <f t="shared" si="8"/>
        <v>0</v>
      </c>
      <c r="AJ86" s="55">
        <f t="shared" si="9"/>
        <v>201556000</v>
      </c>
    </row>
    <row r="87" spans="1:36" ht="15" customHeight="1">
      <c r="A87" s="1">
        <v>13</v>
      </c>
      <c r="B87" s="1" t="s">
        <v>239</v>
      </c>
      <c r="C87" s="1" t="s">
        <v>240</v>
      </c>
      <c r="D87" s="1" t="s">
        <v>241</v>
      </c>
      <c r="E87" s="1" t="s">
        <v>240</v>
      </c>
      <c r="F87" s="50" t="s">
        <v>680</v>
      </c>
      <c r="G87" s="50" t="s">
        <v>655</v>
      </c>
      <c r="H87" s="50" t="s">
        <v>656</v>
      </c>
      <c r="I87" s="50" t="s">
        <v>665</v>
      </c>
      <c r="J87" s="1" t="s">
        <v>183</v>
      </c>
      <c r="K87" s="1" t="s">
        <v>141</v>
      </c>
      <c r="L87" s="1">
        <v>9145000136</v>
      </c>
      <c r="M87" s="1" t="s">
        <v>38</v>
      </c>
      <c r="N87" s="1">
        <v>157</v>
      </c>
      <c r="O87" s="47" t="str">
        <f t="shared" si="5"/>
        <v>&gt; 91 Days</v>
      </c>
      <c r="P87" s="1" t="s">
        <v>184</v>
      </c>
      <c r="Q87" s="1">
        <v>9141001467</v>
      </c>
      <c r="R87" s="1">
        <v>1131000142</v>
      </c>
      <c r="S87" s="1" t="s">
        <v>144</v>
      </c>
      <c r="T87" s="1" t="s">
        <v>145</v>
      </c>
      <c r="U87" s="1" t="s">
        <v>146</v>
      </c>
      <c r="V87" s="1" t="s">
        <v>147</v>
      </c>
      <c r="W87" s="1" t="s">
        <v>162</v>
      </c>
      <c r="X87" s="44">
        <v>6.36</v>
      </c>
      <c r="Y87" s="44">
        <v>0.25</v>
      </c>
      <c r="Z87" s="44">
        <v>0</v>
      </c>
      <c r="AA87" s="44">
        <v>0</v>
      </c>
      <c r="AB87" s="44">
        <v>0</v>
      </c>
      <c r="AC87" s="44">
        <v>866170</v>
      </c>
      <c r="AD87" s="45">
        <v>201100000</v>
      </c>
      <c r="AE87" s="45"/>
      <c r="AF87" s="46">
        <v>201100000</v>
      </c>
      <c r="AG87" s="55">
        <f t="shared" si="6"/>
        <v>0</v>
      </c>
      <c r="AH87" s="55">
        <f t="shared" si="7"/>
        <v>0</v>
      </c>
      <c r="AI87" s="55">
        <f t="shared" si="8"/>
        <v>0</v>
      </c>
      <c r="AJ87" s="55">
        <f t="shared" si="9"/>
        <v>201100000</v>
      </c>
    </row>
    <row r="88" spans="1:36" ht="15" customHeight="1">
      <c r="A88" s="1">
        <v>13</v>
      </c>
      <c r="B88" s="1" t="s">
        <v>239</v>
      </c>
      <c r="C88" s="1" t="s">
        <v>240</v>
      </c>
      <c r="D88" s="1" t="s">
        <v>241</v>
      </c>
      <c r="E88" s="1" t="s">
        <v>240</v>
      </c>
      <c r="F88" s="50" t="s">
        <v>680</v>
      </c>
      <c r="G88" s="50" t="s">
        <v>655</v>
      </c>
      <c r="H88" s="50" t="s">
        <v>656</v>
      </c>
      <c r="I88" s="50" t="s">
        <v>665</v>
      </c>
      <c r="J88" s="1" t="s">
        <v>183</v>
      </c>
      <c r="K88" s="1" t="s">
        <v>141</v>
      </c>
      <c r="L88" s="1">
        <v>9145000137</v>
      </c>
      <c r="M88" s="1" t="s">
        <v>38</v>
      </c>
      <c r="N88" s="1">
        <v>157</v>
      </c>
      <c r="O88" s="47" t="str">
        <f t="shared" si="5"/>
        <v>&gt; 91 Days</v>
      </c>
      <c r="P88" s="1" t="s">
        <v>184</v>
      </c>
      <c r="Q88" s="1">
        <v>9141001483</v>
      </c>
      <c r="R88" s="1">
        <v>1131000147</v>
      </c>
      <c r="S88" s="1" t="s">
        <v>144</v>
      </c>
      <c r="T88" s="1" t="s">
        <v>145</v>
      </c>
      <c r="U88" s="1" t="s">
        <v>146</v>
      </c>
      <c r="V88" s="1" t="s">
        <v>147</v>
      </c>
      <c r="W88" s="1" t="s">
        <v>162</v>
      </c>
      <c r="X88" s="44">
        <v>6.03</v>
      </c>
      <c r="Y88" s="44">
        <v>0.4</v>
      </c>
      <c r="Z88" s="44">
        <v>0</v>
      </c>
      <c r="AA88" s="44">
        <v>0</v>
      </c>
      <c r="AB88" s="44">
        <v>0</v>
      </c>
      <c r="AC88" s="44">
        <v>957410</v>
      </c>
      <c r="AD88" s="45">
        <v>201822000</v>
      </c>
      <c r="AE88" s="45"/>
      <c r="AF88" s="46">
        <v>201822000</v>
      </c>
      <c r="AG88" s="55">
        <f t="shared" si="6"/>
        <v>0</v>
      </c>
      <c r="AH88" s="55">
        <f t="shared" si="7"/>
        <v>0</v>
      </c>
      <c r="AI88" s="55">
        <f t="shared" si="8"/>
        <v>0</v>
      </c>
      <c r="AJ88" s="55">
        <f t="shared" si="9"/>
        <v>201822000</v>
      </c>
    </row>
    <row r="89" spans="1:36" ht="15" customHeight="1">
      <c r="A89" s="1">
        <v>13</v>
      </c>
      <c r="B89" s="1" t="s">
        <v>239</v>
      </c>
      <c r="C89" s="1" t="s">
        <v>240</v>
      </c>
      <c r="D89" s="1" t="s">
        <v>241</v>
      </c>
      <c r="E89" s="1" t="s">
        <v>240</v>
      </c>
      <c r="F89" s="50" t="s">
        <v>680</v>
      </c>
      <c r="G89" s="50" t="s">
        <v>655</v>
      </c>
      <c r="H89" s="50" t="s">
        <v>656</v>
      </c>
      <c r="I89" s="50" t="s">
        <v>665</v>
      </c>
      <c r="J89" s="1" t="s">
        <v>183</v>
      </c>
      <c r="K89" s="1" t="s">
        <v>141</v>
      </c>
      <c r="L89" s="1">
        <v>9145000138</v>
      </c>
      <c r="M89" s="1" t="s">
        <v>38</v>
      </c>
      <c r="N89" s="1">
        <v>157</v>
      </c>
      <c r="O89" s="47" t="str">
        <f t="shared" si="5"/>
        <v>&gt; 91 Days</v>
      </c>
      <c r="P89" s="1" t="s">
        <v>184</v>
      </c>
      <c r="Q89" s="1">
        <v>9141001484</v>
      </c>
      <c r="R89" s="1">
        <v>1131000148</v>
      </c>
      <c r="S89" s="1" t="s">
        <v>144</v>
      </c>
      <c r="T89" s="1" t="s">
        <v>145</v>
      </c>
      <c r="U89" s="1" t="s">
        <v>146</v>
      </c>
      <c r="V89" s="1" t="s">
        <v>147</v>
      </c>
      <c r="W89" s="1" t="s">
        <v>162</v>
      </c>
      <c r="X89" s="44">
        <v>5.74</v>
      </c>
      <c r="Y89" s="44">
        <v>0.25</v>
      </c>
      <c r="Z89" s="44">
        <v>0</v>
      </c>
      <c r="AA89" s="44">
        <v>0</v>
      </c>
      <c r="AB89" s="44">
        <v>0</v>
      </c>
      <c r="AC89" s="44">
        <v>798630</v>
      </c>
      <c r="AD89" s="45">
        <v>100933000</v>
      </c>
      <c r="AE89" s="45"/>
      <c r="AF89" s="46">
        <v>100933000</v>
      </c>
      <c r="AG89" s="55">
        <f t="shared" si="6"/>
        <v>0</v>
      </c>
      <c r="AH89" s="55">
        <f t="shared" si="7"/>
        <v>0</v>
      </c>
      <c r="AI89" s="55">
        <f t="shared" si="8"/>
        <v>0</v>
      </c>
      <c r="AJ89" s="55">
        <f t="shared" si="9"/>
        <v>100933000</v>
      </c>
    </row>
    <row r="90" spans="1:36" ht="15" customHeight="1">
      <c r="A90" s="1">
        <v>13</v>
      </c>
      <c r="B90" s="1" t="s">
        <v>239</v>
      </c>
      <c r="C90" s="1" t="s">
        <v>240</v>
      </c>
      <c r="D90" s="1" t="s">
        <v>241</v>
      </c>
      <c r="E90" s="1" t="s">
        <v>240</v>
      </c>
      <c r="F90" s="50" t="s">
        <v>680</v>
      </c>
      <c r="G90" s="50" t="s">
        <v>655</v>
      </c>
      <c r="H90" s="50" t="s">
        <v>656</v>
      </c>
      <c r="I90" s="50" t="s">
        <v>665</v>
      </c>
      <c r="J90" s="1" t="s">
        <v>183</v>
      </c>
      <c r="K90" s="1" t="s">
        <v>141</v>
      </c>
      <c r="L90" s="1">
        <v>9145000139</v>
      </c>
      <c r="M90" s="1" t="s">
        <v>38</v>
      </c>
      <c r="N90" s="1">
        <v>157</v>
      </c>
      <c r="O90" s="47" t="str">
        <f t="shared" si="5"/>
        <v>&gt; 91 Days</v>
      </c>
      <c r="P90" s="1" t="s">
        <v>184</v>
      </c>
      <c r="Q90" s="1">
        <v>9141001488</v>
      </c>
      <c r="R90" s="1">
        <v>1131000149</v>
      </c>
      <c r="S90" s="1" t="s">
        <v>144</v>
      </c>
      <c r="T90" s="1" t="s">
        <v>145</v>
      </c>
      <c r="U90" s="1" t="s">
        <v>146</v>
      </c>
      <c r="V90" s="1" t="s">
        <v>147</v>
      </c>
      <c r="W90" s="1" t="s">
        <v>162</v>
      </c>
      <c r="X90" s="44">
        <v>5.87</v>
      </c>
      <c r="Y90" s="44">
        <v>0.26</v>
      </c>
      <c r="Z90" s="44">
        <v>0</v>
      </c>
      <c r="AA90" s="44">
        <v>0</v>
      </c>
      <c r="AB90" s="44">
        <v>0</v>
      </c>
      <c r="AC90" s="44">
        <v>1011890</v>
      </c>
      <c r="AD90" s="45">
        <v>202378000</v>
      </c>
      <c r="AE90" s="45"/>
      <c r="AF90" s="46">
        <v>202378000</v>
      </c>
      <c r="AG90" s="55">
        <f t="shared" si="6"/>
        <v>0</v>
      </c>
      <c r="AH90" s="55">
        <f t="shared" si="7"/>
        <v>0</v>
      </c>
      <c r="AI90" s="55">
        <f t="shared" si="8"/>
        <v>0</v>
      </c>
      <c r="AJ90" s="55">
        <f t="shared" si="9"/>
        <v>202378000</v>
      </c>
    </row>
    <row r="91" spans="1:36" ht="15" customHeight="1">
      <c r="A91" s="1">
        <v>13</v>
      </c>
      <c r="B91" s="1" t="s">
        <v>239</v>
      </c>
      <c r="C91" s="1" t="s">
        <v>240</v>
      </c>
      <c r="D91" s="1" t="s">
        <v>241</v>
      </c>
      <c r="E91" s="1" t="s">
        <v>240</v>
      </c>
      <c r="F91" s="50" t="s">
        <v>680</v>
      </c>
      <c r="G91" s="50" t="s">
        <v>655</v>
      </c>
      <c r="H91" s="50" t="s">
        <v>656</v>
      </c>
      <c r="I91" s="50" t="s">
        <v>665</v>
      </c>
      <c r="J91" s="1" t="s">
        <v>183</v>
      </c>
      <c r="K91" s="1" t="s">
        <v>141</v>
      </c>
      <c r="L91" s="1">
        <v>9145000140</v>
      </c>
      <c r="M91" s="1" t="s">
        <v>38</v>
      </c>
      <c r="N91" s="1">
        <v>157</v>
      </c>
      <c r="O91" s="47" t="str">
        <f t="shared" si="5"/>
        <v>&gt; 91 Days</v>
      </c>
      <c r="P91" s="1" t="s">
        <v>184</v>
      </c>
      <c r="Q91" s="1">
        <v>9141001489</v>
      </c>
      <c r="R91" s="1">
        <v>1131000150</v>
      </c>
      <c r="S91" s="1" t="s">
        <v>144</v>
      </c>
      <c r="T91" s="1" t="s">
        <v>145</v>
      </c>
      <c r="U91" s="1" t="s">
        <v>146</v>
      </c>
      <c r="V91" s="1" t="s">
        <v>147</v>
      </c>
      <c r="W91" s="1" t="s">
        <v>162</v>
      </c>
      <c r="X91" s="44">
        <v>5.47</v>
      </c>
      <c r="Y91" s="44">
        <v>0.24</v>
      </c>
      <c r="Z91" s="44">
        <v>0</v>
      </c>
      <c r="AA91" s="44">
        <v>0</v>
      </c>
      <c r="AB91" s="44">
        <v>0</v>
      </c>
      <c r="AC91" s="44">
        <v>856110</v>
      </c>
      <c r="AD91" s="45">
        <v>100417000</v>
      </c>
      <c r="AE91" s="45"/>
      <c r="AF91" s="46">
        <v>100417000</v>
      </c>
      <c r="AG91" s="55">
        <f t="shared" si="6"/>
        <v>0</v>
      </c>
      <c r="AH91" s="55">
        <f t="shared" si="7"/>
        <v>0</v>
      </c>
      <c r="AI91" s="55">
        <f t="shared" si="8"/>
        <v>0</v>
      </c>
      <c r="AJ91" s="55">
        <f t="shared" si="9"/>
        <v>100417000</v>
      </c>
    </row>
    <row r="92" spans="1:36" ht="15" customHeight="1">
      <c r="A92" s="1">
        <v>13</v>
      </c>
      <c r="B92" s="1" t="s">
        <v>239</v>
      </c>
      <c r="C92" s="1" t="s">
        <v>240</v>
      </c>
      <c r="D92" s="1" t="s">
        <v>241</v>
      </c>
      <c r="E92" s="1" t="s">
        <v>240</v>
      </c>
      <c r="F92" s="51" t="s">
        <v>679</v>
      </c>
      <c r="G92" s="51" t="s">
        <v>655</v>
      </c>
      <c r="H92" s="50" t="s">
        <v>656</v>
      </c>
      <c r="I92" s="50" t="s">
        <v>665</v>
      </c>
      <c r="J92" s="1" t="s">
        <v>183</v>
      </c>
      <c r="K92" s="1" t="s">
        <v>141</v>
      </c>
      <c r="L92" s="1">
        <v>9145000162</v>
      </c>
      <c r="M92" s="1" t="s">
        <v>39</v>
      </c>
      <c r="N92" s="1">
        <v>65</v>
      </c>
      <c r="O92" s="47" t="str">
        <f t="shared" si="5"/>
        <v>61-90</v>
      </c>
      <c r="P92" s="1" t="s">
        <v>184</v>
      </c>
      <c r="Q92" s="1">
        <v>9141001658</v>
      </c>
      <c r="R92" s="1">
        <v>1131000191</v>
      </c>
      <c r="S92" s="1" t="s">
        <v>144</v>
      </c>
      <c r="T92" s="1" t="s">
        <v>145</v>
      </c>
      <c r="U92" s="1" t="s">
        <v>146</v>
      </c>
      <c r="V92" s="1" t="s">
        <v>147</v>
      </c>
      <c r="W92" s="1" t="s">
        <v>162</v>
      </c>
      <c r="X92" s="44">
        <v>5.63</v>
      </c>
      <c r="Y92" s="44">
        <v>0.27</v>
      </c>
      <c r="Z92" s="44">
        <v>0</v>
      </c>
      <c r="AA92" s="44">
        <v>0</v>
      </c>
      <c r="AB92" s="44">
        <v>0</v>
      </c>
      <c r="AC92" s="44">
        <v>1007140</v>
      </c>
      <c r="AD92" s="45">
        <v>201428000</v>
      </c>
      <c r="AE92" s="45">
        <v>22157080</v>
      </c>
      <c r="AF92" s="46">
        <v>223585080</v>
      </c>
      <c r="AG92" s="55">
        <f t="shared" si="6"/>
        <v>0</v>
      </c>
      <c r="AH92" s="55">
        <f t="shared" si="7"/>
        <v>0</v>
      </c>
      <c r="AI92" s="55">
        <f t="shared" si="8"/>
        <v>223585080</v>
      </c>
      <c r="AJ92" s="55">
        <f t="shared" si="9"/>
        <v>0</v>
      </c>
    </row>
    <row r="93" spans="1:36" ht="15" customHeight="1">
      <c r="A93" s="1">
        <v>13</v>
      </c>
      <c r="B93" s="1" t="s">
        <v>239</v>
      </c>
      <c r="C93" s="1" t="s">
        <v>240</v>
      </c>
      <c r="D93" s="1" t="s">
        <v>241</v>
      </c>
      <c r="E93" s="1" t="s">
        <v>240</v>
      </c>
      <c r="F93" s="51" t="s">
        <v>679</v>
      </c>
      <c r="G93" s="51" t="s">
        <v>655</v>
      </c>
      <c r="H93" s="50" t="s">
        <v>656</v>
      </c>
      <c r="I93" s="50" t="s">
        <v>665</v>
      </c>
      <c r="J93" s="1" t="s">
        <v>183</v>
      </c>
      <c r="K93" s="1" t="s">
        <v>141</v>
      </c>
      <c r="L93" s="1">
        <v>9145000163</v>
      </c>
      <c r="M93" s="1" t="s">
        <v>39</v>
      </c>
      <c r="N93" s="1">
        <v>65</v>
      </c>
      <c r="O93" s="47" t="str">
        <f t="shared" si="5"/>
        <v>61-90</v>
      </c>
      <c r="P93" s="1" t="s">
        <v>184</v>
      </c>
      <c r="Q93" s="1">
        <v>9141001666</v>
      </c>
      <c r="R93" s="1">
        <v>1131000194</v>
      </c>
      <c r="S93" s="1" t="s">
        <v>144</v>
      </c>
      <c r="T93" s="1" t="s">
        <v>145</v>
      </c>
      <c r="U93" s="1" t="s">
        <v>146</v>
      </c>
      <c r="V93" s="1" t="s">
        <v>147</v>
      </c>
      <c r="W93" s="1" t="s">
        <v>162</v>
      </c>
      <c r="X93" s="44">
        <v>5.63</v>
      </c>
      <c r="Y93" s="44">
        <v>0.28000000000000003</v>
      </c>
      <c r="Z93" s="44">
        <v>0</v>
      </c>
      <c r="AA93" s="44">
        <v>0</v>
      </c>
      <c r="AB93" s="44">
        <v>0</v>
      </c>
      <c r="AC93" s="44">
        <v>1000420</v>
      </c>
      <c r="AD93" s="45">
        <v>200084000</v>
      </c>
      <c r="AE93" s="45">
        <v>22009240</v>
      </c>
      <c r="AF93" s="46">
        <v>222093240</v>
      </c>
      <c r="AG93" s="55">
        <f t="shared" si="6"/>
        <v>0</v>
      </c>
      <c r="AH93" s="55">
        <f t="shared" si="7"/>
        <v>0</v>
      </c>
      <c r="AI93" s="55">
        <f t="shared" si="8"/>
        <v>222093240</v>
      </c>
      <c r="AJ93" s="55">
        <f t="shared" si="9"/>
        <v>0</v>
      </c>
    </row>
    <row r="94" spans="1:36" ht="15" customHeight="1">
      <c r="A94" s="1">
        <v>13</v>
      </c>
      <c r="B94" s="1" t="s">
        <v>239</v>
      </c>
      <c r="C94" s="1" t="s">
        <v>240</v>
      </c>
      <c r="D94" s="1" t="s">
        <v>241</v>
      </c>
      <c r="E94" s="1" t="s">
        <v>240</v>
      </c>
      <c r="F94" s="51" t="s">
        <v>679</v>
      </c>
      <c r="G94" s="51" t="s">
        <v>655</v>
      </c>
      <c r="H94" s="50" t="s">
        <v>656</v>
      </c>
      <c r="I94" s="50" t="s">
        <v>665</v>
      </c>
      <c r="J94" s="1" t="s">
        <v>183</v>
      </c>
      <c r="K94" s="1" t="s">
        <v>141</v>
      </c>
      <c r="L94" s="1">
        <v>9145000164</v>
      </c>
      <c r="M94" s="1" t="s">
        <v>39</v>
      </c>
      <c r="N94" s="1">
        <v>65</v>
      </c>
      <c r="O94" s="47" t="str">
        <f t="shared" si="5"/>
        <v>61-90</v>
      </c>
      <c r="P94" s="1" t="s">
        <v>184</v>
      </c>
      <c r="Q94" s="1">
        <v>9141001701</v>
      </c>
      <c r="R94" s="1">
        <v>1131000195</v>
      </c>
      <c r="S94" s="1" t="s">
        <v>144</v>
      </c>
      <c r="T94" s="1" t="s">
        <v>145</v>
      </c>
      <c r="U94" s="1" t="s">
        <v>146</v>
      </c>
      <c r="V94" s="1" t="s">
        <v>147</v>
      </c>
      <c r="W94" s="1" t="s">
        <v>162</v>
      </c>
      <c r="X94" s="44">
        <v>5.64</v>
      </c>
      <c r="Y94" s="44">
        <v>0.28000000000000003</v>
      </c>
      <c r="Z94" s="44">
        <v>0</v>
      </c>
      <c r="AA94" s="44">
        <v>0</v>
      </c>
      <c r="AB94" s="44">
        <v>0</v>
      </c>
      <c r="AC94" s="44">
        <v>1009790</v>
      </c>
      <c r="AD94" s="45">
        <v>201958000</v>
      </c>
      <c r="AE94" s="45">
        <v>22215380</v>
      </c>
      <c r="AF94" s="46">
        <v>224173380</v>
      </c>
      <c r="AG94" s="55">
        <f t="shared" si="6"/>
        <v>0</v>
      </c>
      <c r="AH94" s="55">
        <f t="shared" si="7"/>
        <v>0</v>
      </c>
      <c r="AI94" s="55">
        <f t="shared" si="8"/>
        <v>224173380</v>
      </c>
      <c r="AJ94" s="55">
        <f t="shared" si="9"/>
        <v>0</v>
      </c>
    </row>
    <row r="95" spans="1:36" ht="15" customHeight="1">
      <c r="A95" s="1">
        <v>13</v>
      </c>
      <c r="B95" s="1" t="s">
        <v>239</v>
      </c>
      <c r="C95" s="1" t="s">
        <v>240</v>
      </c>
      <c r="D95" s="1" t="s">
        <v>241</v>
      </c>
      <c r="E95" s="1" t="s">
        <v>240</v>
      </c>
      <c r="F95" s="51" t="s">
        <v>679</v>
      </c>
      <c r="G95" s="51" t="s">
        <v>655</v>
      </c>
      <c r="H95" s="50" t="s">
        <v>656</v>
      </c>
      <c r="I95" s="50" t="s">
        <v>665</v>
      </c>
      <c r="J95" s="1" t="s">
        <v>183</v>
      </c>
      <c r="K95" s="1" t="s">
        <v>141</v>
      </c>
      <c r="L95" s="1">
        <v>9145000165</v>
      </c>
      <c r="M95" s="1" t="s">
        <v>39</v>
      </c>
      <c r="N95" s="1">
        <v>65</v>
      </c>
      <c r="O95" s="47" t="str">
        <f t="shared" si="5"/>
        <v>61-90</v>
      </c>
      <c r="P95" s="1" t="s">
        <v>184</v>
      </c>
      <c r="Q95" s="1">
        <v>9141001702</v>
      </c>
      <c r="R95" s="1">
        <v>1131000196</v>
      </c>
      <c r="S95" s="1" t="s">
        <v>144</v>
      </c>
      <c r="T95" s="1" t="s">
        <v>145</v>
      </c>
      <c r="U95" s="1" t="s">
        <v>146</v>
      </c>
      <c r="V95" s="1" t="s">
        <v>147</v>
      </c>
      <c r="W95" s="1" t="s">
        <v>162</v>
      </c>
      <c r="X95" s="44">
        <v>5.87</v>
      </c>
      <c r="Y95" s="44">
        <v>0.28000000000000003</v>
      </c>
      <c r="Z95" s="44">
        <v>0</v>
      </c>
      <c r="AA95" s="44">
        <v>0</v>
      </c>
      <c r="AB95" s="44">
        <v>0</v>
      </c>
      <c r="AC95" s="44">
        <v>1018770</v>
      </c>
      <c r="AD95" s="45">
        <v>203754000</v>
      </c>
      <c r="AE95" s="45">
        <v>22412940</v>
      </c>
      <c r="AF95" s="46">
        <v>226166940</v>
      </c>
      <c r="AG95" s="55">
        <f t="shared" si="6"/>
        <v>0</v>
      </c>
      <c r="AH95" s="55">
        <f t="shared" si="7"/>
        <v>0</v>
      </c>
      <c r="AI95" s="55">
        <f t="shared" si="8"/>
        <v>226166940</v>
      </c>
      <c r="AJ95" s="55">
        <f t="shared" si="9"/>
        <v>0</v>
      </c>
    </row>
    <row r="96" spans="1:36" ht="15" customHeight="1">
      <c r="A96" s="1">
        <v>13</v>
      </c>
      <c r="B96" s="1" t="s">
        <v>239</v>
      </c>
      <c r="C96" s="1" t="s">
        <v>240</v>
      </c>
      <c r="D96" s="1" t="s">
        <v>241</v>
      </c>
      <c r="E96" s="1" t="s">
        <v>240</v>
      </c>
      <c r="F96" s="51" t="s">
        <v>679</v>
      </c>
      <c r="G96" s="51" t="s">
        <v>655</v>
      </c>
      <c r="H96" s="50" t="s">
        <v>656</v>
      </c>
      <c r="I96" s="50" t="s">
        <v>665</v>
      </c>
      <c r="J96" s="1" t="s">
        <v>183</v>
      </c>
      <c r="K96" s="1" t="s">
        <v>141</v>
      </c>
      <c r="L96" s="1">
        <v>9145000166</v>
      </c>
      <c r="M96" s="1" t="s">
        <v>39</v>
      </c>
      <c r="N96" s="1">
        <v>65</v>
      </c>
      <c r="O96" s="47" t="str">
        <f t="shared" si="5"/>
        <v>61-90</v>
      </c>
      <c r="P96" s="1" t="s">
        <v>184</v>
      </c>
      <c r="Q96" s="1">
        <v>9141001710</v>
      </c>
      <c r="R96" s="1">
        <v>1131000197</v>
      </c>
      <c r="S96" s="1" t="s">
        <v>144</v>
      </c>
      <c r="T96" s="1" t="s">
        <v>145</v>
      </c>
      <c r="U96" s="1" t="s">
        <v>146</v>
      </c>
      <c r="V96" s="1" t="s">
        <v>147</v>
      </c>
      <c r="W96" s="1" t="s">
        <v>162</v>
      </c>
      <c r="X96" s="44">
        <v>5.81</v>
      </c>
      <c r="Y96" s="44">
        <v>0.28000000000000003</v>
      </c>
      <c r="Z96" s="44">
        <v>0</v>
      </c>
      <c r="AA96" s="44">
        <v>0</v>
      </c>
      <c r="AB96" s="44">
        <v>0</v>
      </c>
      <c r="AC96" s="44">
        <v>1003230</v>
      </c>
      <c r="AD96" s="45">
        <v>200646000</v>
      </c>
      <c r="AE96" s="45">
        <v>22071060</v>
      </c>
      <c r="AF96" s="46">
        <v>222717060</v>
      </c>
      <c r="AG96" s="55">
        <f t="shared" si="6"/>
        <v>0</v>
      </c>
      <c r="AH96" s="55">
        <f t="shared" si="7"/>
        <v>0</v>
      </c>
      <c r="AI96" s="55">
        <f t="shared" si="8"/>
        <v>222717060</v>
      </c>
      <c r="AJ96" s="55">
        <f t="shared" si="9"/>
        <v>0</v>
      </c>
    </row>
    <row r="97" spans="1:36" ht="15" customHeight="1">
      <c r="A97" s="1">
        <v>13</v>
      </c>
      <c r="B97" s="1" t="s">
        <v>239</v>
      </c>
      <c r="C97" s="1" t="s">
        <v>240</v>
      </c>
      <c r="D97" s="1" t="s">
        <v>241</v>
      </c>
      <c r="E97" s="1" t="s">
        <v>240</v>
      </c>
      <c r="F97" s="51" t="s">
        <v>679</v>
      </c>
      <c r="G97" s="51" t="s">
        <v>655</v>
      </c>
      <c r="H97" s="50" t="s">
        <v>656</v>
      </c>
      <c r="I97" s="50" t="s">
        <v>665</v>
      </c>
      <c r="J97" s="1" t="s">
        <v>183</v>
      </c>
      <c r="K97" s="1" t="s">
        <v>141</v>
      </c>
      <c r="L97" s="1">
        <v>9145000167</v>
      </c>
      <c r="M97" s="1" t="s">
        <v>39</v>
      </c>
      <c r="N97" s="1">
        <v>65</v>
      </c>
      <c r="O97" s="47" t="str">
        <f t="shared" si="5"/>
        <v>61-90</v>
      </c>
      <c r="P97" s="1" t="s">
        <v>184</v>
      </c>
      <c r="Q97" s="1">
        <v>9141001711</v>
      </c>
      <c r="R97" s="1">
        <v>1131000198</v>
      </c>
      <c r="S97" s="1" t="s">
        <v>144</v>
      </c>
      <c r="T97" s="1" t="s">
        <v>145</v>
      </c>
      <c r="U97" s="1" t="s">
        <v>146</v>
      </c>
      <c r="V97" s="1" t="s">
        <v>147</v>
      </c>
      <c r="W97" s="1" t="s">
        <v>162</v>
      </c>
      <c r="X97" s="44">
        <v>5.75</v>
      </c>
      <c r="Y97" s="44">
        <v>0.28000000000000003</v>
      </c>
      <c r="Z97" s="44">
        <v>0</v>
      </c>
      <c r="AA97" s="44">
        <v>0</v>
      </c>
      <c r="AB97" s="44">
        <v>0</v>
      </c>
      <c r="AC97" s="44">
        <v>1006860</v>
      </c>
      <c r="AD97" s="45">
        <v>201372000</v>
      </c>
      <c r="AE97" s="45">
        <v>22150920</v>
      </c>
      <c r="AF97" s="46">
        <v>223522920</v>
      </c>
      <c r="AG97" s="55">
        <f t="shared" si="6"/>
        <v>0</v>
      </c>
      <c r="AH97" s="55">
        <f t="shared" si="7"/>
        <v>0</v>
      </c>
      <c r="AI97" s="55">
        <f t="shared" si="8"/>
        <v>223522920</v>
      </c>
      <c r="AJ97" s="55">
        <f t="shared" si="9"/>
        <v>0</v>
      </c>
    </row>
    <row r="98" spans="1:36" ht="15" customHeight="1">
      <c r="A98" s="1">
        <v>13</v>
      </c>
      <c r="B98" s="1" t="s">
        <v>239</v>
      </c>
      <c r="C98" s="1" t="s">
        <v>240</v>
      </c>
      <c r="D98" s="1" t="s">
        <v>241</v>
      </c>
      <c r="E98" s="1" t="s">
        <v>240</v>
      </c>
      <c r="F98" s="51" t="s">
        <v>679</v>
      </c>
      <c r="G98" s="51" t="s">
        <v>655</v>
      </c>
      <c r="H98" s="50" t="s">
        <v>656</v>
      </c>
      <c r="I98" s="50" t="s">
        <v>665</v>
      </c>
      <c r="J98" s="1" t="s">
        <v>183</v>
      </c>
      <c r="K98" s="1" t="s">
        <v>141</v>
      </c>
      <c r="L98" s="1">
        <v>9145000168</v>
      </c>
      <c r="M98" s="1" t="s">
        <v>39</v>
      </c>
      <c r="N98" s="1">
        <v>65</v>
      </c>
      <c r="O98" s="47" t="str">
        <f t="shared" si="5"/>
        <v>61-90</v>
      </c>
      <c r="P98" s="1" t="s">
        <v>184</v>
      </c>
      <c r="Q98" s="1">
        <v>9141001721</v>
      </c>
      <c r="R98" s="1">
        <v>1131000201</v>
      </c>
      <c r="S98" s="1" t="s">
        <v>144</v>
      </c>
      <c r="T98" s="1" t="s">
        <v>145</v>
      </c>
      <c r="U98" s="1" t="s">
        <v>146</v>
      </c>
      <c r="V98" s="1" t="s">
        <v>147</v>
      </c>
      <c r="W98" s="1" t="s">
        <v>162</v>
      </c>
      <c r="X98" s="44">
        <v>6.02</v>
      </c>
      <c r="Y98" s="44">
        <v>0.28000000000000003</v>
      </c>
      <c r="Z98" s="44">
        <v>0</v>
      </c>
      <c r="AA98" s="44">
        <v>0</v>
      </c>
      <c r="AB98" s="44">
        <v>0</v>
      </c>
      <c r="AC98" s="44">
        <v>997610</v>
      </c>
      <c r="AD98" s="45">
        <v>199522000</v>
      </c>
      <c r="AE98" s="45">
        <v>21947420</v>
      </c>
      <c r="AF98" s="46">
        <v>221469420</v>
      </c>
      <c r="AG98" s="55">
        <f t="shared" si="6"/>
        <v>0</v>
      </c>
      <c r="AH98" s="55">
        <f t="shared" si="7"/>
        <v>0</v>
      </c>
      <c r="AI98" s="55">
        <f t="shared" si="8"/>
        <v>221469420</v>
      </c>
      <c r="AJ98" s="55">
        <f t="shared" si="9"/>
        <v>0</v>
      </c>
    </row>
    <row r="99" spans="1:36" ht="15" customHeight="1">
      <c r="A99" s="1">
        <v>13</v>
      </c>
      <c r="B99" s="1" t="s">
        <v>239</v>
      </c>
      <c r="C99" s="1" t="s">
        <v>240</v>
      </c>
      <c r="D99" s="1" t="s">
        <v>241</v>
      </c>
      <c r="E99" s="1" t="s">
        <v>240</v>
      </c>
      <c r="F99" s="51" t="s">
        <v>679</v>
      </c>
      <c r="G99" s="51" t="s">
        <v>655</v>
      </c>
      <c r="H99" s="50" t="s">
        <v>656</v>
      </c>
      <c r="I99" s="50" t="s">
        <v>665</v>
      </c>
      <c r="J99" s="1" t="s">
        <v>183</v>
      </c>
      <c r="K99" s="1" t="s">
        <v>141</v>
      </c>
      <c r="L99" s="1">
        <v>9145000169</v>
      </c>
      <c r="M99" s="1" t="s">
        <v>39</v>
      </c>
      <c r="N99" s="1">
        <v>65</v>
      </c>
      <c r="O99" s="47" t="str">
        <f t="shared" si="5"/>
        <v>61-90</v>
      </c>
      <c r="P99" s="1" t="s">
        <v>184</v>
      </c>
      <c r="Q99" s="1">
        <v>9141001724</v>
      </c>
      <c r="R99" s="1">
        <v>1131000202</v>
      </c>
      <c r="S99" s="1" t="s">
        <v>144</v>
      </c>
      <c r="T99" s="1" t="s">
        <v>145</v>
      </c>
      <c r="U99" s="1" t="s">
        <v>146</v>
      </c>
      <c r="V99" s="1" t="s">
        <v>147</v>
      </c>
      <c r="W99" s="1" t="s">
        <v>162</v>
      </c>
      <c r="X99" s="44">
        <v>5.78</v>
      </c>
      <c r="Y99" s="44">
        <v>0.26</v>
      </c>
      <c r="Z99" s="44">
        <v>0</v>
      </c>
      <c r="AA99" s="44">
        <v>0</v>
      </c>
      <c r="AB99" s="44">
        <v>0</v>
      </c>
      <c r="AC99" s="44">
        <v>1018510</v>
      </c>
      <c r="AD99" s="45">
        <v>203702000</v>
      </c>
      <c r="AE99" s="45">
        <v>22407220</v>
      </c>
      <c r="AF99" s="46">
        <v>226109220</v>
      </c>
      <c r="AG99" s="55">
        <f t="shared" si="6"/>
        <v>0</v>
      </c>
      <c r="AH99" s="55">
        <f t="shared" si="7"/>
        <v>0</v>
      </c>
      <c r="AI99" s="55">
        <f t="shared" si="8"/>
        <v>226109220</v>
      </c>
      <c r="AJ99" s="55">
        <f t="shared" si="9"/>
        <v>0</v>
      </c>
    </row>
    <row r="100" spans="1:36" ht="15" customHeight="1">
      <c r="A100" s="1">
        <v>13</v>
      </c>
      <c r="B100" s="1" t="s">
        <v>239</v>
      </c>
      <c r="C100" s="1" t="s">
        <v>240</v>
      </c>
      <c r="D100" s="1" t="s">
        <v>241</v>
      </c>
      <c r="E100" s="1" t="s">
        <v>240</v>
      </c>
      <c r="F100" s="50" t="s">
        <v>678</v>
      </c>
      <c r="G100" s="50" t="s">
        <v>655</v>
      </c>
      <c r="H100" s="50" t="s">
        <v>656</v>
      </c>
      <c r="I100" s="50" t="s">
        <v>665</v>
      </c>
      <c r="J100" s="1" t="s">
        <v>183</v>
      </c>
      <c r="K100" s="1" t="s">
        <v>141</v>
      </c>
      <c r="L100" s="1">
        <v>9145000179</v>
      </c>
      <c r="M100" s="1" t="s">
        <v>40</v>
      </c>
      <c r="N100" s="1">
        <v>37</v>
      </c>
      <c r="O100" s="47" t="str">
        <f t="shared" si="5"/>
        <v>31-60</v>
      </c>
      <c r="P100" s="1" t="s">
        <v>184</v>
      </c>
      <c r="Q100" s="1">
        <v>9141001740</v>
      </c>
      <c r="R100" s="1">
        <v>1131000204</v>
      </c>
      <c r="S100" s="1" t="s">
        <v>144</v>
      </c>
      <c r="T100" s="1" t="s">
        <v>145</v>
      </c>
      <c r="U100" s="1" t="s">
        <v>146</v>
      </c>
      <c r="V100" s="1" t="s">
        <v>147</v>
      </c>
      <c r="W100" s="1" t="s">
        <v>162</v>
      </c>
      <c r="X100" s="44">
        <v>6.57</v>
      </c>
      <c r="Y100" s="44">
        <v>0.27</v>
      </c>
      <c r="Z100" s="44">
        <v>0</v>
      </c>
      <c r="AA100" s="44">
        <v>0</v>
      </c>
      <c r="AB100" s="44">
        <v>0</v>
      </c>
      <c r="AC100" s="44">
        <v>830030</v>
      </c>
      <c r="AD100" s="45">
        <v>971007000</v>
      </c>
      <c r="AE100" s="45">
        <v>106810770</v>
      </c>
      <c r="AF100" s="46">
        <v>1077817770</v>
      </c>
      <c r="AG100" s="55">
        <f t="shared" si="6"/>
        <v>0</v>
      </c>
      <c r="AH100" s="55">
        <f t="shared" si="7"/>
        <v>1077817770</v>
      </c>
      <c r="AI100" s="55">
        <f t="shared" si="8"/>
        <v>0</v>
      </c>
      <c r="AJ100" s="55">
        <f t="shared" si="9"/>
        <v>0</v>
      </c>
    </row>
    <row r="101" spans="1:36" ht="15" customHeight="1">
      <c r="A101" s="1">
        <v>13</v>
      </c>
      <c r="B101" s="1" t="s">
        <v>239</v>
      </c>
      <c r="C101" s="1" t="s">
        <v>240</v>
      </c>
      <c r="D101" s="1" t="s">
        <v>241</v>
      </c>
      <c r="E101" s="1" t="s">
        <v>240</v>
      </c>
      <c r="F101" s="50" t="s">
        <v>678</v>
      </c>
      <c r="G101" s="50" t="s">
        <v>655</v>
      </c>
      <c r="H101" s="50" t="s">
        <v>656</v>
      </c>
      <c r="I101" s="50" t="s">
        <v>665</v>
      </c>
      <c r="J101" s="1" t="s">
        <v>183</v>
      </c>
      <c r="K101" s="1" t="s">
        <v>141</v>
      </c>
      <c r="L101" s="1">
        <v>9145000180</v>
      </c>
      <c r="M101" s="1" t="s">
        <v>40</v>
      </c>
      <c r="N101" s="1">
        <v>37</v>
      </c>
      <c r="O101" s="47" t="str">
        <f t="shared" si="5"/>
        <v>31-60</v>
      </c>
      <c r="P101" s="1" t="s">
        <v>184</v>
      </c>
      <c r="Q101" s="1">
        <v>9141001739</v>
      </c>
      <c r="R101" s="1">
        <v>1131000205</v>
      </c>
      <c r="S101" s="1" t="s">
        <v>144</v>
      </c>
      <c r="T101" s="1" t="s">
        <v>145</v>
      </c>
      <c r="U101" s="1" t="s">
        <v>146</v>
      </c>
      <c r="V101" s="1" t="s">
        <v>147</v>
      </c>
      <c r="W101" s="1" t="s">
        <v>162</v>
      </c>
      <c r="X101" s="44">
        <v>6.5</v>
      </c>
      <c r="Y101" s="44">
        <v>0.27</v>
      </c>
      <c r="Z101" s="44">
        <v>0</v>
      </c>
      <c r="AA101" s="44">
        <v>0</v>
      </c>
      <c r="AB101" s="44">
        <v>0</v>
      </c>
      <c r="AC101" s="44">
        <v>913340</v>
      </c>
      <c r="AD101" s="45">
        <v>1001583000</v>
      </c>
      <c r="AE101" s="45">
        <v>110174130</v>
      </c>
      <c r="AF101" s="46">
        <v>1111757130</v>
      </c>
      <c r="AG101" s="55">
        <f t="shared" si="6"/>
        <v>0</v>
      </c>
      <c r="AH101" s="55">
        <f t="shared" si="7"/>
        <v>1111757130</v>
      </c>
      <c r="AI101" s="55">
        <f t="shared" si="8"/>
        <v>0</v>
      </c>
      <c r="AJ101" s="55">
        <f t="shared" si="9"/>
        <v>0</v>
      </c>
    </row>
    <row r="102" spans="1:36" ht="15" customHeight="1">
      <c r="A102" s="1">
        <v>13</v>
      </c>
      <c r="B102" s="1" t="s">
        <v>239</v>
      </c>
      <c r="C102" s="1" t="s">
        <v>240</v>
      </c>
      <c r="D102" s="1" t="s">
        <v>241</v>
      </c>
      <c r="E102" s="1" t="s">
        <v>240</v>
      </c>
      <c r="F102" s="50" t="s">
        <v>678</v>
      </c>
      <c r="G102" s="50" t="s">
        <v>655</v>
      </c>
      <c r="H102" s="50" t="s">
        <v>656</v>
      </c>
      <c r="I102" s="50" t="s">
        <v>665</v>
      </c>
      <c r="J102" s="1" t="s">
        <v>183</v>
      </c>
      <c r="K102" s="1" t="s">
        <v>141</v>
      </c>
      <c r="L102" s="1">
        <v>9145000181</v>
      </c>
      <c r="M102" s="1" t="s">
        <v>40</v>
      </c>
      <c r="N102" s="1">
        <v>37</v>
      </c>
      <c r="O102" s="47" t="str">
        <f t="shared" si="5"/>
        <v>31-60</v>
      </c>
      <c r="P102" s="1" t="s">
        <v>184</v>
      </c>
      <c r="Q102" s="1">
        <v>9141001784</v>
      </c>
      <c r="R102" s="1">
        <v>1131000208</v>
      </c>
      <c r="S102" s="1" t="s">
        <v>144</v>
      </c>
      <c r="T102" s="1" t="s">
        <v>145</v>
      </c>
      <c r="U102" s="1" t="s">
        <v>146</v>
      </c>
      <c r="V102" s="1" t="s">
        <v>147</v>
      </c>
      <c r="W102" s="1" t="s">
        <v>162</v>
      </c>
      <c r="X102" s="44">
        <v>6.5</v>
      </c>
      <c r="Y102" s="44">
        <v>0.28000000000000003</v>
      </c>
      <c r="Z102" s="44">
        <v>0</v>
      </c>
      <c r="AA102" s="44">
        <v>0</v>
      </c>
      <c r="AB102" s="44">
        <v>0</v>
      </c>
      <c r="AC102" s="44">
        <v>1002880</v>
      </c>
      <c r="AD102" s="45">
        <v>1188012000</v>
      </c>
      <c r="AE102" s="45">
        <v>130681320</v>
      </c>
      <c r="AF102" s="46">
        <v>1318693320</v>
      </c>
      <c r="AG102" s="55">
        <f t="shared" si="6"/>
        <v>0</v>
      </c>
      <c r="AH102" s="55">
        <f t="shared" si="7"/>
        <v>1318693320</v>
      </c>
      <c r="AI102" s="55">
        <f t="shared" si="8"/>
        <v>0</v>
      </c>
      <c r="AJ102" s="55">
        <f t="shared" si="9"/>
        <v>0</v>
      </c>
    </row>
    <row r="103" spans="1:36" ht="15" customHeight="1">
      <c r="A103" s="1">
        <v>13</v>
      </c>
      <c r="B103" s="1" t="s">
        <v>239</v>
      </c>
      <c r="C103" s="1" t="s">
        <v>240</v>
      </c>
      <c r="D103" s="1" t="s">
        <v>241</v>
      </c>
      <c r="E103" s="1" t="s">
        <v>240</v>
      </c>
      <c r="F103" s="50" t="s">
        <v>678</v>
      </c>
      <c r="G103" s="50" t="s">
        <v>655</v>
      </c>
      <c r="H103" s="50" t="s">
        <v>656</v>
      </c>
      <c r="I103" s="50" t="s">
        <v>665</v>
      </c>
      <c r="J103" s="1" t="s">
        <v>183</v>
      </c>
      <c r="K103" s="1" t="s">
        <v>141</v>
      </c>
      <c r="L103" s="1">
        <v>9145000182</v>
      </c>
      <c r="M103" s="1" t="s">
        <v>41</v>
      </c>
      <c r="N103" s="1">
        <v>36</v>
      </c>
      <c r="O103" s="47" t="str">
        <f t="shared" si="5"/>
        <v>31-60</v>
      </c>
      <c r="P103" s="1" t="s">
        <v>184</v>
      </c>
      <c r="Q103" s="1">
        <v>9141001783</v>
      </c>
      <c r="R103" s="1">
        <v>1131000207</v>
      </c>
      <c r="S103" s="1" t="s">
        <v>144</v>
      </c>
      <c r="T103" s="1" t="s">
        <v>145</v>
      </c>
      <c r="U103" s="1" t="s">
        <v>146</v>
      </c>
      <c r="V103" s="1" t="s">
        <v>147</v>
      </c>
      <c r="W103" s="1" t="s">
        <v>162</v>
      </c>
      <c r="X103" s="44">
        <v>6.67</v>
      </c>
      <c r="Y103" s="44">
        <v>0.28000000000000003</v>
      </c>
      <c r="Z103" s="44">
        <v>0</v>
      </c>
      <c r="AA103" s="44">
        <v>0</v>
      </c>
      <c r="AB103" s="44">
        <v>0</v>
      </c>
      <c r="AC103" s="44">
        <v>862360</v>
      </c>
      <c r="AD103" s="45">
        <v>1163690000</v>
      </c>
      <c r="AE103" s="45">
        <v>128005900</v>
      </c>
      <c r="AF103" s="46">
        <v>1291695900</v>
      </c>
      <c r="AG103" s="55">
        <f t="shared" si="6"/>
        <v>0</v>
      </c>
      <c r="AH103" s="55">
        <f t="shared" si="7"/>
        <v>1291695900</v>
      </c>
      <c r="AI103" s="55">
        <f t="shared" si="8"/>
        <v>0</v>
      </c>
      <c r="AJ103" s="55">
        <f t="shared" si="9"/>
        <v>0</v>
      </c>
    </row>
    <row r="104" spans="1:36" ht="15" customHeight="1">
      <c r="A104" s="1">
        <v>13</v>
      </c>
      <c r="B104" s="1" t="s">
        <v>239</v>
      </c>
      <c r="C104" s="1" t="s">
        <v>240</v>
      </c>
      <c r="D104" s="1" t="s">
        <v>241</v>
      </c>
      <c r="E104" s="1" t="s">
        <v>240</v>
      </c>
      <c r="F104" s="50" t="s">
        <v>678</v>
      </c>
      <c r="G104" s="50" t="s">
        <v>655</v>
      </c>
      <c r="H104" s="50" t="s">
        <v>656</v>
      </c>
      <c r="I104" s="50" t="s">
        <v>665</v>
      </c>
      <c r="J104" s="1" t="s">
        <v>183</v>
      </c>
      <c r="K104" s="1" t="s">
        <v>141</v>
      </c>
      <c r="L104" s="1">
        <v>9145000185</v>
      </c>
      <c r="M104" s="1" t="s">
        <v>10</v>
      </c>
      <c r="N104" s="1">
        <v>31</v>
      </c>
      <c r="O104" s="47" t="str">
        <f t="shared" si="5"/>
        <v>31-60</v>
      </c>
      <c r="P104" s="1" t="s">
        <v>184</v>
      </c>
      <c r="Q104" s="1">
        <v>9141001858</v>
      </c>
      <c r="R104" s="1">
        <v>1131000215</v>
      </c>
      <c r="S104" s="1" t="s">
        <v>144</v>
      </c>
      <c r="T104" s="1" t="s">
        <v>145</v>
      </c>
      <c r="U104" s="1" t="s">
        <v>146</v>
      </c>
      <c r="V104" s="1" t="s">
        <v>147</v>
      </c>
      <c r="W104" s="1" t="s">
        <v>162</v>
      </c>
      <c r="X104" s="44">
        <v>6.49</v>
      </c>
      <c r="Y104" s="44">
        <v>0.27</v>
      </c>
      <c r="Z104" s="44">
        <v>0</v>
      </c>
      <c r="AA104" s="44">
        <v>0</v>
      </c>
      <c r="AB104" s="44">
        <v>0</v>
      </c>
      <c r="AC104" s="44">
        <v>1000540</v>
      </c>
      <c r="AD104" s="45">
        <v>657542000</v>
      </c>
      <c r="AE104" s="45">
        <v>72329620</v>
      </c>
      <c r="AF104" s="46">
        <v>729871620</v>
      </c>
      <c r="AG104" s="55">
        <f t="shared" si="6"/>
        <v>0</v>
      </c>
      <c r="AH104" s="55">
        <f t="shared" si="7"/>
        <v>729871620</v>
      </c>
      <c r="AI104" s="55">
        <f t="shared" si="8"/>
        <v>0</v>
      </c>
      <c r="AJ104" s="55">
        <f t="shared" si="9"/>
        <v>0</v>
      </c>
    </row>
    <row r="105" spans="1:36" ht="15" customHeight="1">
      <c r="A105" s="1">
        <v>13</v>
      </c>
      <c r="B105" s="1" t="s">
        <v>239</v>
      </c>
      <c r="C105" s="1" t="s">
        <v>240</v>
      </c>
      <c r="D105" s="1" t="s">
        <v>241</v>
      </c>
      <c r="E105" s="1" t="s">
        <v>240</v>
      </c>
      <c r="F105" s="50" t="s">
        <v>678</v>
      </c>
      <c r="G105" s="50" t="s">
        <v>655</v>
      </c>
      <c r="H105" s="50" t="s">
        <v>656</v>
      </c>
      <c r="I105" s="50" t="s">
        <v>665</v>
      </c>
      <c r="J105" s="1" t="s">
        <v>183</v>
      </c>
      <c r="K105" s="1" t="s">
        <v>141</v>
      </c>
      <c r="L105" s="1">
        <v>9145000189</v>
      </c>
      <c r="M105" s="1" t="s">
        <v>42</v>
      </c>
      <c r="N105" s="1">
        <v>29</v>
      </c>
      <c r="O105" s="47" t="str">
        <f t="shared" si="5"/>
        <v>0-30</v>
      </c>
      <c r="P105" s="1" t="s">
        <v>184</v>
      </c>
      <c r="Q105" s="1">
        <v>9141001859</v>
      </c>
      <c r="R105" s="1">
        <v>1131000216</v>
      </c>
      <c r="S105" s="1" t="s">
        <v>144</v>
      </c>
      <c r="T105" s="1" t="s">
        <v>145</v>
      </c>
      <c r="U105" s="1" t="s">
        <v>146</v>
      </c>
      <c r="V105" s="1" t="s">
        <v>147</v>
      </c>
      <c r="W105" s="1" t="s">
        <v>162</v>
      </c>
      <c r="X105" s="44">
        <v>6.25</v>
      </c>
      <c r="Y105" s="44">
        <v>0.28000000000000003</v>
      </c>
      <c r="Z105" s="44">
        <v>0</v>
      </c>
      <c r="AA105" s="44">
        <v>0</v>
      </c>
      <c r="AB105" s="44">
        <v>0</v>
      </c>
      <c r="AC105" s="44">
        <v>1007390</v>
      </c>
      <c r="AD105" s="45">
        <v>503584000</v>
      </c>
      <c r="AE105" s="45">
        <v>55394240</v>
      </c>
      <c r="AF105" s="46">
        <v>558978240</v>
      </c>
      <c r="AG105" s="55">
        <f t="shared" si="6"/>
        <v>558978240</v>
      </c>
      <c r="AH105" s="55">
        <f t="shared" si="7"/>
        <v>0</v>
      </c>
      <c r="AI105" s="55">
        <f t="shared" si="8"/>
        <v>0</v>
      </c>
      <c r="AJ105" s="55">
        <f t="shared" si="9"/>
        <v>0</v>
      </c>
    </row>
    <row r="106" spans="1:36" ht="15" customHeight="1">
      <c r="A106" s="1">
        <v>13</v>
      </c>
      <c r="B106" s="1" t="s">
        <v>239</v>
      </c>
      <c r="C106" s="1" t="s">
        <v>240</v>
      </c>
      <c r="D106" s="1" t="s">
        <v>241</v>
      </c>
      <c r="E106" s="1" t="s">
        <v>240</v>
      </c>
      <c r="F106" s="50" t="s">
        <v>678</v>
      </c>
      <c r="G106" s="50" t="s">
        <v>655</v>
      </c>
      <c r="H106" s="50" t="s">
        <v>656</v>
      </c>
      <c r="I106" s="50" t="s">
        <v>665</v>
      </c>
      <c r="J106" s="1" t="s">
        <v>183</v>
      </c>
      <c r="K106" s="1" t="s">
        <v>141</v>
      </c>
      <c r="L106" s="1">
        <v>9145000206</v>
      </c>
      <c r="M106" s="1" t="s">
        <v>28</v>
      </c>
      <c r="N106" s="1">
        <v>8</v>
      </c>
      <c r="O106" s="47" t="str">
        <f t="shared" si="5"/>
        <v>0-30</v>
      </c>
      <c r="P106" s="1" t="s">
        <v>184</v>
      </c>
      <c r="Q106" s="1">
        <v>9141001791</v>
      </c>
      <c r="R106" s="1">
        <v>1131000209</v>
      </c>
      <c r="S106" s="1" t="s">
        <v>144</v>
      </c>
      <c r="T106" s="1" t="s">
        <v>145</v>
      </c>
      <c r="U106" s="1" t="s">
        <v>146</v>
      </c>
      <c r="V106" s="1" t="s">
        <v>147</v>
      </c>
      <c r="W106" s="1" t="s">
        <v>162</v>
      </c>
      <c r="X106" s="44">
        <v>6.39</v>
      </c>
      <c r="Y106" s="44">
        <v>0.28000000000000003</v>
      </c>
      <c r="Z106" s="44">
        <v>0</v>
      </c>
      <c r="AA106" s="44">
        <v>0</v>
      </c>
      <c r="AB106" s="44">
        <v>0</v>
      </c>
      <c r="AC106" s="44">
        <v>1004890</v>
      </c>
      <c r="AD106" s="45">
        <v>1198791000</v>
      </c>
      <c r="AE106" s="45">
        <v>131867010</v>
      </c>
      <c r="AF106" s="46">
        <v>1330658010</v>
      </c>
      <c r="AG106" s="55">
        <f t="shared" si="6"/>
        <v>1330658010</v>
      </c>
      <c r="AH106" s="55">
        <f t="shared" si="7"/>
        <v>0</v>
      </c>
      <c r="AI106" s="55">
        <f t="shared" si="8"/>
        <v>0</v>
      </c>
      <c r="AJ106" s="55">
        <f t="shared" si="9"/>
        <v>0</v>
      </c>
    </row>
    <row r="107" spans="1:36" ht="15" customHeight="1">
      <c r="A107" s="1">
        <v>14</v>
      </c>
      <c r="B107" s="1" t="s">
        <v>242</v>
      </c>
      <c r="C107" s="1" t="s">
        <v>243</v>
      </c>
      <c r="D107" s="1" t="s">
        <v>244</v>
      </c>
      <c r="E107" s="1" t="s">
        <v>243</v>
      </c>
      <c r="F107" s="50" t="s">
        <v>670</v>
      </c>
      <c r="G107" s="50" t="s">
        <v>664</v>
      </c>
      <c r="H107" s="50" t="s">
        <v>656</v>
      </c>
      <c r="I107" s="50" t="s">
        <v>657</v>
      </c>
      <c r="J107" s="1" t="s">
        <v>170</v>
      </c>
      <c r="K107" s="1" t="s">
        <v>141</v>
      </c>
      <c r="L107" s="1">
        <v>1005002268</v>
      </c>
      <c r="M107" s="1" t="s">
        <v>43</v>
      </c>
      <c r="N107" s="1">
        <v>38</v>
      </c>
      <c r="O107" s="47" t="str">
        <f t="shared" si="5"/>
        <v>31-60</v>
      </c>
      <c r="P107" s="1" t="s">
        <v>171</v>
      </c>
      <c r="Q107" s="1">
        <v>1001024249</v>
      </c>
      <c r="R107" s="1" t="s">
        <v>245</v>
      </c>
      <c r="S107" s="1" t="s">
        <v>178</v>
      </c>
      <c r="T107" s="1" t="s">
        <v>179</v>
      </c>
      <c r="U107" s="1" t="s">
        <v>146</v>
      </c>
      <c r="V107" s="1" t="s">
        <v>147</v>
      </c>
      <c r="W107" s="1" t="s">
        <v>148</v>
      </c>
      <c r="X107" s="44">
        <v>0</v>
      </c>
      <c r="Y107" s="44">
        <v>23.22</v>
      </c>
      <c r="Z107" s="44">
        <v>0.28000000000000003</v>
      </c>
      <c r="AA107" s="44">
        <v>0</v>
      </c>
      <c r="AB107" s="44">
        <v>0</v>
      </c>
      <c r="AC107" s="44">
        <v>32240.959999999999</v>
      </c>
      <c r="AD107" s="45">
        <v>30628924</v>
      </c>
      <c r="AE107" s="45"/>
      <c r="AF107" s="46">
        <v>30628924</v>
      </c>
      <c r="AG107" s="55">
        <f t="shared" si="6"/>
        <v>0</v>
      </c>
      <c r="AH107" s="55">
        <f t="shared" si="7"/>
        <v>30628924</v>
      </c>
      <c r="AI107" s="55">
        <f t="shared" si="8"/>
        <v>0</v>
      </c>
      <c r="AJ107" s="55">
        <f t="shared" si="9"/>
        <v>0</v>
      </c>
    </row>
    <row r="108" spans="1:36" ht="15" customHeight="1">
      <c r="A108" s="1">
        <v>14</v>
      </c>
      <c r="B108" s="1" t="s">
        <v>242</v>
      </c>
      <c r="C108" s="1" t="s">
        <v>243</v>
      </c>
      <c r="D108" s="1" t="s">
        <v>244</v>
      </c>
      <c r="E108" s="1" t="s">
        <v>243</v>
      </c>
      <c r="F108" s="50" t="s">
        <v>670</v>
      </c>
      <c r="G108" s="50" t="s">
        <v>664</v>
      </c>
      <c r="H108" s="50" t="s">
        <v>656</v>
      </c>
      <c r="I108" s="50" t="s">
        <v>657</v>
      </c>
      <c r="J108" s="1" t="s">
        <v>170</v>
      </c>
      <c r="K108" s="1" t="s">
        <v>141</v>
      </c>
      <c r="L108" s="1">
        <v>1005002269</v>
      </c>
      <c r="M108" s="1" t="s">
        <v>43</v>
      </c>
      <c r="N108" s="1">
        <v>38</v>
      </c>
      <c r="O108" s="47" t="str">
        <f t="shared" si="5"/>
        <v>31-60</v>
      </c>
      <c r="P108" s="1" t="s">
        <v>171</v>
      </c>
      <c r="Q108" s="1">
        <v>1001024905</v>
      </c>
      <c r="R108" s="1" t="s">
        <v>246</v>
      </c>
      <c r="S108" s="1" t="s">
        <v>178</v>
      </c>
      <c r="T108" s="1" t="s">
        <v>179</v>
      </c>
      <c r="U108" s="1" t="s">
        <v>146</v>
      </c>
      <c r="V108" s="1" t="s">
        <v>147</v>
      </c>
      <c r="W108" s="1" t="s">
        <v>148</v>
      </c>
      <c r="X108" s="44">
        <v>0</v>
      </c>
      <c r="Y108" s="44">
        <v>22.64</v>
      </c>
      <c r="Z108" s="44">
        <v>0.28000000000000003</v>
      </c>
      <c r="AA108" s="44">
        <v>0</v>
      </c>
      <c r="AB108" s="44">
        <v>0</v>
      </c>
      <c r="AC108" s="44">
        <v>26396.44</v>
      </c>
      <c r="AD108" s="45">
        <v>29564013</v>
      </c>
      <c r="AE108" s="45"/>
      <c r="AF108" s="46">
        <v>29564013</v>
      </c>
      <c r="AG108" s="55">
        <f t="shared" si="6"/>
        <v>0</v>
      </c>
      <c r="AH108" s="55">
        <f t="shared" si="7"/>
        <v>29564013</v>
      </c>
      <c r="AI108" s="55">
        <f t="shared" si="8"/>
        <v>0</v>
      </c>
      <c r="AJ108" s="55">
        <f t="shared" si="9"/>
        <v>0</v>
      </c>
    </row>
    <row r="109" spans="1:36" ht="15" customHeight="1">
      <c r="A109" s="1">
        <v>14</v>
      </c>
      <c r="B109" s="1" t="s">
        <v>242</v>
      </c>
      <c r="C109" s="1" t="s">
        <v>243</v>
      </c>
      <c r="D109" s="1" t="s">
        <v>244</v>
      </c>
      <c r="E109" s="1" t="s">
        <v>243</v>
      </c>
      <c r="F109" s="50" t="s">
        <v>670</v>
      </c>
      <c r="G109" s="50" t="s">
        <v>664</v>
      </c>
      <c r="H109" s="50" t="s">
        <v>656</v>
      </c>
      <c r="I109" s="50" t="s">
        <v>657</v>
      </c>
      <c r="J109" s="1" t="s">
        <v>170</v>
      </c>
      <c r="K109" s="1" t="s">
        <v>141</v>
      </c>
      <c r="L109" s="1">
        <v>2015</v>
      </c>
      <c r="M109" s="1" t="s">
        <v>44</v>
      </c>
      <c r="N109" s="1">
        <v>422</v>
      </c>
      <c r="O109" s="47" t="str">
        <f t="shared" si="5"/>
        <v>&gt; 91 Days</v>
      </c>
      <c r="P109" s="1" t="s">
        <v>171</v>
      </c>
      <c r="Q109" s="1">
        <v>1001018477</v>
      </c>
      <c r="R109" s="1">
        <v>1004018477</v>
      </c>
      <c r="S109" s="1" t="s">
        <v>178</v>
      </c>
      <c r="T109" s="1" t="s">
        <v>179</v>
      </c>
      <c r="U109" s="1" t="s">
        <v>146</v>
      </c>
      <c r="V109" s="1" t="s">
        <v>147</v>
      </c>
      <c r="W109" s="1" t="s">
        <v>148</v>
      </c>
      <c r="X109" s="44">
        <v>0</v>
      </c>
      <c r="Y109" s="44">
        <v>20.89</v>
      </c>
      <c r="Z109" s="44">
        <v>0.27</v>
      </c>
      <c r="AA109" s="44">
        <v>0</v>
      </c>
      <c r="AB109" s="44">
        <v>0</v>
      </c>
      <c r="AC109" s="44">
        <v>3490.66</v>
      </c>
      <c r="AD109" s="45">
        <v>3420846</v>
      </c>
      <c r="AE109" s="45"/>
      <c r="AF109" s="46">
        <v>3420846</v>
      </c>
      <c r="AG109" s="55">
        <f t="shared" si="6"/>
        <v>0</v>
      </c>
      <c r="AH109" s="55">
        <f t="shared" si="7"/>
        <v>0</v>
      </c>
      <c r="AI109" s="55">
        <f t="shared" si="8"/>
        <v>0</v>
      </c>
      <c r="AJ109" s="55">
        <f t="shared" si="9"/>
        <v>3420846</v>
      </c>
    </row>
    <row r="110" spans="1:36" ht="15" customHeight="1">
      <c r="A110" s="1">
        <v>14</v>
      </c>
      <c r="B110" s="1" t="s">
        <v>242</v>
      </c>
      <c r="C110" s="1" t="s">
        <v>243</v>
      </c>
      <c r="D110" s="1" t="s">
        <v>244</v>
      </c>
      <c r="E110" s="1" t="s">
        <v>243</v>
      </c>
      <c r="F110" s="50" t="s">
        <v>670</v>
      </c>
      <c r="G110" s="50" t="s">
        <v>664</v>
      </c>
      <c r="H110" s="50" t="s">
        <v>656</v>
      </c>
      <c r="I110" s="50" t="s">
        <v>657</v>
      </c>
      <c r="J110" s="1" t="s">
        <v>170</v>
      </c>
      <c r="K110" s="1" t="s">
        <v>141</v>
      </c>
      <c r="L110" s="1">
        <v>2016</v>
      </c>
      <c r="M110" s="1" t="s">
        <v>44</v>
      </c>
      <c r="N110" s="1">
        <v>422</v>
      </c>
      <c r="O110" s="47" t="str">
        <f t="shared" si="5"/>
        <v>&gt; 91 Days</v>
      </c>
      <c r="P110" s="1" t="s">
        <v>171</v>
      </c>
      <c r="Q110" s="1">
        <v>1001018656</v>
      </c>
      <c r="R110" s="1">
        <v>1004018656</v>
      </c>
      <c r="S110" s="1" t="s">
        <v>178</v>
      </c>
      <c r="T110" s="1" t="s">
        <v>179</v>
      </c>
      <c r="U110" s="1" t="s">
        <v>146</v>
      </c>
      <c r="V110" s="1" t="s">
        <v>147</v>
      </c>
      <c r="W110" s="1" t="s">
        <v>148</v>
      </c>
      <c r="X110" s="44">
        <v>0</v>
      </c>
      <c r="Y110" s="44">
        <v>20.49</v>
      </c>
      <c r="Z110" s="44">
        <v>0.27</v>
      </c>
      <c r="AA110" s="44">
        <v>0</v>
      </c>
      <c r="AB110" s="44">
        <v>0</v>
      </c>
      <c r="AC110" s="44">
        <v>1182.5999999999999</v>
      </c>
      <c r="AD110" s="45">
        <v>1300860</v>
      </c>
      <c r="AE110" s="45"/>
      <c r="AF110" s="46">
        <v>1300860</v>
      </c>
      <c r="AG110" s="55">
        <f t="shared" si="6"/>
        <v>0</v>
      </c>
      <c r="AH110" s="55">
        <f t="shared" si="7"/>
        <v>0</v>
      </c>
      <c r="AI110" s="55">
        <f t="shared" si="8"/>
        <v>0</v>
      </c>
      <c r="AJ110" s="55">
        <f t="shared" si="9"/>
        <v>1300860</v>
      </c>
    </row>
    <row r="111" spans="1:36" ht="15" customHeight="1">
      <c r="A111" s="1">
        <v>14</v>
      </c>
      <c r="B111" s="1" t="s">
        <v>242</v>
      </c>
      <c r="C111" s="1" t="s">
        <v>243</v>
      </c>
      <c r="D111" s="1" t="s">
        <v>244</v>
      </c>
      <c r="E111" s="1" t="s">
        <v>243</v>
      </c>
      <c r="F111" s="50" t="s">
        <v>670</v>
      </c>
      <c r="G111" s="50" t="s">
        <v>664</v>
      </c>
      <c r="H111" s="50" t="s">
        <v>656</v>
      </c>
      <c r="I111" s="50" t="s">
        <v>657</v>
      </c>
      <c r="J111" s="1" t="s">
        <v>170</v>
      </c>
      <c r="K111" s="1" t="s">
        <v>141</v>
      </c>
      <c r="L111" s="1">
        <v>1005002270</v>
      </c>
      <c r="M111" s="1" t="s">
        <v>43</v>
      </c>
      <c r="N111" s="1">
        <v>38</v>
      </c>
      <c r="O111" s="47" t="str">
        <f t="shared" si="5"/>
        <v>31-60</v>
      </c>
      <c r="P111" s="1" t="s">
        <v>171</v>
      </c>
      <c r="Q111" s="1">
        <v>1001025664</v>
      </c>
      <c r="R111" s="1" t="s">
        <v>247</v>
      </c>
      <c r="S111" s="1" t="s">
        <v>178</v>
      </c>
      <c r="T111" s="1" t="s">
        <v>179</v>
      </c>
      <c r="U111" s="1" t="s">
        <v>146</v>
      </c>
      <c r="V111" s="1" t="s">
        <v>147</v>
      </c>
      <c r="W111" s="1" t="s">
        <v>148</v>
      </c>
      <c r="X111" s="44">
        <v>0</v>
      </c>
      <c r="Y111" s="44">
        <v>21.92</v>
      </c>
      <c r="Z111" s="44">
        <v>0.28000000000000003</v>
      </c>
      <c r="AA111" s="44">
        <v>0</v>
      </c>
      <c r="AB111" s="44">
        <v>0</v>
      </c>
      <c r="AC111" s="44">
        <v>7957.88</v>
      </c>
      <c r="AD111" s="45">
        <v>9151565</v>
      </c>
      <c r="AE111" s="45"/>
      <c r="AF111" s="46">
        <v>9151565</v>
      </c>
      <c r="AG111" s="55">
        <f t="shared" si="6"/>
        <v>0</v>
      </c>
      <c r="AH111" s="55">
        <f t="shared" si="7"/>
        <v>9151565</v>
      </c>
      <c r="AI111" s="55">
        <f t="shared" si="8"/>
        <v>0</v>
      </c>
      <c r="AJ111" s="55">
        <f t="shared" si="9"/>
        <v>0</v>
      </c>
    </row>
    <row r="112" spans="1:36" ht="15" customHeight="1">
      <c r="A112" s="1">
        <v>14</v>
      </c>
      <c r="B112" s="1" t="s">
        <v>242</v>
      </c>
      <c r="C112" s="1" t="s">
        <v>243</v>
      </c>
      <c r="D112" s="1" t="s">
        <v>244</v>
      </c>
      <c r="E112" s="1" t="s">
        <v>243</v>
      </c>
      <c r="F112" s="50" t="s">
        <v>670</v>
      </c>
      <c r="G112" s="50" t="s">
        <v>664</v>
      </c>
      <c r="H112" s="50" t="s">
        <v>656</v>
      </c>
      <c r="I112" s="50" t="s">
        <v>657</v>
      </c>
      <c r="J112" s="1" t="s">
        <v>170</v>
      </c>
      <c r="K112" s="1" t="s">
        <v>141</v>
      </c>
      <c r="L112" s="1">
        <v>2017</v>
      </c>
      <c r="M112" s="1" t="s">
        <v>44</v>
      </c>
      <c r="N112" s="1">
        <v>422</v>
      </c>
      <c r="O112" s="47" t="str">
        <f t="shared" si="5"/>
        <v>&gt; 91 Days</v>
      </c>
      <c r="P112" s="1" t="s">
        <v>171</v>
      </c>
      <c r="Q112" s="1">
        <v>1001019383</v>
      </c>
      <c r="R112" s="1" t="s">
        <v>248</v>
      </c>
      <c r="S112" s="1" t="s">
        <v>178</v>
      </c>
      <c r="T112" s="1" t="s">
        <v>179</v>
      </c>
      <c r="U112" s="1" t="s">
        <v>146</v>
      </c>
      <c r="V112" s="1" t="s">
        <v>147</v>
      </c>
      <c r="W112" s="1" t="s">
        <v>148</v>
      </c>
      <c r="X112" s="44">
        <v>0</v>
      </c>
      <c r="Y112" s="44">
        <v>21.1</v>
      </c>
      <c r="Z112" s="44">
        <v>0.28000000000000003</v>
      </c>
      <c r="AA112" s="44">
        <v>0</v>
      </c>
      <c r="AB112" s="44">
        <v>0</v>
      </c>
      <c r="AC112" s="44">
        <v>9251.9599999999991</v>
      </c>
      <c r="AD112" s="45">
        <v>11379915</v>
      </c>
      <c r="AE112" s="45"/>
      <c r="AF112" s="46">
        <v>11379915</v>
      </c>
      <c r="AG112" s="55">
        <f t="shared" si="6"/>
        <v>0</v>
      </c>
      <c r="AH112" s="55">
        <f t="shared" si="7"/>
        <v>0</v>
      </c>
      <c r="AI112" s="55">
        <f t="shared" si="8"/>
        <v>0</v>
      </c>
      <c r="AJ112" s="55">
        <f t="shared" si="9"/>
        <v>11379915</v>
      </c>
    </row>
    <row r="113" spans="1:36" ht="15" customHeight="1">
      <c r="A113" s="1">
        <v>14</v>
      </c>
      <c r="B113" s="1" t="s">
        <v>242</v>
      </c>
      <c r="C113" s="1" t="s">
        <v>243</v>
      </c>
      <c r="D113" s="1" t="s">
        <v>244</v>
      </c>
      <c r="E113" s="1" t="s">
        <v>243</v>
      </c>
      <c r="F113" s="50" t="s">
        <v>670</v>
      </c>
      <c r="G113" s="50" t="s">
        <v>664</v>
      </c>
      <c r="H113" s="50" t="s">
        <v>656</v>
      </c>
      <c r="I113" s="50" t="s">
        <v>657</v>
      </c>
      <c r="J113" s="1" t="s">
        <v>170</v>
      </c>
      <c r="K113" s="1" t="s">
        <v>141</v>
      </c>
      <c r="L113" s="1">
        <v>2018</v>
      </c>
      <c r="M113" s="1" t="s">
        <v>44</v>
      </c>
      <c r="N113" s="1">
        <v>422</v>
      </c>
      <c r="O113" s="47" t="str">
        <f t="shared" si="5"/>
        <v>&gt; 91 Days</v>
      </c>
      <c r="P113" s="1" t="s">
        <v>171</v>
      </c>
      <c r="Q113" s="1">
        <v>1001019972</v>
      </c>
      <c r="R113" s="1" t="s">
        <v>249</v>
      </c>
      <c r="S113" s="1" t="s">
        <v>178</v>
      </c>
      <c r="T113" s="1" t="s">
        <v>179</v>
      </c>
      <c r="U113" s="1" t="s">
        <v>146</v>
      </c>
      <c r="V113" s="1" t="s">
        <v>147</v>
      </c>
      <c r="W113" s="1" t="s">
        <v>148</v>
      </c>
      <c r="X113" s="44">
        <v>0</v>
      </c>
      <c r="Y113" s="44">
        <v>21.65</v>
      </c>
      <c r="Z113" s="44">
        <v>0.28000000000000003</v>
      </c>
      <c r="AA113" s="44">
        <v>0</v>
      </c>
      <c r="AB113" s="44">
        <v>0</v>
      </c>
      <c r="AC113" s="44">
        <v>5330.83</v>
      </c>
      <c r="AD113" s="45">
        <v>7463162</v>
      </c>
      <c r="AE113" s="45"/>
      <c r="AF113" s="46">
        <v>7463162</v>
      </c>
      <c r="AG113" s="55">
        <f t="shared" si="6"/>
        <v>0</v>
      </c>
      <c r="AH113" s="55">
        <f t="shared" si="7"/>
        <v>0</v>
      </c>
      <c r="AI113" s="55">
        <f t="shared" si="8"/>
        <v>0</v>
      </c>
      <c r="AJ113" s="55">
        <f t="shared" si="9"/>
        <v>7463162</v>
      </c>
    </row>
    <row r="114" spans="1:36" ht="15" customHeight="1">
      <c r="A114" s="1">
        <v>15</v>
      </c>
      <c r="B114" s="1" t="s">
        <v>250</v>
      </c>
      <c r="C114" s="1" t="s">
        <v>251</v>
      </c>
      <c r="D114" s="1" t="s">
        <v>252</v>
      </c>
      <c r="E114" s="1" t="s">
        <v>251</v>
      </c>
      <c r="F114" s="50" t="s">
        <v>658</v>
      </c>
      <c r="G114" s="50" t="s">
        <v>655</v>
      </c>
      <c r="H114" s="50" t="s">
        <v>656</v>
      </c>
      <c r="I114" s="50" t="s">
        <v>657</v>
      </c>
      <c r="J114" s="1" t="s">
        <v>153</v>
      </c>
      <c r="K114" s="1" t="s">
        <v>141</v>
      </c>
      <c r="L114" s="1">
        <v>1385000045</v>
      </c>
      <c r="M114" s="1" t="s">
        <v>45</v>
      </c>
      <c r="N114" s="1">
        <v>109</v>
      </c>
      <c r="O114" s="47" t="str">
        <f t="shared" si="5"/>
        <v>&gt; 91 Days</v>
      </c>
      <c r="P114" s="1" t="s">
        <v>253</v>
      </c>
      <c r="Q114" s="1">
        <v>1381002095</v>
      </c>
      <c r="R114" s="1" t="s">
        <v>254</v>
      </c>
      <c r="S114" s="1" t="s">
        <v>144</v>
      </c>
      <c r="T114" s="1" t="s">
        <v>145</v>
      </c>
      <c r="U114" s="1" t="s">
        <v>146</v>
      </c>
      <c r="V114" s="1" t="s">
        <v>147</v>
      </c>
      <c r="W114" s="1" t="s">
        <v>255</v>
      </c>
      <c r="X114" s="44">
        <v>3.27</v>
      </c>
      <c r="Y114" s="44">
        <v>0.62</v>
      </c>
      <c r="Z114" s="44">
        <v>0</v>
      </c>
      <c r="AA114" s="44">
        <v>2.1</v>
      </c>
      <c r="AB114" s="44">
        <v>0</v>
      </c>
      <c r="AC114" s="44">
        <v>102.23</v>
      </c>
      <c r="AD114" s="45">
        <v>1501555</v>
      </c>
      <c r="AE114" s="45"/>
      <c r="AF114" s="46">
        <v>1501555</v>
      </c>
      <c r="AG114" s="55">
        <f t="shared" si="6"/>
        <v>0</v>
      </c>
      <c r="AH114" s="55">
        <f t="shared" si="7"/>
        <v>0</v>
      </c>
      <c r="AI114" s="55">
        <f t="shared" si="8"/>
        <v>0</v>
      </c>
      <c r="AJ114" s="55">
        <f t="shared" si="9"/>
        <v>1501555</v>
      </c>
    </row>
    <row r="115" spans="1:36" ht="15" customHeight="1">
      <c r="A115" s="1">
        <v>15</v>
      </c>
      <c r="B115" s="1" t="s">
        <v>250</v>
      </c>
      <c r="C115" s="1" t="s">
        <v>251</v>
      </c>
      <c r="D115" s="1" t="s">
        <v>252</v>
      </c>
      <c r="E115" s="1" t="s">
        <v>251</v>
      </c>
      <c r="F115" s="50" t="s">
        <v>658</v>
      </c>
      <c r="G115" s="50" t="s">
        <v>655</v>
      </c>
      <c r="H115" s="50" t="s">
        <v>656</v>
      </c>
      <c r="I115" s="50" t="s">
        <v>657</v>
      </c>
      <c r="J115" s="1" t="s">
        <v>153</v>
      </c>
      <c r="K115" s="1" t="s">
        <v>141</v>
      </c>
      <c r="L115" s="1">
        <v>1385000050</v>
      </c>
      <c r="M115" s="1" t="s">
        <v>46</v>
      </c>
      <c r="N115" s="1">
        <v>106</v>
      </c>
      <c r="O115" s="47" t="str">
        <f t="shared" si="5"/>
        <v>&gt; 91 Days</v>
      </c>
      <c r="P115" s="1" t="s">
        <v>253</v>
      </c>
      <c r="Q115" s="1">
        <v>1381002169</v>
      </c>
      <c r="R115" s="1" t="s">
        <v>256</v>
      </c>
      <c r="S115" s="1" t="s">
        <v>144</v>
      </c>
      <c r="T115" s="1" t="s">
        <v>145</v>
      </c>
      <c r="U115" s="1" t="s">
        <v>146</v>
      </c>
      <c r="V115" s="1" t="s">
        <v>147</v>
      </c>
      <c r="W115" s="1" t="s">
        <v>255</v>
      </c>
      <c r="X115" s="44">
        <v>3.6</v>
      </c>
      <c r="Y115" s="44">
        <v>0.79</v>
      </c>
      <c r="Z115" s="44">
        <v>0</v>
      </c>
      <c r="AA115" s="44">
        <v>2.1</v>
      </c>
      <c r="AB115" s="44">
        <v>0</v>
      </c>
      <c r="AC115" s="44">
        <v>83.09</v>
      </c>
      <c r="AD115" s="45">
        <v>1222337</v>
      </c>
      <c r="AE115" s="45"/>
      <c r="AF115" s="46">
        <v>1222337</v>
      </c>
      <c r="AG115" s="55">
        <f t="shared" si="6"/>
        <v>0</v>
      </c>
      <c r="AH115" s="55">
        <f t="shared" si="7"/>
        <v>0</v>
      </c>
      <c r="AI115" s="55">
        <f t="shared" si="8"/>
        <v>0</v>
      </c>
      <c r="AJ115" s="55">
        <f t="shared" si="9"/>
        <v>1222337</v>
      </c>
    </row>
    <row r="116" spans="1:36" ht="15" customHeight="1">
      <c r="A116" s="1">
        <v>15</v>
      </c>
      <c r="B116" s="1" t="s">
        <v>250</v>
      </c>
      <c r="C116" s="1" t="s">
        <v>251</v>
      </c>
      <c r="D116" s="1" t="s">
        <v>252</v>
      </c>
      <c r="E116" s="1" t="s">
        <v>251</v>
      </c>
      <c r="F116" s="50" t="s">
        <v>658</v>
      </c>
      <c r="G116" s="50" t="s">
        <v>655</v>
      </c>
      <c r="H116" s="50" t="s">
        <v>656</v>
      </c>
      <c r="I116" s="50" t="s">
        <v>657</v>
      </c>
      <c r="J116" s="1" t="s">
        <v>153</v>
      </c>
      <c r="K116" s="1" t="s">
        <v>141</v>
      </c>
      <c r="L116" s="1">
        <v>1385000054</v>
      </c>
      <c r="M116" s="1" t="s">
        <v>25</v>
      </c>
      <c r="N116" s="1">
        <v>95</v>
      </c>
      <c r="O116" s="47" t="str">
        <f t="shared" si="5"/>
        <v>&gt; 91 Days</v>
      </c>
      <c r="P116" s="1" t="s">
        <v>253</v>
      </c>
      <c r="Q116" s="1">
        <v>1381002173</v>
      </c>
      <c r="R116" s="1" t="s">
        <v>257</v>
      </c>
      <c r="S116" s="1" t="s">
        <v>144</v>
      </c>
      <c r="T116" s="1" t="s">
        <v>145</v>
      </c>
      <c r="U116" s="1" t="s">
        <v>146</v>
      </c>
      <c r="V116" s="1" t="s">
        <v>147</v>
      </c>
      <c r="W116" s="1" t="s">
        <v>255</v>
      </c>
      <c r="X116" s="44">
        <v>4</v>
      </c>
      <c r="Y116" s="44">
        <v>0.73</v>
      </c>
      <c r="Z116" s="44">
        <v>0</v>
      </c>
      <c r="AA116" s="44">
        <v>2.1</v>
      </c>
      <c r="AB116" s="44">
        <v>0</v>
      </c>
      <c r="AC116" s="44">
        <v>77.209999999999994</v>
      </c>
      <c r="AD116" s="45">
        <v>1143557</v>
      </c>
      <c r="AE116" s="45"/>
      <c r="AF116" s="46">
        <v>1143557</v>
      </c>
      <c r="AG116" s="55">
        <f t="shared" si="6"/>
        <v>0</v>
      </c>
      <c r="AH116" s="55">
        <f t="shared" si="7"/>
        <v>0</v>
      </c>
      <c r="AI116" s="55">
        <f t="shared" si="8"/>
        <v>0</v>
      </c>
      <c r="AJ116" s="55">
        <f t="shared" si="9"/>
        <v>1143557</v>
      </c>
    </row>
    <row r="117" spans="1:36" ht="15" customHeight="1">
      <c r="A117" s="1">
        <v>15</v>
      </c>
      <c r="B117" s="1" t="s">
        <v>250</v>
      </c>
      <c r="C117" s="1" t="s">
        <v>251</v>
      </c>
      <c r="D117" s="1" t="s">
        <v>252</v>
      </c>
      <c r="E117" s="1" t="s">
        <v>251</v>
      </c>
      <c r="F117" s="50" t="s">
        <v>658</v>
      </c>
      <c r="G117" s="50" t="s">
        <v>655</v>
      </c>
      <c r="H117" s="50" t="s">
        <v>656</v>
      </c>
      <c r="I117" s="50" t="s">
        <v>657</v>
      </c>
      <c r="J117" s="1" t="s">
        <v>153</v>
      </c>
      <c r="K117" s="1" t="s">
        <v>141</v>
      </c>
      <c r="L117" s="1">
        <v>1385000061</v>
      </c>
      <c r="M117" s="1" t="s">
        <v>39</v>
      </c>
      <c r="N117" s="1">
        <v>65</v>
      </c>
      <c r="O117" s="47" t="str">
        <f t="shared" si="5"/>
        <v>61-90</v>
      </c>
      <c r="P117" s="1" t="s">
        <v>253</v>
      </c>
      <c r="Q117" s="1">
        <v>1381002307</v>
      </c>
      <c r="R117" s="1" t="s">
        <v>258</v>
      </c>
      <c r="S117" s="1" t="s">
        <v>144</v>
      </c>
      <c r="T117" s="1" t="s">
        <v>145</v>
      </c>
      <c r="U117" s="1" t="s">
        <v>146</v>
      </c>
      <c r="V117" s="1" t="s">
        <v>147</v>
      </c>
      <c r="W117" s="1" t="s">
        <v>255</v>
      </c>
      <c r="X117" s="44">
        <v>3.5</v>
      </c>
      <c r="Y117" s="44">
        <v>0.61</v>
      </c>
      <c r="Z117" s="44">
        <v>0</v>
      </c>
      <c r="AA117" s="44">
        <v>2.1</v>
      </c>
      <c r="AB117" s="44">
        <v>0</v>
      </c>
      <c r="AC117" s="44">
        <v>31.21</v>
      </c>
      <c r="AD117" s="45">
        <v>449892</v>
      </c>
      <c r="AE117" s="45"/>
      <c r="AF117" s="46">
        <v>449892</v>
      </c>
      <c r="AG117" s="55">
        <f t="shared" si="6"/>
        <v>0</v>
      </c>
      <c r="AH117" s="55">
        <f t="shared" si="7"/>
        <v>0</v>
      </c>
      <c r="AI117" s="55">
        <f t="shared" si="8"/>
        <v>449892</v>
      </c>
      <c r="AJ117" s="55">
        <f t="shared" si="9"/>
        <v>0</v>
      </c>
    </row>
    <row r="118" spans="1:36" ht="15" customHeight="1">
      <c r="A118" s="1">
        <v>15</v>
      </c>
      <c r="B118" s="1" t="s">
        <v>250</v>
      </c>
      <c r="C118" s="1" t="s">
        <v>251</v>
      </c>
      <c r="D118" s="1" t="s">
        <v>252</v>
      </c>
      <c r="E118" s="1" t="s">
        <v>251</v>
      </c>
      <c r="F118" s="50" t="s">
        <v>658</v>
      </c>
      <c r="G118" s="50" t="s">
        <v>655</v>
      </c>
      <c r="H118" s="50" t="s">
        <v>656</v>
      </c>
      <c r="I118" s="50" t="s">
        <v>657</v>
      </c>
      <c r="J118" s="1" t="s">
        <v>153</v>
      </c>
      <c r="K118" s="1" t="s">
        <v>141</v>
      </c>
      <c r="L118" s="1">
        <v>1385000062</v>
      </c>
      <c r="M118" s="1" t="s">
        <v>39</v>
      </c>
      <c r="N118" s="1">
        <v>65</v>
      </c>
      <c r="O118" s="47" t="str">
        <f t="shared" si="5"/>
        <v>61-90</v>
      </c>
      <c r="P118" s="1" t="s">
        <v>253</v>
      </c>
      <c r="Q118" s="1">
        <v>1381002313</v>
      </c>
      <c r="R118" s="1" t="s">
        <v>259</v>
      </c>
      <c r="S118" s="1" t="s">
        <v>144</v>
      </c>
      <c r="T118" s="1" t="s">
        <v>145</v>
      </c>
      <c r="U118" s="1" t="s">
        <v>146</v>
      </c>
      <c r="V118" s="1" t="s">
        <v>147</v>
      </c>
      <c r="W118" s="1" t="s">
        <v>255</v>
      </c>
      <c r="X118" s="44">
        <v>4.0999999999999996</v>
      </c>
      <c r="Y118" s="44">
        <v>0.67</v>
      </c>
      <c r="Z118" s="44">
        <v>0</v>
      </c>
      <c r="AA118" s="44">
        <v>2.1</v>
      </c>
      <c r="AB118" s="44">
        <v>0</v>
      </c>
      <c r="AC118" s="44">
        <v>57.02</v>
      </c>
      <c r="AD118" s="45">
        <v>812934</v>
      </c>
      <c r="AE118" s="45"/>
      <c r="AF118" s="46">
        <v>812934</v>
      </c>
      <c r="AG118" s="55">
        <f t="shared" si="6"/>
        <v>0</v>
      </c>
      <c r="AH118" s="55">
        <f t="shared" si="7"/>
        <v>0</v>
      </c>
      <c r="AI118" s="55">
        <f t="shared" si="8"/>
        <v>812934</v>
      </c>
      <c r="AJ118" s="55">
        <f t="shared" si="9"/>
        <v>0</v>
      </c>
    </row>
    <row r="119" spans="1:36" ht="15" customHeight="1">
      <c r="A119" s="1">
        <v>15</v>
      </c>
      <c r="B119" s="1" t="s">
        <v>250</v>
      </c>
      <c r="C119" s="1" t="s">
        <v>251</v>
      </c>
      <c r="D119" s="1" t="s">
        <v>252</v>
      </c>
      <c r="E119" s="1" t="s">
        <v>251</v>
      </c>
      <c r="F119" s="50" t="s">
        <v>658</v>
      </c>
      <c r="G119" s="50" t="s">
        <v>655</v>
      </c>
      <c r="H119" s="50" t="s">
        <v>656</v>
      </c>
      <c r="I119" s="50" t="s">
        <v>657</v>
      </c>
      <c r="J119" s="1" t="s">
        <v>153</v>
      </c>
      <c r="K119" s="1" t="s">
        <v>141</v>
      </c>
      <c r="L119" s="1">
        <v>1385000075</v>
      </c>
      <c r="M119" s="1" t="s">
        <v>47</v>
      </c>
      <c r="N119" s="1">
        <v>25</v>
      </c>
      <c r="O119" s="47" t="str">
        <f t="shared" si="5"/>
        <v>0-30</v>
      </c>
      <c r="P119" s="1" t="s">
        <v>253</v>
      </c>
      <c r="Q119" s="1">
        <v>1381002416</v>
      </c>
      <c r="R119" s="1" t="s">
        <v>260</v>
      </c>
      <c r="S119" s="1" t="s">
        <v>144</v>
      </c>
      <c r="T119" s="1" t="s">
        <v>145</v>
      </c>
      <c r="U119" s="1" t="s">
        <v>146</v>
      </c>
      <c r="V119" s="1" t="s">
        <v>147</v>
      </c>
      <c r="W119" s="1" t="s">
        <v>255</v>
      </c>
      <c r="X119" s="44">
        <v>4</v>
      </c>
      <c r="Y119" s="44">
        <v>0.68</v>
      </c>
      <c r="Z119" s="44">
        <v>0</v>
      </c>
      <c r="AA119" s="44">
        <v>2</v>
      </c>
      <c r="AB119" s="44">
        <v>0</v>
      </c>
      <c r="AC119" s="44">
        <v>31</v>
      </c>
      <c r="AD119" s="45">
        <v>449531</v>
      </c>
      <c r="AE119" s="45"/>
      <c r="AF119" s="46">
        <v>449531</v>
      </c>
      <c r="AG119" s="55">
        <f t="shared" si="6"/>
        <v>449531</v>
      </c>
      <c r="AH119" s="55">
        <f t="shared" si="7"/>
        <v>0</v>
      </c>
      <c r="AI119" s="55">
        <f t="shared" si="8"/>
        <v>0</v>
      </c>
      <c r="AJ119" s="55">
        <f t="shared" si="9"/>
        <v>0</v>
      </c>
    </row>
    <row r="120" spans="1:36" ht="15" customHeight="1">
      <c r="A120" s="1">
        <v>16</v>
      </c>
      <c r="B120" s="1" t="s">
        <v>261</v>
      </c>
      <c r="C120" s="1" t="s">
        <v>262</v>
      </c>
      <c r="D120" s="1" t="s">
        <v>263</v>
      </c>
      <c r="E120" s="1" t="s">
        <v>262</v>
      </c>
      <c r="F120" s="51" t="s">
        <v>662</v>
      </c>
      <c r="G120" s="51" t="s">
        <v>659</v>
      </c>
      <c r="H120" s="50" t="s">
        <v>656</v>
      </c>
      <c r="I120" s="50" t="s">
        <v>657</v>
      </c>
      <c r="J120" s="1" t="s">
        <v>170</v>
      </c>
      <c r="K120" s="1" t="s">
        <v>141</v>
      </c>
      <c r="L120" s="1">
        <v>1005002481</v>
      </c>
      <c r="M120" s="1" t="s">
        <v>48</v>
      </c>
      <c r="N120" s="1">
        <v>7</v>
      </c>
      <c r="O120" s="47" t="str">
        <f t="shared" si="5"/>
        <v>0-30</v>
      </c>
      <c r="P120" s="1" t="s">
        <v>184</v>
      </c>
      <c r="Q120" s="1">
        <v>1001027992</v>
      </c>
      <c r="R120" s="1" t="s">
        <v>264</v>
      </c>
      <c r="S120" s="1" t="s">
        <v>144</v>
      </c>
      <c r="T120" s="1" t="s">
        <v>145</v>
      </c>
      <c r="U120" s="1" t="s">
        <v>146</v>
      </c>
      <c r="V120" s="1" t="s">
        <v>147</v>
      </c>
      <c r="W120" s="1" t="s">
        <v>148</v>
      </c>
      <c r="X120" s="44">
        <v>5.35</v>
      </c>
      <c r="Y120" s="44">
        <v>0.28000000000000003</v>
      </c>
      <c r="Z120" s="44">
        <v>0</v>
      </c>
      <c r="AA120" s="44">
        <v>0</v>
      </c>
      <c r="AB120" s="44">
        <v>0</v>
      </c>
      <c r="AC120" s="44">
        <v>508470</v>
      </c>
      <c r="AD120" s="45">
        <v>25423500</v>
      </c>
      <c r="AE120" s="45"/>
      <c r="AF120" s="46">
        <v>25423500</v>
      </c>
      <c r="AG120" s="55">
        <f t="shared" si="6"/>
        <v>25423500</v>
      </c>
      <c r="AH120" s="55">
        <f t="shared" si="7"/>
        <v>0</v>
      </c>
      <c r="AI120" s="55">
        <f t="shared" si="8"/>
        <v>0</v>
      </c>
      <c r="AJ120" s="55">
        <f t="shared" si="9"/>
        <v>0</v>
      </c>
    </row>
    <row r="121" spans="1:36" ht="15" customHeight="1">
      <c r="A121" s="1">
        <v>16</v>
      </c>
      <c r="B121" s="1" t="s">
        <v>261</v>
      </c>
      <c r="C121" s="1" t="s">
        <v>262</v>
      </c>
      <c r="D121" s="1" t="s">
        <v>263</v>
      </c>
      <c r="E121" s="1" t="s">
        <v>262</v>
      </c>
      <c r="F121" s="51" t="s">
        <v>662</v>
      </c>
      <c r="G121" s="51" t="s">
        <v>659</v>
      </c>
      <c r="H121" s="50" t="s">
        <v>656</v>
      </c>
      <c r="I121" s="50" t="s">
        <v>657</v>
      </c>
      <c r="J121" s="1" t="s">
        <v>170</v>
      </c>
      <c r="K121" s="1" t="s">
        <v>141</v>
      </c>
      <c r="L121" s="1">
        <v>1005002482</v>
      </c>
      <c r="M121" s="1" t="s">
        <v>48</v>
      </c>
      <c r="N121" s="1">
        <v>7</v>
      </c>
      <c r="O121" s="47" t="str">
        <f t="shared" si="5"/>
        <v>0-30</v>
      </c>
      <c r="P121" s="1" t="s">
        <v>184</v>
      </c>
      <c r="Q121" s="1">
        <v>1001028055</v>
      </c>
      <c r="R121" s="1" t="s">
        <v>265</v>
      </c>
      <c r="S121" s="1" t="s">
        <v>144</v>
      </c>
      <c r="T121" s="1" t="s">
        <v>145</v>
      </c>
      <c r="U121" s="1" t="s">
        <v>146</v>
      </c>
      <c r="V121" s="1" t="s">
        <v>147</v>
      </c>
      <c r="W121" s="1" t="s">
        <v>148</v>
      </c>
      <c r="X121" s="44">
        <v>5.28</v>
      </c>
      <c r="Y121" s="44">
        <v>0.28000000000000003</v>
      </c>
      <c r="Z121" s="44">
        <v>0</v>
      </c>
      <c r="AA121" s="44">
        <v>0</v>
      </c>
      <c r="AB121" s="44">
        <v>0</v>
      </c>
      <c r="AC121" s="44">
        <v>498820</v>
      </c>
      <c r="AD121" s="45">
        <v>24941000</v>
      </c>
      <c r="AE121" s="45"/>
      <c r="AF121" s="46">
        <v>24941000</v>
      </c>
      <c r="AG121" s="55">
        <f t="shared" si="6"/>
        <v>24941000</v>
      </c>
      <c r="AH121" s="55">
        <f t="shared" si="7"/>
        <v>0</v>
      </c>
      <c r="AI121" s="55">
        <f t="shared" si="8"/>
        <v>0</v>
      </c>
      <c r="AJ121" s="55">
        <f t="shared" si="9"/>
        <v>0</v>
      </c>
    </row>
    <row r="122" spans="1:36" ht="15" customHeight="1">
      <c r="A122" s="1">
        <v>16</v>
      </c>
      <c r="B122" s="1" t="s">
        <v>261</v>
      </c>
      <c r="C122" s="1" t="s">
        <v>262</v>
      </c>
      <c r="D122" s="1" t="s">
        <v>263</v>
      </c>
      <c r="E122" s="1" t="s">
        <v>262</v>
      </c>
      <c r="F122" s="51" t="s">
        <v>668</v>
      </c>
      <c r="G122" s="51" t="s">
        <v>659</v>
      </c>
      <c r="H122" s="50" t="s">
        <v>656</v>
      </c>
      <c r="I122" s="50" t="s">
        <v>665</v>
      </c>
      <c r="J122" s="1" t="s">
        <v>170</v>
      </c>
      <c r="K122" s="1" t="s">
        <v>141</v>
      </c>
      <c r="L122" s="1">
        <v>9145000210</v>
      </c>
      <c r="M122" s="1" t="s">
        <v>48</v>
      </c>
      <c r="N122" s="1">
        <v>7</v>
      </c>
      <c r="O122" s="47" t="str">
        <f t="shared" si="5"/>
        <v>0-30</v>
      </c>
      <c r="P122" s="1" t="s">
        <v>184</v>
      </c>
      <c r="Q122" s="1">
        <v>9141001888</v>
      </c>
      <c r="R122" s="1" t="s">
        <v>266</v>
      </c>
      <c r="S122" s="1" t="s">
        <v>144</v>
      </c>
      <c r="T122" s="1" t="s">
        <v>145</v>
      </c>
      <c r="U122" s="1" t="s">
        <v>146</v>
      </c>
      <c r="V122" s="1" t="s">
        <v>147</v>
      </c>
      <c r="W122" s="1" t="s">
        <v>162</v>
      </c>
      <c r="X122" s="44">
        <v>5.3</v>
      </c>
      <c r="Y122" s="44">
        <v>0.49</v>
      </c>
      <c r="Z122" s="44">
        <v>0</v>
      </c>
      <c r="AA122" s="44">
        <v>0</v>
      </c>
      <c r="AB122" s="44">
        <v>0</v>
      </c>
      <c r="AC122" s="44">
        <v>1006180</v>
      </c>
      <c r="AD122" s="45">
        <v>53769500</v>
      </c>
      <c r="AE122" s="45">
        <v>5914645</v>
      </c>
      <c r="AF122" s="46">
        <v>59684145</v>
      </c>
      <c r="AG122" s="55">
        <f t="shared" si="6"/>
        <v>59684145</v>
      </c>
      <c r="AH122" s="55">
        <f t="shared" si="7"/>
        <v>0</v>
      </c>
      <c r="AI122" s="55">
        <f t="shared" si="8"/>
        <v>0</v>
      </c>
      <c r="AJ122" s="55">
        <f t="shared" si="9"/>
        <v>0</v>
      </c>
    </row>
    <row r="123" spans="1:36" ht="15" customHeight="1">
      <c r="A123" s="1">
        <v>17</v>
      </c>
      <c r="B123" s="1" t="s">
        <v>267</v>
      </c>
      <c r="C123" s="1" t="s">
        <v>268</v>
      </c>
      <c r="D123" s="1" t="s">
        <v>269</v>
      </c>
      <c r="E123" s="1" t="s">
        <v>268</v>
      </c>
      <c r="F123" s="50" t="s">
        <v>658</v>
      </c>
      <c r="G123" s="50" t="s">
        <v>655</v>
      </c>
      <c r="H123" s="50" t="s">
        <v>656</v>
      </c>
      <c r="I123" s="50" t="s">
        <v>665</v>
      </c>
      <c r="J123" s="1" t="s">
        <v>140</v>
      </c>
      <c r="K123" s="1" t="s">
        <v>141</v>
      </c>
      <c r="L123" s="1">
        <v>9085000210</v>
      </c>
      <c r="M123" s="1" t="s">
        <v>49</v>
      </c>
      <c r="N123" s="1">
        <v>126</v>
      </c>
      <c r="O123" s="47" t="str">
        <f t="shared" ref="O123:O167" si="10">VLOOKUP(N123,$M$1:$N$4,2,TRUE)</f>
        <v>&gt; 91 Days</v>
      </c>
      <c r="P123" s="1" t="s">
        <v>142</v>
      </c>
      <c r="Q123" s="1">
        <v>9081001367</v>
      </c>
      <c r="R123" s="1" t="s">
        <v>270</v>
      </c>
      <c r="S123" s="1" t="s">
        <v>271</v>
      </c>
      <c r="T123" s="1" t="s">
        <v>179</v>
      </c>
      <c r="U123" s="1" t="s">
        <v>146</v>
      </c>
      <c r="V123" s="1" t="s">
        <v>147</v>
      </c>
      <c r="W123" s="1" t="s">
        <v>160</v>
      </c>
      <c r="X123" s="44">
        <v>0</v>
      </c>
      <c r="Y123" s="44">
        <v>20.329999999999998</v>
      </c>
      <c r="Z123" s="44">
        <v>0.9</v>
      </c>
      <c r="AA123" s="44">
        <v>0</v>
      </c>
      <c r="AB123" s="44">
        <v>0</v>
      </c>
      <c r="AC123" s="44">
        <v>22.11</v>
      </c>
      <c r="AD123" s="45">
        <v>19125</v>
      </c>
      <c r="AE123" s="45"/>
      <c r="AF123" s="46">
        <v>19125</v>
      </c>
      <c r="AG123" s="55">
        <f t="shared" ref="AG123:AG167" si="11">IF($O123="0-30",$AF123,0)</f>
        <v>0</v>
      </c>
      <c r="AH123" s="55">
        <f t="shared" ref="AH123:AH167" si="12">IF($O123="31-60",$AF123,0)</f>
        <v>0</v>
      </c>
      <c r="AI123" s="55">
        <f t="shared" ref="AI123:AI167" si="13">IF($O123="61-90",$AF123,0)</f>
        <v>0</v>
      </c>
      <c r="AJ123" s="55">
        <f t="shared" si="9"/>
        <v>19125</v>
      </c>
    </row>
    <row r="124" spans="1:36" ht="15" customHeight="1">
      <c r="A124" s="1">
        <v>18</v>
      </c>
      <c r="B124" s="1" t="s">
        <v>272</v>
      </c>
      <c r="C124" s="1" t="s">
        <v>273</v>
      </c>
      <c r="D124" s="1" t="s">
        <v>274</v>
      </c>
      <c r="E124" s="1" t="s">
        <v>273</v>
      </c>
      <c r="F124" s="50" t="s">
        <v>658</v>
      </c>
      <c r="G124" s="50" t="s">
        <v>655</v>
      </c>
      <c r="H124" s="50" t="s">
        <v>656</v>
      </c>
      <c r="I124" s="50" t="s">
        <v>657</v>
      </c>
      <c r="J124" s="1" t="s">
        <v>153</v>
      </c>
      <c r="K124" s="1" t="s">
        <v>141</v>
      </c>
      <c r="L124" s="1">
        <v>1054</v>
      </c>
      <c r="M124" s="1" t="s">
        <v>50</v>
      </c>
      <c r="N124" s="1">
        <v>752</v>
      </c>
      <c r="O124" s="47" t="str">
        <f t="shared" si="10"/>
        <v>&gt; 91 Days</v>
      </c>
      <c r="P124" s="1" t="s">
        <v>142</v>
      </c>
      <c r="Q124" s="1">
        <v>1001013860</v>
      </c>
      <c r="R124" s="1"/>
      <c r="S124" s="1" t="s">
        <v>144</v>
      </c>
      <c r="T124" s="1" t="s">
        <v>145</v>
      </c>
      <c r="U124" s="1" t="s">
        <v>146</v>
      </c>
      <c r="V124" s="1" t="s">
        <v>147</v>
      </c>
      <c r="W124" s="1" t="s">
        <v>148</v>
      </c>
      <c r="X124" s="44">
        <v>0</v>
      </c>
      <c r="Y124" s="44">
        <v>0</v>
      </c>
      <c r="Z124" s="44">
        <v>0</v>
      </c>
      <c r="AA124" s="44">
        <v>0</v>
      </c>
      <c r="AB124" s="44">
        <v>0</v>
      </c>
      <c r="AC124" s="44">
        <v>131668</v>
      </c>
      <c r="AD124" s="45">
        <v>13475300</v>
      </c>
      <c r="AE124" s="45"/>
      <c r="AF124" s="46">
        <v>13475300</v>
      </c>
      <c r="AG124" s="55">
        <f t="shared" si="11"/>
        <v>0</v>
      </c>
      <c r="AH124" s="55">
        <f t="shared" si="12"/>
        <v>0</v>
      </c>
      <c r="AI124" s="55">
        <f t="shared" si="13"/>
        <v>0</v>
      </c>
      <c r="AJ124" s="55">
        <f t="shared" si="9"/>
        <v>13475300</v>
      </c>
    </row>
    <row r="125" spans="1:36" ht="15" customHeight="1">
      <c r="A125" s="1">
        <v>19</v>
      </c>
      <c r="B125" s="1" t="s">
        <v>275</v>
      </c>
      <c r="C125" s="1" t="s">
        <v>276</v>
      </c>
      <c r="D125" s="1" t="s">
        <v>277</v>
      </c>
      <c r="E125" s="1" t="s">
        <v>276</v>
      </c>
      <c r="F125" s="50" t="s">
        <v>658</v>
      </c>
      <c r="G125" s="50" t="s">
        <v>655</v>
      </c>
      <c r="H125" s="50" t="s">
        <v>656</v>
      </c>
      <c r="I125" s="50" t="s">
        <v>665</v>
      </c>
      <c r="J125" s="1" t="s">
        <v>170</v>
      </c>
      <c r="K125" s="1" t="s">
        <v>141</v>
      </c>
      <c r="L125" s="1">
        <v>9085000254</v>
      </c>
      <c r="M125" s="1" t="s">
        <v>51</v>
      </c>
      <c r="N125" s="1">
        <v>43</v>
      </c>
      <c r="O125" s="47" t="str">
        <f t="shared" si="10"/>
        <v>31-60</v>
      </c>
      <c r="P125" s="1" t="s">
        <v>171</v>
      </c>
      <c r="Q125" s="1">
        <v>9081001469</v>
      </c>
      <c r="R125" s="1" t="s">
        <v>278</v>
      </c>
      <c r="S125" s="1" t="s">
        <v>178</v>
      </c>
      <c r="T125" s="1" t="s">
        <v>179</v>
      </c>
      <c r="U125" s="1" t="s">
        <v>146</v>
      </c>
      <c r="V125" s="1" t="s">
        <v>147</v>
      </c>
      <c r="W125" s="1" t="s">
        <v>160</v>
      </c>
      <c r="X125" s="44">
        <v>0</v>
      </c>
      <c r="Y125" s="44">
        <v>21.07</v>
      </c>
      <c r="Z125" s="44">
        <v>0.79</v>
      </c>
      <c r="AA125" s="44">
        <v>0</v>
      </c>
      <c r="AB125" s="44">
        <v>0</v>
      </c>
      <c r="AC125" s="44">
        <v>5329.66</v>
      </c>
      <c r="AD125" s="45">
        <v>6608779</v>
      </c>
      <c r="AE125" s="45"/>
      <c r="AF125" s="46">
        <v>6608779</v>
      </c>
      <c r="AG125" s="55">
        <f t="shared" si="11"/>
        <v>0</v>
      </c>
      <c r="AH125" s="55">
        <f t="shared" si="12"/>
        <v>6608779</v>
      </c>
      <c r="AI125" s="55">
        <f t="shared" si="13"/>
        <v>0</v>
      </c>
      <c r="AJ125" s="55">
        <f t="shared" si="9"/>
        <v>0</v>
      </c>
    </row>
    <row r="126" spans="1:36" ht="15" customHeight="1">
      <c r="A126" s="1">
        <v>20</v>
      </c>
      <c r="B126" s="1" t="s">
        <v>279</v>
      </c>
      <c r="C126" s="1" t="s">
        <v>280</v>
      </c>
      <c r="D126" s="1" t="s">
        <v>182</v>
      </c>
      <c r="E126" s="1" t="s">
        <v>280</v>
      </c>
      <c r="F126" s="50" t="s">
        <v>673</v>
      </c>
      <c r="G126" s="50" t="s">
        <v>655</v>
      </c>
      <c r="H126" s="50" t="s">
        <v>656</v>
      </c>
      <c r="I126" s="50" t="s">
        <v>657</v>
      </c>
      <c r="J126" s="1" t="s">
        <v>153</v>
      </c>
      <c r="K126" s="1" t="s">
        <v>141</v>
      </c>
      <c r="L126" s="1">
        <v>1246</v>
      </c>
      <c r="M126" s="1" t="s">
        <v>52</v>
      </c>
      <c r="N126" s="1">
        <v>655</v>
      </c>
      <c r="O126" s="47" t="str">
        <f t="shared" si="10"/>
        <v>&gt; 91 Days</v>
      </c>
      <c r="P126" s="1" t="s">
        <v>142</v>
      </c>
      <c r="Q126" s="1">
        <v>1001014688</v>
      </c>
      <c r="R126" s="1" t="s">
        <v>281</v>
      </c>
      <c r="S126" s="1" t="s">
        <v>144</v>
      </c>
      <c r="T126" s="1" t="s">
        <v>145</v>
      </c>
      <c r="U126" s="1" t="s">
        <v>146</v>
      </c>
      <c r="V126" s="1" t="s">
        <v>147</v>
      </c>
      <c r="W126" s="1" t="s">
        <v>148</v>
      </c>
      <c r="X126" s="44">
        <v>0</v>
      </c>
      <c r="Y126" s="44">
        <v>0</v>
      </c>
      <c r="Z126" s="44">
        <v>0</v>
      </c>
      <c r="AA126" s="44">
        <v>0</v>
      </c>
      <c r="AB126" s="44">
        <v>0</v>
      </c>
      <c r="AC126" s="44">
        <v>656.25</v>
      </c>
      <c r="AD126" s="45">
        <v>7053375</v>
      </c>
      <c r="AE126" s="45"/>
      <c r="AF126" s="46">
        <v>7053375</v>
      </c>
      <c r="AG126" s="55">
        <f t="shared" si="11"/>
        <v>0</v>
      </c>
      <c r="AH126" s="55">
        <f t="shared" si="12"/>
        <v>0</v>
      </c>
      <c r="AI126" s="55">
        <f t="shared" si="13"/>
        <v>0</v>
      </c>
      <c r="AJ126" s="55">
        <f t="shared" si="9"/>
        <v>7053375</v>
      </c>
    </row>
    <row r="127" spans="1:36" ht="15" customHeight="1">
      <c r="A127" s="1">
        <v>20</v>
      </c>
      <c r="B127" s="1" t="s">
        <v>279</v>
      </c>
      <c r="C127" s="1" t="s">
        <v>280</v>
      </c>
      <c r="D127" s="1" t="s">
        <v>182</v>
      </c>
      <c r="E127" s="1" t="s">
        <v>280</v>
      </c>
      <c r="F127" s="50" t="s">
        <v>673</v>
      </c>
      <c r="G127" s="50" t="s">
        <v>655</v>
      </c>
      <c r="H127" s="50" t="s">
        <v>656</v>
      </c>
      <c r="I127" s="50" t="s">
        <v>657</v>
      </c>
      <c r="J127" s="1" t="s">
        <v>153</v>
      </c>
      <c r="K127" s="1" t="s">
        <v>141</v>
      </c>
      <c r="L127" s="1">
        <v>1261</v>
      </c>
      <c r="M127" s="1" t="s">
        <v>53</v>
      </c>
      <c r="N127" s="1">
        <v>645</v>
      </c>
      <c r="O127" s="47" t="str">
        <f t="shared" si="10"/>
        <v>&gt; 91 Days</v>
      </c>
      <c r="P127" s="1" t="s">
        <v>142</v>
      </c>
      <c r="Q127" s="1">
        <v>1001016353</v>
      </c>
      <c r="R127" s="1" t="s">
        <v>282</v>
      </c>
      <c r="S127" s="1" t="s">
        <v>144</v>
      </c>
      <c r="T127" s="1" t="s">
        <v>145</v>
      </c>
      <c r="U127" s="1" t="s">
        <v>146</v>
      </c>
      <c r="V127" s="1" t="s">
        <v>147</v>
      </c>
      <c r="W127" s="1" t="s">
        <v>148</v>
      </c>
      <c r="X127" s="44">
        <v>0</v>
      </c>
      <c r="Y127" s="44">
        <v>0</v>
      </c>
      <c r="Z127" s="44">
        <v>0</v>
      </c>
      <c r="AA127" s="44">
        <v>0</v>
      </c>
      <c r="AB127" s="44">
        <v>0</v>
      </c>
      <c r="AC127" s="44">
        <v>938</v>
      </c>
      <c r="AD127" s="45">
        <v>10929375</v>
      </c>
      <c r="AE127" s="45"/>
      <c r="AF127" s="46">
        <v>10929375</v>
      </c>
      <c r="AG127" s="55">
        <f t="shared" si="11"/>
        <v>0</v>
      </c>
      <c r="AH127" s="55">
        <f t="shared" si="12"/>
        <v>0</v>
      </c>
      <c r="AI127" s="55">
        <f t="shared" si="13"/>
        <v>0</v>
      </c>
      <c r="AJ127" s="55">
        <f t="shared" si="9"/>
        <v>10929375</v>
      </c>
    </row>
    <row r="128" spans="1:36" ht="15" customHeight="1">
      <c r="A128" s="1">
        <v>20</v>
      </c>
      <c r="B128" s="1" t="s">
        <v>279</v>
      </c>
      <c r="C128" s="1" t="s">
        <v>280</v>
      </c>
      <c r="D128" s="1" t="s">
        <v>182</v>
      </c>
      <c r="E128" s="1" t="s">
        <v>280</v>
      </c>
      <c r="F128" s="50" t="s">
        <v>673</v>
      </c>
      <c r="G128" s="50" t="s">
        <v>655</v>
      </c>
      <c r="H128" s="50" t="s">
        <v>656</v>
      </c>
      <c r="I128" s="50" t="s">
        <v>657</v>
      </c>
      <c r="J128" s="1" t="s">
        <v>140</v>
      </c>
      <c r="K128" s="1" t="s">
        <v>141</v>
      </c>
      <c r="L128" s="1">
        <v>1574</v>
      </c>
      <c r="M128" s="1" t="s">
        <v>54</v>
      </c>
      <c r="N128" s="1">
        <v>529</v>
      </c>
      <c r="O128" s="47" t="str">
        <f t="shared" si="10"/>
        <v>&gt; 91 Days</v>
      </c>
      <c r="P128" s="1" t="s">
        <v>142</v>
      </c>
      <c r="Q128" s="1">
        <v>1001017354</v>
      </c>
      <c r="R128" s="1" t="s">
        <v>283</v>
      </c>
      <c r="S128" s="1" t="s">
        <v>144</v>
      </c>
      <c r="T128" s="1" t="s">
        <v>145</v>
      </c>
      <c r="U128" s="1" t="s">
        <v>146</v>
      </c>
      <c r="V128" s="1" t="s">
        <v>147</v>
      </c>
      <c r="W128" s="1" t="s">
        <v>148</v>
      </c>
      <c r="X128" s="44">
        <v>0</v>
      </c>
      <c r="Y128" s="44">
        <v>0</v>
      </c>
      <c r="Z128" s="44">
        <v>0</v>
      </c>
      <c r="AA128" s="44">
        <v>0</v>
      </c>
      <c r="AB128" s="44">
        <v>0</v>
      </c>
      <c r="AC128" s="44">
        <v>1750</v>
      </c>
      <c r="AD128" s="45">
        <v>21568750</v>
      </c>
      <c r="AE128" s="45"/>
      <c r="AF128" s="46">
        <v>21568750</v>
      </c>
      <c r="AG128" s="55">
        <f t="shared" si="11"/>
        <v>0</v>
      </c>
      <c r="AH128" s="55">
        <f t="shared" si="12"/>
        <v>0</v>
      </c>
      <c r="AI128" s="55">
        <f t="shared" si="13"/>
        <v>0</v>
      </c>
      <c r="AJ128" s="55">
        <f t="shared" si="9"/>
        <v>21568750</v>
      </c>
    </row>
    <row r="129" spans="1:36" ht="15" customHeight="1">
      <c r="A129" s="1">
        <v>20</v>
      </c>
      <c r="B129" s="1" t="s">
        <v>279</v>
      </c>
      <c r="C129" s="1" t="s">
        <v>280</v>
      </c>
      <c r="D129" s="1" t="s">
        <v>182</v>
      </c>
      <c r="E129" s="1" t="s">
        <v>280</v>
      </c>
      <c r="F129" s="50" t="s">
        <v>673</v>
      </c>
      <c r="G129" s="50" t="s">
        <v>655</v>
      </c>
      <c r="H129" s="50" t="s">
        <v>656</v>
      </c>
      <c r="I129" s="50" t="s">
        <v>657</v>
      </c>
      <c r="J129" s="1" t="s">
        <v>140</v>
      </c>
      <c r="K129" s="1" t="s">
        <v>141</v>
      </c>
      <c r="L129" s="1">
        <v>1005000696</v>
      </c>
      <c r="M129" s="1" t="s">
        <v>55</v>
      </c>
      <c r="N129" s="1">
        <v>291</v>
      </c>
      <c r="O129" s="47" t="str">
        <f t="shared" si="10"/>
        <v>&gt; 91 Days</v>
      </c>
      <c r="P129" s="1" t="s">
        <v>142</v>
      </c>
      <c r="Q129" s="1">
        <v>1001019969</v>
      </c>
      <c r="R129" s="1" t="s">
        <v>284</v>
      </c>
      <c r="S129" s="1" t="s">
        <v>144</v>
      </c>
      <c r="T129" s="1" t="s">
        <v>145</v>
      </c>
      <c r="U129" s="1" t="s">
        <v>146</v>
      </c>
      <c r="V129" s="1" t="s">
        <v>147</v>
      </c>
      <c r="W129" s="1" t="s">
        <v>148</v>
      </c>
      <c r="X129" s="44">
        <v>0</v>
      </c>
      <c r="Y129" s="44">
        <v>0</v>
      </c>
      <c r="Z129" s="44">
        <v>0</v>
      </c>
      <c r="AA129" s="44">
        <v>0</v>
      </c>
      <c r="AB129" s="44">
        <v>0</v>
      </c>
      <c r="AC129" s="44">
        <v>787.5</v>
      </c>
      <c r="AD129" s="45">
        <v>12305475</v>
      </c>
      <c r="AE129" s="45"/>
      <c r="AF129" s="46">
        <v>12305475</v>
      </c>
      <c r="AG129" s="55">
        <f t="shared" si="11"/>
        <v>0</v>
      </c>
      <c r="AH129" s="55">
        <f t="shared" si="12"/>
        <v>0</v>
      </c>
      <c r="AI129" s="55">
        <f t="shared" si="13"/>
        <v>0</v>
      </c>
      <c r="AJ129" s="55">
        <f t="shared" si="9"/>
        <v>12305475</v>
      </c>
    </row>
    <row r="130" spans="1:36" ht="15" customHeight="1">
      <c r="A130" s="1">
        <v>20</v>
      </c>
      <c r="B130" s="1" t="s">
        <v>279</v>
      </c>
      <c r="C130" s="1" t="s">
        <v>280</v>
      </c>
      <c r="D130" s="1" t="s">
        <v>182</v>
      </c>
      <c r="E130" s="1" t="s">
        <v>280</v>
      </c>
      <c r="F130" s="50" t="s">
        <v>673</v>
      </c>
      <c r="G130" s="50" t="s">
        <v>655</v>
      </c>
      <c r="H130" s="50" t="s">
        <v>656</v>
      </c>
      <c r="I130" s="50" t="s">
        <v>657</v>
      </c>
      <c r="J130" s="1" t="s">
        <v>140</v>
      </c>
      <c r="K130" s="1" t="s">
        <v>141</v>
      </c>
      <c r="L130" s="1">
        <v>1005000705</v>
      </c>
      <c r="M130" s="1" t="s">
        <v>56</v>
      </c>
      <c r="N130" s="1">
        <v>290</v>
      </c>
      <c r="O130" s="47" t="str">
        <f t="shared" si="10"/>
        <v>&gt; 91 Days</v>
      </c>
      <c r="P130" s="1" t="s">
        <v>142</v>
      </c>
      <c r="Q130" s="1">
        <v>1001020528</v>
      </c>
      <c r="R130" s="1" t="s">
        <v>285</v>
      </c>
      <c r="S130" s="1" t="s">
        <v>144</v>
      </c>
      <c r="T130" s="1" t="s">
        <v>145</v>
      </c>
      <c r="U130" s="1" t="s">
        <v>146</v>
      </c>
      <c r="V130" s="1" t="s">
        <v>147</v>
      </c>
      <c r="W130" s="1" t="s">
        <v>148</v>
      </c>
      <c r="X130" s="44">
        <v>0</v>
      </c>
      <c r="Y130" s="44">
        <v>0</v>
      </c>
      <c r="Z130" s="44">
        <v>0</v>
      </c>
      <c r="AA130" s="44">
        <v>0</v>
      </c>
      <c r="AB130" s="44">
        <v>0</v>
      </c>
      <c r="AC130" s="44">
        <v>2850</v>
      </c>
      <c r="AD130" s="45">
        <v>38081700</v>
      </c>
      <c r="AE130" s="45"/>
      <c r="AF130" s="46">
        <v>38081700</v>
      </c>
      <c r="AG130" s="55">
        <f t="shared" si="11"/>
        <v>0</v>
      </c>
      <c r="AH130" s="55">
        <f t="shared" si="12"/>
        <v>0</v>
      </c>
      <c r="AI130" s="55">
        <f t="shared" si="13"/>
        <v>0</v>
      </c>
      <c r="AJ130" s="55">
        <f t="shared" si="9"/>
        <v>38081700</v>
      </c>
    </row>
    <row r="131" spans="1:36" ht="15" customHeight="1">
      <c r="A131" s="1">
        <v>20</v>
      </c>
      <c r="B131" s="1" t="s">
        <v>279</v>
      </c>
      <c r="C131" s="1" t="s">
        <v>280</v>
      </c>
      <c r="D131" s="1" t="s">
        <v>182</v>
      </c>
      <c r="E131" s="1" t="s">
        <v>280</v>
      </c>
      <c r="F131" s="50" t="s">
        <v>673</v>
      </c>
      <c r="G131" s="50" t="s">
        <v>655</v>
      </c>
      <c r="H131" s="50" t="s">
        <v>656</v>
      </c>
      <c r="I131" s="50" t="s">
        <v>657</v>
      </c>
      <c r="J131" s="1" t="s">
        <v>140</v>
      </c>
      <c r="K131" s="1" t="s">
        <v>141</v>
      </c>
      <c r="L131" s="1">
        <v>1005002348</v>
      </c>
      <c r="M131" s="1" t="s">
        <v>57</v>
      </c>
      <c r="N131" s="1">
        <v>28</v>
      </c>
      <c r="O131" s="47" t="str">
        <f t="shared" si="10"/>
        <v>0-30</v>
      </c>
      <c r="P131" s="1" t="s">
        <v>142</v>
      </c>
      <c r="Q131" s="1">
        <v>1001025203</v>
      </c>
      <c r="R131" s="1" t="s">
        <v>286</v>
      </c>
      <c r="S131" s="1" t="s">
        <v>144</v>
      </c>
      <c r="T131" s="1" t="s">
        <v>145</v>
      </c>
      <c r="U131" s="1" t="s">
        <v>146</v>
      </c>
      <c r="V131" s="1" t="s">
        <v>147</v>
      </c>
      <c r="W131" s="1" t="s">
        <v>148</v>
      </c>
      <c r="X131" s="44">
        <v>5.35</v>
      </c>
      <c r="Y131" s="44">
        <v>0.28000000000000003</v>
      </c>
      <c r="Z131" s="44">
        <v>0</v>
      </c>
      <c r="AA131" s="44">
        <v>0</v>
      </c>
      <c r="AB131" s="44">
        <v>0</v>
      </c>
      <c r="AC131" s="44">
        <v>2187.5</v>
      </c>
      <c r="AD131" s="45">
        <v>31171875</v>
      </c>
      <c r="AE131" s="45"/>
      <c r="AF131" s="46">
        <v>31171875</v>
      </c>
      <c r="AG131" s="55">
        <f t="shared" si="11"/>
        <v>31171875</v>
      </c>
      <c r="AH131" s="55">
        <f t="shared" si="12"/>
        <v>0</v>
      </c>
      <c r="AI131" s="55">
        <f t="shared" si="13"/>
        <v>0</v>
      </c>
      <c r="AJ131" s="55">
        <f t="shared" si="9"/>
        <v>0</v>
      </c>
    </row>
    <row r="132" spans="1:36" ht="15" customHeight="1">
      <c r="A132" s="1">
        <v>20</v>
      </c>
      <c r="B132" s="1" t="s">
        <v>279</v>
      </c>
      <c r="C132" s="1" t="s">
        <v>280</v>
      </c>
      <c r="D132" s="1" t="s">
        <v>182</v>
      </c>
      <c r="E132" s="1" t="s">
        <v>280</v>
      </c>
      <c r="F132" s="50" t="s">
        <v>673</v>
      </c>
      <c r="G132" s="50" t="s">
        <v>655</v>
      </c>
      <c r="H132" s="50" t="s">
        <v>656</v>
      </c>
      <c r="I132" s="50" t="s">
        <v>657</v>
      </c>
      <c r="J132" s="1" t="s">
        <v>140</v>
      </c>
      <c r="K132" s="1" t="s">
        <v>141</v>
      </c>
      <c r="L132" s="1">
        <v>1005002342</v>
      </c>
      <c r="M132" s="1" t="s">
        <v>42</v>
      </c>
      <c r="N132" s="1">
        <v>29</v>
      </c>
      <c r="O132" s="47" t="str">
        <f t="shared" si="10"/>
        <v>0-30</v>
      </c>
      <c r="P132" s="1" t="s">
        <v>142</v>
      </c>
      <c r="Q132" s="1">
        <v>1001025925</v>
      </c>
      <c r="R132" s="1" t="s">
        <v>287</v>
      </c>
      <c r="S132" s="1" t="s">
        <v>144</v>
      </c>
      <c r="T132" s="1" t="s">
        <v>145</v>
      </c>
      <c r="U132" s="1" t="s">
        <v>146</v>
      </c>
      <c r="V132" s="1" t="s">
        <v>147</v>
      </c>
      <c r="W132" s="1" t="s">
        <v>148</v>
      </c>
      <c r="X132" s="44">
        <v>5.92</v>
      </c>
      <c r="Y132" s="44">
        <v>0.33</v>
      </c>
      <c r="Z132" s="44">
        <v>0</v>
      </c>
      <c r="AA132" s="44">
        <v>0</v>
      </c>
      <c r="AB132" s="44">
        <v>0</v>
      </c>
      <c r="AC132" s="44">
        <v>3937.5</v>
      </c>
      <c r="AD132" s="45">
        <v>53069625</v>
      </c>
      <c r="AE132" s="45"/>
      <c r="AF132" s="46">
        <v>53069625</v>
      </c>
      <c r="AG132" s="55">
        <f t="shared" si="11"/>
        <v>53069625</v>
      </c>
      <c r="AH132" s="55">
        <f t="shared" si="12"/>
        <v>0</v>
      </c>
      <c r="AI132" s="55">
        <f t="shared" si="13"/>
        <v>0</v>
      </c>
      <c r="AJ132" s="55">
        <f t="shared" si="9"/>
        <v>0</v>
      </c>
    </row>
    <row r="133" spans="1:36" ht="15" customHeight="1">
      <c r="A133" s="1">
        <v>20</v>
      </c>
      <c r="B133" s="1" t="s">
        <v>279</v>
      </c>
      <c r="C133" s="1" t="s">
        <v>280</v>
      </c>
      <c r="D133" s="1" t="s">
        <v>182</v>
      </c>
      <c r="E133" s="1" t="s">
        <v>280</v>
      </c>
      <c r="F133" s="50" t="s">
        <v>673</v>
      </c>
      <c r="G133" s="50" t="s">
        <v>655</v>
      </c>
      <c r="H133" s="50" t="s">
        <v>656</v>
      </c>
      <c r="I133" s="50" t="s">
        <v>657</v>
      </c>
      <c r="J133" s="1" t="s">
        <v>140</v>
      </c>
      <c r="K133" s="1" t="s">
        <v>141</v>
      </c>
      <c r="L133" s="1">
        <v>1005002340</v>
      </c>
      <c r="M133" s="1" t="s">
        <v>42</v>
      </c>
      <c r="N133" s="1">
        <v>29</v>
      </c>
      <c r="O133" s="47" t="str">
        <f t="shared" si="10"/>
        <v>0-30</v>
      </c>
      <c r="P133" s="1" t="s">
        <v>142</v>
      </c>
      <c r="Q133" s="1">
        <v>1001026192</v>
      </c>
      <c r="R133" s="1" t="s">
        <v>288</v>
      </c>
      <c r="S133" s="1" t="s">
        <v>144</v>
      </c>
      <c r="T133" s="1" t="s">
        <v>145</v>
      </c>
      <c r="U133" s="1" t="s">
        <v>146</v>
      </c>
      <c r="V133" s="1" t="s">
        <v>147</v>
      </c>
      <c r="W133" s="1" t="s">
        <v>148</v>
      </c>
      <c r="X133" s="44">
        <v>5.0599999999999996</v>
      </c>
      <c r="Y133" s="44">
        <v>0.2</v>
      </c>
      <c r="Z133" s="44">
        <v>0</v>
      </c>
      <c r="AA133" s="44">
        <v>0</v>
      </c>
      <c r="AB133" s="44">
        <v>0</v>
      </c>
      <c r="AC133" s="44">
        <v>612.25</v>
      </c>
      <c r="AD133" s="45">
        <v>8303663</v>
      </c>
      <c r="AE133" s="45"/>
      <c r="AF133" s="46">
        <v>8303663</v>
      </c>
      <c r="AG133" s="55">
        <f t="shared" si="11"/>
        <v>8303663</v>
      </c>
      <c r="AH133" s="55">
        <f t="shared" si="12"/>
        <v>0</v>
      </c>
      <c r="AI133" s="55">
        <f t="shared" si="13"/>
        <v>0</v>
      </c>
      <c r="AJ133" s="55">
        <f t="shared" si="9"/>
        <v>0</v>
      </c>
    </row>
    <row r="134" spans="1:36" ht="15" customHeight="1">
      <c r="A134" s="1">
        <v>21</v>
      </c>
      <c r="B134" s="1" t="s">
        <v>289</v>
      </c>
      <c r="C134" s="1" t="s">
        <v>290</v>
      </c>
      <c r="D134" s="1" t="s">
        <v>182</v>
      </c>
      <c r="E134" s="1" t="s">
        <v>290</v>
      </c>
      <c r="F134" s="50" t="s">
        <v>673</v>
      </c>
      <c r="G134" s="50" t="s">
        <v>655</v>
      </c>
      <c r="H134" s="50" t="s">
        <v>656</v>
      </c>
      <c r="I134" s="50" t="s">
        <v>657</v>
      </c>
      <c r="J134" s="1" t="s">
        <v>183</v>
      </c>
      <c r="K134" s="1" t="s">
        <v>141</v>
      </c>
      <c r="L134" s="1">
        <v>414</v>
      </c>
      <c r="M134" s="1" t="s">
        <v>58</v>
      </c>
      <c r="N134" s="1">
        <v>1041</v>
      </c>
      <c r="O134" s="47" t="str">
        <f t="shared" si="10"/>
        <v>&gt; 91 Days</v>
      </c>
      <c r="P134" s="1" t="s">
        <v>142</v>
      </c>
      <c r="Q134" s="1">
        <v>1001006442</v>
      </c>
      <c r="R134" s="1" t="s">
        <v>291</v>
      </c>
      <c r="S134" s="1" t="s">
        <v>144</v>
      </c>
      <c r="T134" s="1" t="s">
        <v>145</v>
      </c>
      <c r="U134" s="1" t="s">
        <v>146</v>
      </c>
      <c r="V134" s="1" t="s">
        <v>147</v>
      </c>
      <c r="W134" s="1" t="s">
        <v>148</v>
      </c>
      <c r="X134" s="44">
        <v>0</v>
      </c>
      <c r="Y134" s="44">
        <v>0</v>
      </c>
      <c r="Z134" s="44">
        <v>0</v>
      </c>
      <c r="AA134" s="44">
        <v>0</v>
      </c>
      <c r="AB134" s="44">
        <v>0</v>
      </c>
      <c r="AC134" s="44">
        <v>18965</v>
      </c>
      <c r="AD134" s="45">
        <v>158227498</v>
      </c>
      <c r="AE134" s="45"/>
      <c r="AF134" s="46">
        <v>158227498</v>
      </c>
      <c r="AG134" s="55">
        <f t="shared" si="11"/>
        <v>0</v>
      </c>
      <c r="AH134" s="55">
        <f t="shared" si="12"/>
        <v>0</v>
      </c>
      <c r="AI134" s="55">
        <f t="shared" si="13"/>
        <v>0</v>
      </c>
      <c r="AJ134" s="55">
        <f t="shared" si="9"/>
        <v>158227498</v>
      </c>
    </row>
    <row r="135" spans="1:36" ht="15" customHeight="1">
      <c r="A135" s="1">
        <v>22</v>
      </c>
      <c r="B135" s="1" t="s">
        <v>292</v>
      </c>
      <c r="C135" s="1" t="s">
        <v>293</v>
      </c>
      <c r="D135" s="1" t="s">
        <v>294</v>
      </c>
      <c r="E135" s="1" t="s">
        <v>293</v>
      </c>
      <c r="F135" s="50" t="s">
        <v>658</v>
      </c>
      <c r="G135" s="50" t="s">
        <v>655</v>
      </c>
      <c r="H135" s="50" t="s">
        <v>656</v>
      </c>
      <c r="I135" s="50" t="s">
        <v>665</v>
      </c>
      <c r="J135" s="1" t="s">
        <v>153</v>
      </c>
      <c r="K135" s="1" t="s">
        <v>141</v>
      </c>
      <c r="L135" s="1">
        <v>9085000058</v>
      </c>
      <c r="M135" s="1" t="s">
        <v>59</v>
      </c>
      <c r="N135" s="1">
        <v>310</v>
      </c>
      <c r="O135" s="47" t="str">
        <f t="shared" si="10"/>
        <v>&gt; 91 Days</v>
      </c>
      <c r="P135" s="1" t="s">
        <v>142</v>
      </c>
      <c r="Q135" s="1">
        <v>9081000854</v>
      </c>
      <c r="R135" s="1" t="s">
        <v>295</v>
      </c>
      <c r="S135" s="1" t="s">
        <v>296</v>
      </c>
      <c r="T135" s="1" t="s">
        <v>297</v>
      </c>
      <c r="U135" s="1" t="s">
        <v>146</v>
      </c>
      <c r="V135" s="1" t="s">
        <v>147</v>
      </c>
      <c r="W135" s="1" t="s">
        <v>160</v>
      </c>
      <c r="X135" s="44">
        <v>52.66</v>
      </c>
      <c r="Y135" s="44">
        <v>2.06</v>
      </c>
      <c r="Z135" s="44">
        <v>0</v>
      </c>
      <c r="AA135" s="44">
        <v>0</v>
      </c>
      <c r="AB135" s="44">
        <v>0</v>
      </c>
      <c r="AC135" s="44">
        <v>1678.99</v>
      </c>
      <c r="AD135" s="45">
        <v>19308374</v>
      </c>
      <c r="AE135" s="45"/>
      <c r="AF135" s="46">
        <v>19308374</v>
      </c>
      <c r="AG135" s="55">
        <f t="shared" si="11"/>
        <v>0</v>
      </c>
      <c r="AH135" s="55">
        <f t="shared" si="12"/>
        <v>0</v>
      </c>
      <c r="AI135" s="55">
        <f t="shared" si="13"/>
        <v>0</v>
      </c>
      <c r="AJ135" s="55">
        <f t="shared" si="9"/>
        <v>19308374</v>
      </c>
    </row>
    <row r="136" spans="1:36" ht="15" customHeight="1">
      <c r="A136" s="1">
        <v>23</v>
      </c>
      <c r="B136" s="1" t="s">
        <v>298</v>
      </c>
      <c r="C136" s="1" t="s">
        <v>299</v>
      </c>
      <c r="D136" s="1" t="s">
        <v>225</v>
      </c>
      <c r="E136" s="1" t="s">
        <v>299</v>
      </c>
      <c r="F136" s="50" t="s">
        <v>658</v>
      </c>
      <c r="G136" s="50" t="s">
        <v>655</v>
      </c>
      <c r="H136" s="50" t="s">
        <v>656</v>
      </c>
      <c r="I136" s="50" t="s">
        <v>657</v>
      </c>
      <c r="J136" s="1" t="s">
        <v>140</v>
      </c>
      <c r="K136" s="1" t="s">
        <v>141</v>
      </c>
      <c r="L136" s="1">
        <v>1365000220</v>
      </c>
      <c r="M136" s="1" t="s">
        <v>31</v>
      </c>
      <c r="N136" s="1">
        <v>18</v>
      </c>
      <c r="O136" s="47" t="str">
        <f t="shared" si="10"/>
        <v>0-30</v>
      </c>
      <c r="P136" s="1" t="s">
        <v>226</v>
      </c>
      <c r="Q136" s="1">
        <v>1361001856</v>
      </c>
      <c r="R136" s="1" t="s">
        <v>300</v>
      </c>
      <c r="S136" s="1" t="s">
        <v>178</v>
      </c>
      <c r="T136" s="1" t="s">
        <v>179</v>
      </c>
      <c r="U136" s="1" t="s">
        <v>146</v>
      </c>
      <c r="V136" s="1" t="s">
        <v>147</v>
      </c>
      <c r="W136" s="1" t="s">
        <v>228</v>
      </c>
      <c r="X136" s="44">
        <v>0</v>
      </c>
      <c r="Y136" s="44">
        <v>20.54</v>
      </c>
      <c r="Z136" s="44">
        <v>0.93</v>
      </c>
      <c r="AA136" s="44">
        <v>0</v>
      </c>
      <c r="AB136" s="44">
        <v>0</v>
      </c>
      <c r="AC136" s="44">
        <v>317.60000000000002</v>
      </c>
      <c r="AD136" s="45">
        <v>260432</v>
      </c>
      <c r="AE136" s="45"/>
      <c r="AF136" s="46">
        <v>260432</v>
      </c>
      <c r="AG136" s="55">
        <f t="shared" si="11"/>
        <v>260432</v>
      </c>
      <c r="AH136" s="55">
        <f t="shared" si="12"/>
        <v>0</v>
      </c>
      <c r="AI136" s="55">
        <f t="shared" si="13"/>
        <v>0</v>
      </c>
      <c r="AJ136" s="55">
        <f t="shared" si="9"/>
        <v>0</v>
      </c>
    </row>
    <row r="137" spans="1:36" ht="15" customHeight="1">
      <c r="A137" s="1">
        <v>24</v>
      </c>
      <c r="B137" s="1" t="s">
        <v>301</v>
      </c>
      <c r="C137" s="1" t="s">
        <v>302</v>
      </c>
      <c r="D137" s="1" t="s">
        <v>0</v>
      </c>
      <c r="E137" s="1" t="s">
        <v>302</v>
      </c>
      <c r="F137" s="50" t="s">
        <v>658</v>
      </c>
      <c r="G137" s="50" t="s">
        <v>655</v>
      </c>
      <c r="H137" s="50" t="s">
        <v>656</v>
      </c>
      <c r="I137" s="50" t="s">
        <v>657</v>
      </c>
      <c r="J137" s="1" t="s">
        <v>140</v>
      </c>
      <c r="K137" s="1" t="s">
        <v>141</v>
      </c>
      <c r="L137" s="1">
        <v>1005002321</v>
      </c>
      <c r="M137" s="1" t="s">
        <v>10</v>
      </c>
      <c r="N137" s="1">
        <v>31</v>
      </c>
      <c r="O137" s="47" t="str">
        <f t="shared" si="10"/>
        <v>31-60</v>
      </c>
      <c r="P137" s="1" t="s">
        <v>142</v>
      </c>
      <c r="Q137" s="1">
        <v>1001027143</v>
      </c>
      <c r="R137" s="1" t="s">
        <v>303</v>
      </c>
      <c r="S137" s="1" t="s">
        <v>144</v>
      </c>
      <c r="T137" s="1" t="s">
        <v>145</v>
      </c>
      <c r="U137" s="1" t="s">
        <v>146</v>
      </c>
      <c r="V137" s="1" t="s">
        <v>147</v>
      </c>
      <c r="W137" s="1" t="s">
        <v>148</v>
      </c>
      <c r="X137" s="44">
        <v>5.16</v>
      </c>
      <c r="Y137" s="44">
        <v>0.23</v>
      </c>
      <c r="Z137" s="44">
        <v>0</v>
      </c>
      <c r="AA137" s="44">
        <v>0</v>
      </c>
      <c r="AB137" s="44">
        <v>0</v>
      </c>
      <c r="AC137" s="44">
        <v>509505</v>
      </c>
      <c r="AD137" s="45">
        <v>57577200</v>
      </c>
      <c r="AE137" s="45"/>
      <c r="AF137" s="46">
        <v>57577200</v>
      </c>
      <c r="AG137" s="55">
        <f t="shared" si="11"/>
        <v>0</v>
      </c>
      <c r="AH137" s="55">
        <f t="shared" si="12"/>
        <v>57577200</v>
      </c>
      <c r="AI137" s="55">
        <f t="shared" si="13"/>
        <v>0</v>
      </c>
      <c r="AJ137" s="55">
        <f t="shared" si="9"/>
        <v>0</v>
      </c>
    </row>
    <row r="138" spans="1:36" ht="15" customHeight="1">
      <c r="A138" s="1">
        <v>24</v>
      </c>
      <c r="B138" s="1" t="s">
        <v>301</v>
      </c>
      <c r="C138" s="1" t="s">
        <v>302</v>
      </c>
      <c r="D138" s="1" t="s">
        <v>0</v>
      </c>
      <c r="E138" s="1" t="s">
        <v>302</v>
      </c>
      <c r="F138" s="50" t="s">
        <v>658</v>
      </c>
      <c r="G138" s="50" t="s">
        <v>655</v>
      </c>
      <c r="H138" s="50" t="s">
        <v>656</v>
      </c>
      <c r="I138" s="50" t="s">
        <v>657</v>
      </c>
      <c r="J138" s="1" t="s">
        <v>153</v>
      </c>
      <c r="K138" s="1" t="s">
        <v>141</v>
      </c>
      <c r="L138" s="1">
        <v>1005002374</v>
      </c>
      <c r="M138" s="1" t="s">
        <v>60</v>
      </c>
      <c r="N138" s="1">
        <v>21</v>
      </c>
      <c r="O138" s="47" t="str">
        <f t="shared" si="10"/>
        <v>0-30</v>
      </c>
      <c r="P138" s="1" t="s">
        <v>142</v>
      </c>
      <c r="Q138" s="1">
        <v>1001027298</v>
      </c>
      <c r="R138" s="1" t="s">
        <v>304</v>
      </c>
      <c r="S138" s="1" t="s">
        <v>144</v>
      </c>
      <c r="T138" s="1" t="s">
        <v>145</v>
      </c>
      <c r="U138" s="1" t="s">
        <v>146</v>
      </c>
      <c r="V138" s="1" t="s">
        <v>147</v>
      </c>
      <c r="W138" s="1" t="s">
        <v>148</v>
      </c>
      <c r="X138" s="44">
        <v>5.49</v>
      </c>
      <c r="Y138" s="44">
        <v>0.25</v>
      </c>
      <c r="Z138" s="44">
        <v>0</v>
      </c>
      <c r="AA138" s="44">
        <v>0</v>
      </c>
      <c r="AB138" s="44">
        <v>0</v>
      </c>
      <c r="AC138" s="44">
        <v>661939</v>
      </c>
      <c r="AD138" s="45">
        <v>106367200</v>
      </c>
      <c r="AE138" s="45"/>
      <c r="AF138" s="46">
        <v>106367200</v>
      </c>
      <c r="AG138" s="55">
        <f t="shared" si="11"/>
        <v>106367200</v>
      </c>
      <c r="AH138" s="55">
        <f t="shared" si="12"/>
        <v>0</v>
      </c>
      <c r="AI138" s="55">
        <f t="shared" si="13"/>
        <v>0</v>
      </c>
      <c r="AJ138" s="55">
        <f t="shared" ref="AJ138:AJ201" si="14">IF($O138="&gt; 91 Days",$AF138,0)</f>
        <v>0</v>
      </c>
    </row>
    <row r="139" spans="1:36" ht="15" customHeight="1">
      <c r="A139" s="1">
        <v>24</v>
      </c>
      <c r="B139" s="1" t="s">
        <v>301</v>
      </c>
      <c r="C139" s="1" t="s">
        <v>302</v>
      </c>
      <c r="D139" s="1" t="s">
        <v>0</v>
      </c>
      <c r="E139" s="1" t="s">
        <v>302</v>
      </c>
      <c r="F139" s="50" t="s">
        <v>658</v>
      </c>
      <c r="G139" s="50" t="s">
        <v>655</v>
      </c>
      <c r="H139" s="50" t="s">
        <v>656</v>
      </c>
      <c r="I139" s="50" t="s">
        <v>657</v>
      </c>
      <c r="J139" s="1" t="s">
        <v>140</v>
      </c>
      <c r="K139" s="1" t="s">
        <v>141</v>
      </c>
      <c r="L139" s="1">
        <v>1005002470</v>
      </c>
      <c r="M139" s="1" t="s">
        <v>28</v>
      </c>
      <c r="N139" s="1">
        <v>8</v>
      </c>
      <c r="O139" s="47" t="str">
        <f t="shared" si="10"/>
        <v>0-30</v>
      </c>
      <c r="P139" s="1" t="s">
        <v>142</v>
      </c>
      <c r="Q139" s="1">
        <v>1001027479</v>
      </c>
      <c r="R139" s="1" t="s">
        <v>305</v>
      </c>
      <c r="S139" s="1" t="s">
        <v>144</v>
      </c>
      <c r="T139" s="1" t="s">
        <v>145</v>
      </c>
      <c r="U139" s="1" t="s">
        <v>146</v>
      </c>
      <c r="V139" s="1" t="s">
        <v>147</v>
      </c>
      <c r="W139" s="1" t="s">
        <v>148</v>
      </c>
      <c r="X139" s="44">
        <v>5.08</v>
      </c>
      <c r="Y139" s="44">
        <v>0.21</v>
      </c>
      <c r="Z139" s="44">
        <v>0</v>
      </c>
      <c r="AA139" s="44">
        <v>0</v>
      </c>
      <c r="AB139" s="44">
        <v>0</v>
      </c>
      <c r="AC139" s="44">
        <v>75562</v>
      </c>
      <c r="AD139" s="45">
        <v>7556200</v>
      </c>
      <c r="AE139" s="45"/>
      <c r="AF139" s="46">
        <v>7556200</v>
      </c>
      <c r="AG139" s="55">
        <f t="shared" si="11"/>
        <v>7556200</v>
      </c>
      <c r="AH139" s="55">
        <f t="shared" si="12"/>
        <v>0</v>
      </c>
      <c r="AI139" s="55">
        <f t="shared" si="13"/>
        <v>0</v>
      </c>
      <c r="AJ139" s="55">
        <f t="shared" si="14"/>
        <v>0</v>
      </c>
    </row>
    <row r="140" spans="1:36" ht="15" customHeight="1">
      <c r="A140" s="1">
        <v>25</v>
      </c>
      <c r="B140" s="1" t="s">
        <v>306</v>
      </c>
      <c r="C140" s="1" t="s">
        <v>307</v>
      </c>
      <c r="D140" s="1" t="s">
        <v>252</v>
      </c>
      <c r="E140" s="1" t="s">
        <v>307</v>
      </c>
      <c r="F140" s="50" t="s">
        <v>658</v>
      </c>
      <c r="G140" s="50" t="s">
        <v>655</v>
      </c>
      <c r="H140" s="50" t="s">
        <v>656</v>
      </c>
      <c r="I140" s="50" t="s">
        <v>657</v>
      </c>
      <c r="J140" s="1" t="s">
        <v>153</v>
      </c>
      <c r="K140" s="1" t="s">
        <v>141</v>
      </c>
      <c r="L140" s="1">
        <v>1005002146</v>
      </c>
      <c r="M140" s="1" t="s">
        <v>61</v>
      </c>
      <c r="N140" s="1">
        <v>53</v>
      </c>
      <c r="O140" s="47" t="str">
        <f t="shared" si="10"/>
        <v>31-60</v>
      </c>
      <c r="P140" s="1" t="s">
        <v>142</v>
      </c>
      <c r="Q140" s="1">
        <v>1001026977</v>
      </c>
      <c r="R140" s="1" t="s">
        <v>308</v>
      </c>
      <c r="S140" s="1" t="s">
        <v>144</v>
      </c>
      <c r="T140" s="1" t="s">
        <v>145</v>
      </c>
      <c r="U140" s="1" t="s">
        <v>146</v>
      </c>
      <c r="V140" s="1" t="s">
        <v>147</v>
      </c>
      <c r="W140" s="1" t="s">
        <v>148</v>
      </c>
      <c r="X140" s="44">
        <v>5.27</v>
      </c>
      <c r="Y140" s="44">
        <v>0.26</v>
      </c>
      <c r="Z140" s="44">
        <v>0</v>
      </c>
      <c r="AA140" s="44">
        <v>0</v>
      </c>
      <c r="AB140" s="44">
        <v>0</v>
      </c>
      <c r="AC140" s="44">
        <v>109453</v>
      </c>
      <c r="AD140" s="45">
        <v>4229575</v>
      </c>
      <c r="AE140" s="45"/>
      <c r="AF140" s="46">
        <v>4229575</v>
      </c>
      <c r="AG140" s="55">
        <f t="shared" si="11"/>
        <v>0</v>
      </c>
      <c r="AH140" s="55">
        <f t="shared" si="12"/>
        <v>4229575</v>
      </c>
      <c r="AI140" s="55">
        <f t="shared" si="13"/>
        <v>0</v>
      </c>
      <c r="AJ140" s="55">
        <f t="shared" si="14"/>
        <v>0</v>
      </c>
    </row>
    <row r="141" spans="1:36" ht="15" customHeight="1">
      <c r="A141" s="1">
        <v>25</v>
      </c>
      <c r="B141" s="1" t="s">
        <v>306</v>
      </c>
      <c r="C141" s="1" t="s">
        <v>307</v>
      </c>
      <c r="D141" s="1" t="s">
        <v>252</v>
      </c>
      <c r="E141" s="1" t="s">
        <v>307</v>
      </c>
      <c r="F141" s="50" t="s">
        <v>658</v>
      </c>
      <c r="G141" s="50" t="s">
        <v>655</v>
      </c>
      <c r="H141" s="50" t="s">
        <v>656</v>
      </c>
      <c r="I141" s="50" t="s">
        <v>657</v>
      </c>
      <c r="J141" s="1" t="s">
        <v>153</v>
      </c>
      <c r="K141" s="1" t="s">
        <v>141</v>
      </c>
      <c r="L141" s="1">
        <v>1005002148</v>
      </c>
      <c r="M141" s="1" t="s">
        <v>62</v>
      </c>
      <c r="N141" s="1">
        <v>52</v>
      </c>
      <c r="O141" s="47" t="str">
        <f t="shared" si="10"/>
        <v>31-60</v>
      </c>
      <c r="P141" s="1" t="s">
        <v>142</v>
      </c>
      <c r="Q141" s="1">
        <v>1001026910</v>
      </c>
      <c r="R141" s="1" t="s">
        <v>309</v>
      </c>
      <c r="S141" s="1" t="s">
        <v>144</v>
      </c>
      <c r="T141" s="1" t="s">
        <v>145</v>
      </c>
      <c r="U141" s="1" t="s">
        <v>146</v>
      </c>
      <c r="V141" s="1" t="s">
        <v>147</v>
      </c>
      <c r="W141" s="1" t="s">
        <v>148</v>
      </c>
      <c r="X141" s="44">
        <v>5.46</v>
      </c>
      <c r="Y141" s="44">
        <v>0.26</v>
      </c>
      <c r="Z141" s="44">
        <v>0</v>
      </c>
      <c r="AA141" s="44">
        <v>0.01</v>
      </c>
      <c r="AB141" s="44">
        <v>0</v>
      </c>
      <c r="AC141" s="44">
        <v>497394</v>
      </c>
      <c r="AD141" s="45">
        <v>26301200</v>
      </c>
      <c r="AE141" s="45"/>
      <c r="AF141" s="46">
        <v>26301200</v>
      </c>
      <c r="AG141" s="55">
        <f t="shared" si="11"/>
        <v>0</v>
      </c>
      <c r="AH141" s="55">
        <f t="shared" si="12"/>
        <v>26301200</v>
      </c>
      <c r="AI141" s="55">
        <f t="shared" si="13"/>
        <v>0</v>
      </c>
      <c r="AJ141" s="55">
        <f t="shared" si="14"/>
        <v>0</v>
      </c>
    </row>
    <row r="142" spans="1:36" ht="15" customHeight="1">
      <c r="A142" s="1">
        <v>25</v>
      </c>
      <c r="B142" s="1" t="s">
        <v>306</v>
      </c>
      <c r="C142" s="1" t="s">
        <v>307</v>
      </c>
      <c r="D142" s="1" t="s">
        <v>252</v>
      </c>
      <c r="E142" s="1" t="s">
        <v>307</v>
      </c>
      <c r="F142" s="50" t="s">
        <v>658</v>
      </c>
      <c r="G142" s="50" t="s">
        <v>655</v>
      </c>
      <c r="H142" s="50" t="s">
        <v>656</v>
      </c>
      <c r="I142" s="50" t="s">
        <v>657</v>
      </c>
      <c r="J142" s="1" t="s">
        <v>140</v>
      </c>
      <c r="K142" s="1" t="s">
        <v>141</v>
      </c>
      <c r="L142" s="1">
        <v>1005002171</v>
      </c>
      <c r="M142" s="1" t="s">
        <v>63</v>
      </c>
      <c r="N142" s="1">
        <v>51</v>
      </c>
      <c r="O142" s="47" t="str">
        <f t="shared" si="10"/>
        <v>31-60</v>
      </c>
      <c r="P142" s="1" t="s">
        <v>142</v>
      </c>
      <c r="Q142" s="1">
        <v>1001026995</v>
      </c>
      <c r="R142" s="1" t="s">
        <v>310</v>
      </c>
      <c r="S142" s="1" t="s">
        <v>144</v>
      </c>
      <c r="T142" s="1" t="s">
        <v>145</v>
      </c>
      <c r="U142" s="1" t="s">
        <v>146</v>
      </c>
      <c r="V142" s="1" t="s">
        <v>147</v>
      </c>
      <c r="W142" s="1" t="s">
        <v>148</v>
      </c>
      <c r="X142" s="44">
        <v>5.23</v>
      </c>
      <c r="Y142" s="44">
        <v>0.27</v>
      </c>
      <c r="Z142" s="44">
        <v>0</v>
      </c>
      <c r="AA142" s="44">
        <v>0</v>
      </c>
      <c r="AB142" s="44">
        <v>0</v>
      </c>
      <c r="AC142" s="44">
        <v>226430</v>
      </c>
      <c r="AD142" s="45">
        <v>7383000</v>
      </c>
      <c r="AE142" s="45"/>
      <c r="AF142" s="46">
        <v>7383000</v>
      </c>
      <c r="AG142" s="55">
        <f t="shared" si="11"/>
        <v>0</v>
      </c>
      <c r="AH142" s="55">
        <f t="shared" si="12"/>
        <v>7383000</v>
      </c>
      <c r="AI142" s="55">
        <f t="shared" si="13"/>
        <v>0</v>
      </c>
      <c r="AJ142" s="55">
        <f t="shared" si="14"/>
        <v>0</v>
      </c>
    </row>
    <row r="143" spans="1:36" ht="15" customHeight="1">
      <c r="A143" s="1">
        <v>25</v>
      </c>
      <c r="B143" s="1" t="s">
        <v>306</v>
      </c>
      <c r="C143" s="1" t="s">
        <v>307</v>
      </c>
      <c r="D143" s="1" t="s">
        <v>252</v>
      </c>
      <c r="E143" s="1" t="s">
        <v>307</v>
      </c>
      <c r="F143" s="50" t="s">
        <v>658</v>
      </c>
      <c r="G143" s="50" t="s">
        <v>655</v>
      </c>
      <c r="H143" s="50" t="s">
        <v>656</v>
      </c>
      <c r="I143" s="50" t="s">
        <v>657</v>
      </c>
      <c r="J143" s="1" t="s">
        <v>140</v>
      </c>
      <c r="K143" s="1" t="s">
        <v>141</v>
      </c>
      <c r="L143" s="1">
        <v>1005002178</v>
      </c>
      <c r="M143" s="1" t="s">
        <v>64</v>
      </c>
      <c r="N143" s="1">
        <v>50</v>
      </c>
      <c r="O143" s="47" t="str">
        <f t="shared" si="10"/>
        <v>31-60</v>
      </c>
      <c r="P143" s="1" t="s">
        <v>142</v>
      </c>
      <c r="Q143" s="1">
        <v>1001026911</v>
      </c>
      <c r="R143" s="1" t="s">
        <v>311</v>
      </c>
      <c r="S143" s="1" t="s">
        <v>144</v>
      </c>
      <c r="T143" s="1" t="s">
        <v>145</v>
      </c>
      <c r="U143" s="1" t="s">
        <v>146</v>
      </c>
      <c r="V143" s="1" t="s">
        <v>147</v>
      </c>
      <c r="W143" s="1" t="s">
        <v>148</v>
      </c>
      <c r="X143" s="44">
        <v>5.34</v>
      </c>
      <c r="Y143" s="44">
        <v>0.28000000000000003</v>
      </c>
      <c r="Z143" s="44">
        <v>0</v>
      </c>
      <c r="AA143" s="44">
        <v>0</v>
      </c>
      <c r="AB143" s="44">
        <v>0</v>
      </c>
      <c r="AC143" s="44">
        <v>497527</v>
      </c>
      <c r="AD143" s="45">
        <v>23072025</v>
      </c>
      <c r="AE143" s="45"/>
      <c r="AF143" s="46">
        <v>23072025</v>
      </c>
      <c r="AG143" s="55">
        <f t="shared" si="11"/>
        <v>0</v>
      </c>
      <c r="AH143" s="55">
        <f t="shared" si="12"/>
        <v>23072025</v>
      </c>
      <c r="AI143" s="55">
        <f t="shared" si="13"/>
        <v>0</v>
      </c>
      <c r="AJ143" s="55">
        <f t="shared" si="14"/>
        <v>0</v>
      </c>
    </row>
    <row r="144" spans="1:36" ht="15" customHeight="1">
      <c r="A144" s="1">
        <v>25</v>
      </c>
      <c r="B144" s="1" t="s">
        <v>306</v>
      </c>
      <c r="C144" s="1" t="s">
        <v>307</v>
      </c>
      <c r="D144" s="1" t="s">
        <v>252</v>
      </c>
      <c r="E144" s="1" t="s">
        <v>307</v>
      </c>
      <c r="F144" s="50" t="s">
        <v>658</v>
      </c>
      <c r="G144" s="50" t="s">
        <v>655</v>
      </c>
      <c r="H144" s="50" t="s">
        <v>656</v>
      </c>
      <c r="I144" s="50" t="s">
        <v>657</v>
      </c>
      <c r="J144" s="1" t="s">
        <v>140</v>
      </c>
      <c r="K144" s="1" t="s">
        <v>141</v>
      </c>
      <c r="L144" s="1">
        <v>1005002295</v>
      </c>
      <c r="M144" s="1" t="s">
        <v>65</v>
      </c>
      <c r="N144" s="1">
        <v>35</v>
      </c>
      <c r="O144" s="47" t="str">
        <f t="shared" si="10"/>
        <v>31-60</v>
      </c>
      <c r="P144" s="1" t="s">
        <v>142</v>
      </c>
      <c r="Q144" s="1">
        <v>1001027287</v>
      </c>
      <c r="R144" s="1" t="s">
        <v>312</v>
      </c>
      <c r="S144" s="1" t="s">
        <v>144</v>
      </c>
      <c r="T144" s="1" t="s">
        <v>145</v>
      </c>
      <c r="U144" s="1" t="s">
        <v>146</v>
      </c>
      <c r="V144" s="1" t="s">
        <v>147</v>
      </c>
      <c r="W144" s="1" t="s">
        <v>148</v>
      </c>
      <c r="X144" s="44">
        <v>5.0999999999999996</v>
      </c>
      <c r="Y144" s="44">
        <v>0.26</v>
      </c>
      <c r="Z144" s="44">
        <v>0</v>
      </c>
      <c r="AA144" s="44">
        <v>0</v>
      </c>
      <c r="AB144" s="44">
        <v>0</v>
      </c>
      <c r="AC144" s="44">
        <v>639234</v>
      </c>
      <c r="AD144" s="45">
        <v>16595100</v>
      </c>
      <c r="AE144" s="45"/>
      <c r="AF144" s="46">
        <v>16595100</v>
      </c>
      <c r="AG144" s="55">
        <f t="shared" si="11"/>
        <v>0</v>
      </c>
      <c r="AH144" s="55">
        <f t="shared" si="12"/>
        <v>16595100</v>
      </c>
      <c r="AI144" s="55">
        <f t="shared" si="13"/>
        <v>0</v>
      </c>
      <c r="AJ144" s="55">
        <f t="shared" si="14"/>
        <v>0</v>
      </c>
    </row>
    <row r="145" spans="1:36" ht="15" customHeight="1">
      <c r="A145" s="1">
        <v>25</v>
      </c>
      <c r="B145" s="1" t="s">
        <v>306</v>
      </c>
      <c r="C145" s="1" t="s">
        <v>307</v>
      </c>
      <c r="D145" s="1" t="s">
        <v>252</v>
      </c>
      <c r="E145" s="1" t="s">
        <v>307</v>
      </c>
      <c r="F145" s="50" t="s">
        <v>658</v>
      </c>
      <c r="G145" s="50" t="s">
        <v>655</v>
      </c>
      <c r="H145" s="50" t="s">
        <v>656</v>
      </c>
      <c r="I145" s="50" t="s">
        <v>657</v>
      </c>
      <c r="J145" s="1" t="s">
        <v>140</v>
      </c>
      <c r="K145" s="1" t="s">
        <v>141</v>
      </c>
      <c r="L145" s="1">
        <v>1005002296</v>
      </c>
      <c r="M145" s="1" t="s">
        <v>65</v>
      </c>
      <c r="N145" s="1">
        <v>35</v>
      </c>
      <c r="O145" s="47" t="str">
        <f t="shared" si="10"/>
        <v>31-60</v>
      </c>
      <c r="P145" s="1" t="s">
        <v>142</v>
      </c>
      <c r="Q145" s="1">
        <v>1001027336</v>
      </c>
      <c r="R145" s="1" t="s">
        <v>313</v>
      </c>
      <c r="S145" s="1" t="s">
        <v>144</v>
      </c>
      <c r="T145" s="1" t="s">
        <v>145</v>
      </c>
      <c r="U145" s="1" t="s">
        <v>146</v>
      </c>
      <c r="V145" s="1" t="s">
        <v>147</v>
      </c>
      <c r="W145" s="1" t="s">
        <v>148</v>
      </c>
      <c r="X145" s="44">
        <v>5.15</v>
      </c>
      <c r="Y145" s="44">
        <v>0.24</v>
      </c>
      <c r="Z145" s="44">
        <v>0</v>
      </c>
      <c r="AA145" s="44">
        <v>0</v>
      </c>
      <c r="AB145" s="44">
        <v>0</v>
      </c>
      <c r="AC145" s="44">
        <v>142416</v>
      </c>
      <c r="AD145" s="45">
        <v>3560400</v>
      </c>
      <c r="AE145" s="45"/>
      <c r="AF145" s="46">
        <v>3560400</v>
      </c>
      <c r="AG145" s="55">
        <f t="shared" si="11"/>
        <v>0</v>
      </c>
      <c r="AH145" s="55">
        <f t="shared" si="12"/>
        <v>3560400</v>
      </c>
      <c r="AI145" s="55">
        <f t="shared" si="13"/>
        <v>0</v>
      </c>
      <c r="AJ145" s="55">
        <f t="shared" si="14"/>
        <v>0</v>
      </c>
    </row>
    <row r="146" spans="1:36" ht="15" customHeight="1">
      <c r="A146" s="1">
        <v>25</v>
      </c>
      <c r="B146" s="1" t="s">
        <v>306</v>
      </c>
      <c r="C146" s="1" t="s">
        <v>307</v>
      </c>
      <c r="D146" s="1" t="s">
        <v>252</v>
      </c>
      <c r="E146" s="1" t="s">
        <v>307</v>
      </c>
      <c r="F146" s="50" t="s">
        <v>658</v>
      </c>
      <c r="G146" s="50" t="s">
        <v>655</v>
      </c>
      <c r="H146" s="50" t="s">
        <v>656</v>
      </c>
      <c r="I146" s="50" t="s">
        <v>657</v>
      </c>
      <c r="J146" s="1" t="s">
        <v>140</v>
      </c>
      <c r="K146" s="1" t="s">
        <v>141</v>
      </c>
      <c r="L146" s="1">
        <v>1005002297</v>
      </c>
      <c r="M146" s="1" t="s">
        <v>65</v>
      </c>
      <c r="N146" s="1">
        <v>35</v>
      </c>
      <c r="O146" s="47" t="str">
        <f t="shared" si="10"/>
        <v>31-60</v>
      </c>
      <c r="P146" s="1" t="s">
        <v>142</v>
      </c>
      <c r="Q146" s="1">
        <v>1001027419</v>
      </c>
      <c r="R146" s="1" t="s">
        <v>314</v>
      </c>
      <c r="S146" s="1" t="s">
        <v>144</v>
      </c>
      <c r="T146" s="1" t="s">
        <v>145</v>
      </c>
      <c r="U146" s="1" t="s">
        <v>146</v>
      </c>
      <c r="V146" s="1" t="s">
        <v>147</v>
      </c>
      <c r="W146" s="1" t="s">
        <v>148</v>
      </c>
      <c r="X146" s="44">
        <v>5.13</v>
      </c>
      <c r="Y146" s="44">
        <v>0.22</v>
      </c>
      <c r="Z146" s="44">
        <v>0</v>
      </c>
      <c r="AA146" s="44">
        <v>0</v>
      </c>
      <c r="AB146" s="44">
        <v>0</v>
      </c>
      <c r="AC146" s="44">
        <v>27100</v>
      </c>
      <c r="AD146" s="45">
        <v>677500</v>
      </c>
      <c r="AE146" s="45"/>
      <c r="AF146" s="46">
        <v>677500</v>
      </c>
      <c r="AG146" s="55">
        <f t="shared" si="11"/>
        <v>0</v>
      </c>
      <c r="AH146" s="55">
        <f t="shared" si="12"/>
        <v>677500</v>
      </c>
      <c r="AI146" s="55">
        <f t="shared" si="13"/>
        <v>0</v>
      </c>
      <c r="AJ146" s="55">
        <f t="shared" si="14"/>
        <v>0</v>
      </c>
    </row>
    <row r="147" spans="1:36" ht="15" customHeight="1">
      <c r="A147" s="1">
        <v>25</v>
      </c>
      <c r="B147" s="1" t="s">
        <v>306</v>
      </c>
      <c r="C147" s="1" t="s">
        <v>307</v>
      </c>
      <c r="D147" s="1" t="s">
        <v>252</v>
      </c>
      <c r="E147" s="1" t="s">
        <v>307</v>
      </c>
      <c r="F147" s="50" t="s">
        <v>658</v>
      </c>
      <c r="G147" s="50" t="s">
        <v>655</v>
      </c>
      <c r="H147" s="50" t="s">
        <v>656</v>
      </c>
      <c r="I147" s="50" t="s">
        <v>657</v>
      </c>
      <c r="J147" s="1" t="s">
        <v>153</v>
      </c>
      <c r="K147" s="1" t="s">
        <v>141</v>
      </c>
      <c r="L147" s="1">
        <v>1005002308</v>
      </c>
      <c r="M147" s="1" t="s">
        <v>66</v>
      </c>
      <c r="N147" s="1">
        <v>32</v>
      </c>
      <c r="O147" s="47" t="str">
        <f t="shared" si="10"/>
        <v>31-60</v>
      </c>
      <c r="P147" s="1" t="s">
        <v>142</v>
      </c>
      <c r="Q147" s="1">
        <v>1001027465</v>
      </c>
      <c r="R147" s="1" t="s">
        <v>315</v>
      </c>
      <c r="S147" s="1" t="s">
        <v>144</v>
      </c>
      <c r="T147" s="1" t="s">
        <v>145</v>
      </c>
      <c r="U147" s="1" t="s">
        <v>146</v>
      </c>
      <c r="V147" s="1" t="s">
        <v>147</v>
      </c>
      <c r="W147" s="1" t="s">
        <v>148</v>
      </c>
      <c r="X147" s="44">
        <v>5.17</v>
      </c>
      <c r="Y147" s="44">
        <v>0.25</v>
      </c>
      <c r="Z147" s="44">
        <v>0</v>
      </c>
      <c r="AA147" s="44">
        <v>0</v>
      </c>
      <c r="AB147" s="44">
        <v>0</v>
      </c>
      <c r="AC147" s="44">
        <v>385401</v>
      </c>
      <c r="AD147" s="45">
        <v>12108050</v>
      </c>
      <c r="AE147" s="45"/>
      <c r="AF147" s="46">
        <v>12108050</v>
      </c>
      <c r="AG147" s="55">
        <f t="shared" si="11"/>
        <v>0</v>
      </c>
      <c r="AH147" s="55">
        <f t="shared" si="12"/>
        <v>12108050</v>
      </c>
      <c r="AI147" s="55">
        <f t="shared" si="13"/>
        <v>0</v>
      </c>
      <c r="AJ147" s="55">
        <f t="shared" si="14"/>
        <v>0</v>
      </c>
    </row>
    <row r="148" spans="1:36" ht="15" customHeight="1">
      <c r="A148" s="1">
        <v>25</v>
      </c>
      <c r="B148" s="1" t="s">
        <v>306</v>
      </c>
      <c r="C148" s="1" t="s">
        <v>307</v>
      </c>
      <c r="D148" s="1" t="s">
        <v>252</v>
      </c>
      <c r="E148" s="1" t="s">
        <v>307</v>
      </c>
      <c r="F148" s="50" t="s">
        <v>658</v>
      </c>
      <c r="G148" s="50" t="s">
        <v>655</v>
      </c>
      <c r="H148" s="50" t="s">
        <v>656</v>
      </c>
      <c r="I148" s="50" t="s">
        <v>657</v>
      </c>
      <c r="J148" s="1" t="s">
        <v>153</v>
      </c>
      <c r="K148" s="1" t="s">
        <v>141</v>
      </c>
      <c r="L148" s="1">
        <v>1005002310</v>
      </c>
      <c r="M148" s="1" t="s">
        <v>66</v>
      </c>
      <c r="N148" s="1">
        <v>32</v>
      </c>
      <c r="O148" s="47" t="str">
        <f t="shared" si="10"/>
        <v>31-60</v>
      </c>
      <c r="P148" s="1" t="s">
        <v>142</v>
      </c>
      <c r="Q148" s="1">
        <v>1001027444</v>
      </c>
      <c r="R148" s="1" t="s">
        <v>316</v>
      </c>
      <c r="S148" s="1" t="s">
        <v>144</v>
      </c>
      <c r="T148" s="1" t="s">
        <v>145</v>
      </c>
      <c r="U148" s="1" t="s">
        <v>146</v>
      </c>
      <c r="V148" s="1" t="s">
        <v>147</v>
      </c>
      <c r="W148" s="1" t="s">
        <v>148</v>
      </c>
      <c r="X148" s="44">
        <v>5.2</v>
      </c>
      <c r="Y148" s="44">
        <v>0.26</v>
      </c>
      <c r="Z148" s="44">
        <v>0</v>
      </c>
      <c r="AA148" s="44">
        <v>0</v>
      </c>
      <c r="AB148" s="44">
        <v>0</v>
      </c>
      <c r="AC148" s="44">
        <v>248689</v>
      </c>
      <c r="AD148" s="45">
        <v>8341950</v>
      </c>
      <c r="AE148" s="45"/>
      <c r="AF148" s="46">
        <v>8341950</v>
      </c>
      <c r="AG148" s="55">
        <f t="shared" si="11"/>
        <v>0</v>
      </c>
      <c r="AH148" s="55">
        <f t="shared" si="12"/>
        <v>8341950</v>
      </c>
      <c r="AI148" s="55">
        <f t="shared" si="13"/>
        <v>0</v>
      </c>
      <c r="AJ148" s="55">
        <f t="shared" si="14"/>
        <v>0</v>
      </c>
    </row>
    <row r="149" spans="1:36" ht="15" customHeight="1">
      <c r="A149" s="1">
        <v>26</v>
      </c>
      <c r="B149" s="1" t="s">
        <v>317</v>
      </c>
      <c r="C149" s="1" t="s">
        <v>318</v>
      </c>
      <c r="D149" s="1" t="s">
        <v>319</v>
      </c>
      <c r="E149" s="1" t="s">
        <v>318</v>
      </c>
      <c r="F149" s="50" t="s">
        <v>667</v>
      </c>
      <c r="G149" s="50" t="s">
        <v>655</v>
      </c>
      <c r="H149" s="50" t="s">
        <v>656</v>
      </c>
      <c r="I149" s="50" t="s">
        <v>665</v>
      </c>
      <c r="J149" s="1" t="s">
        <v>183</v>
      </c>
      <c r="K149" s="1" t="s">
        <v>141</v>
      </c>
      <c r="L149" s="1">
        <v>9081000022</v>
      </c>
      <c r="M149" s="1" t="s">
        <v>58</v>
      </c>
      <c r="N149" s="1">
        <v>1041</v>
      </c>
      <c r="O149" s="47" t="str">
        <f t="shared" si="10"/>
        <v>&gt; 91 Days</v>
      </c>
      <c r="P149" s="1" t="s">
        <v>171</v>
      </c>
      <c r="Q149" s="1">
        <v>9081000060</v>
      </c>
      <c r="R149" s="1" t="s">
        <v>320</v>
      </c>
      <c r="S149" s="1" t="s">
        <v>321</v>
      </c>
      <c r="T149" s="1" t="s">
        <v>297</v>
      </c>
      <c r="U149" s="1" t="s">
        <v>146</v>
      </c>
      <c r="V149" s="1" t="s">
        <v>147</v>
      </c>
      <c r="W149" s="1" t="s">
        <v>160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1743</v>
      </c>
      <c r="AD149" s="45">
        <v>38008649</v>
      </c>
      <c r="AE149" s="45"/>
      <c r="AF149" s="46">
        <v>38008649</v>
      </c>
      <c r="AG149" s="55">
        <f t="shared" si="11"/>
        <v>0</v>
      </c>
      <c r="AH149" s="55">
        <f t="shared" si="12"/>
        <v>0</v>
      </c>
      <c r="AI149" s="55">
        <f t="shared" si="13"/>
        <v>0</v>
      </c>
      <c r="AJ149" s="55">
        <f t="shared" si="14"/>
        <v>38008649</v>
      </c>
    </row>
    <row r="150" spans="1:36" ht="15" customHeight="1">
      <c r="A150" s="1">
        <v>26</v>
      </c>
      <c r="B150" s="1" t="s">
        <v>317</v>
      </c>
      <c r="C150" s="1" t="s">
        <v>318</v>
      </c>
      <c r="D150" s="1" t="s">
        <v>319</v>
      </c>
      <c r="E150" s="1" t="s">
        <v>318</v>
      </c>
      <c r="F150" s="50" t="s">
        <v>667</v>
      </c>
      <c r="G150" s="50" t="s">
        <v>655</v>
      </c>
      <c r="H150" s="50" t="s">
        <v>656</v>
      </c>
      <c r="I150" s="50" t="s">
        <v>665</v>
      </c>
      <c r="J150" s="1" t="s">
        <v>153</v>
      </c>
      <c r="K150" s="1" t="s">
        <v>141</v>
      </c>
      <c r="L150" s="1">
        <v>9081000045</v>
      </c>
      <c r="M150" s="1" t="s">
        <v>67</v>
      </c>
      <c r="N150" s="1">
        <v>950</v>
      </c>
      <c r="O150" s="47" t="str">
        <f t="shared" si="10"/>
        <v>&gt; 91 Days</v>
      </c>
      <c r="P150" s="1" t="s">
        <v>171</v>
      </c>
      <c r="Q150" s="1">
        <v>9081000159</v>
      </c>
      <c r="R150" s="1"/>
      <c r="S150" s="1" t="s">
        <v>321</v>
      </c>
      <c r="T150" s="1" t="s">
        <v>297</v>
      </c>
      <c r="U150" s="1" t="s">
        <v>146</v>
      </c>
      <c r="V150" s="1" t="s">
        <v>147</v>
      </c>
      <c r="W150" s="1" t="s">
        <v>160</v>
      </c>
      <c r="X150" s="44">
        <v>0</v>
      </c>
      <c r="Y150" s="44">
        <v>0</v>
      </c>
      <c r="Z150" s="44">
        <v>0</v>
      </c>
      <c r="AA150" s="44">
        <v>0</v>
      </c>
      <c r="AB150" s="44">
        <v>0</v>
      </c>
      <c r="AC150" s="44">
        <v>632</v>
      </c>
      <c r="AD150" s="45">
        <v>11635314</v>
      </c>
      <c r="AE150" s="45"/>
      <c r="AF150" s="46">
        <v>11635314</v>
      </c>
      <c r="AG150" s="55">
        <f t="shared" si="11"/>
        <v>0</v>
      </c>
      <c r="AH150" s="55">
        <f t="shared" si="12"/>
        <v>0</v>
      </c>
      <c r="AI150" s="55">
        <f t="shared" si="13"/>
        <v>0</v>
      </c>
      <c r="AJ150" s="55">
        <f t="shared" si="14"/>
        <v>11635314</v>
      </c>
    </row>
    <row r="151" spans="1:36" ht="15" customHeight="1">
      <c r="A151" s="1">
        <v>27</v>
      </c>
      <c r="B151" s="1" t="s">
        <v>322</v>
      </c>
      <c r="C151" s="1" t="s">
        <v>323</v>
      </c>
      <c r="D151" s="1" t="s">
        <v>324</v>
      </c>
      <c r="E151" s="1" t="s">
        <v>323</v>
      </c>
      <c r="F151" s="50" t="s">
        <v>670</v>
      </c>
      <c r="G151" s="50" t="s">
        <v>664</v>
      </c>
      <c r="H151" s="50" t="s">
        <v>656</v>
      </c>
      <c r="I151" s="50" t="s">
        <v>657</v>
      </c>
      <c r="J151" s="1" t="s">
        <v>140</v>
      </c>
      <c r="K151" s="1" t="s">
        <v>141</v>
      </c>
      <c r="L151" s="1">
        <v>1365000087</v>
      </c>
      <c r="M151" s="1" t="s">
        <v>68</v>
      </c>
      <c r="N151" s="1">
        <v>282</v>
      </c>
      <c r="O151" s="47" t="str">
        <f t="shared" si="10"/>
        <v>&gt; 91 Days</v>
      </c>
      <c r="P151" s="1" t="s">
        <v>226</v>
      </c>
      <c r="Q151" s="1">
        <v>1361001604</v>
      </c>
      <c r="R151" s="1" t="s">
        <v>325</v>
      </c>
      <c r="S151" s="1" t="s">
        <v>178</v>
      </c>
      <c r="T151" s="1" t="s">
        <v>179</v>
      </c>
      <c r="U151" s="1" t="s">
        <v>146</v>
      </c>
      <c r="V151" s="1" t="s">
        <v>147</v>
      </c>
      <c r="W151" s="1" t="s">
        <v>228</v>
      </c>
      <c r="X151" s="44">
        <v>0</v>
      </c>
      <c r="Y151" s="44">
        <v>0</v>
      </c>
      <c r="Z151" s="44">
        <v>0</v>
      </c>
      <c r="AA151" s="44">
        <v>0</v>
      </c>
      <c r="AB151" s="44">
        <v>0</v>
      </c>
      <c r="AC151" s="44">
        <v>85200</v>
      </c>
      <c r="AD151" s="45">
        <v>70716000</v>
      </c>
      <c r="AE151" s="45"/>
      <c r="AF151" s="46">
        <v>70716000</v>
      </c>
      <c r="AG151" s="55">
        <f t="shared" si="11"/>
        <v>0</v>
      </c>
      <c r="AH151" s="55">
        <f t="shared" si="12"/>
        <v>0</v>
      </c>
      <c r="AI151" s="55">
        <f t="shared" si="13"/>
        <v>0</v>
      </c>
      <c r="AJ151" s="55">
        <f t="shared" si="14"/>
        <v>70716000</v>
      </c>
    </row>
    <row r="152" spans="1:36" ht="15" customHeight="1">
      <c r="A152" s="1">
        <v>28</v>
      </c>
      <c r="B152" s="1" t="s">
        <v>326</v>
      </c>
      <c r="C152" s="1" t="s">
        <v>327</v>
      </c>
      <c r="D152" s="1" t="s">
        <v>182</v>
      </c>
      <c r="E152" s="1" t="s">
        <v>327</v>
      </c>
      <c r="F152" s="50" t="s">
        <v>673</v>
      </c>
      <c r="G152" s="50" t="s">
        <v>655</v>
      </c>
      <c r="H152" s="50" t="s">
        <v>656</v>
      </c>
      <c r="I152" s="50" t="s">
        <v>657</v>
      </c>
      <c r="J152" s="1" t="s">
        <v>153</v>
      </c>
      <c r="K152" s="1" t="s">
        <v>141</v>
      </c>
      <c r="L152" s="1">
        <v>9271000098</v>
      </c>
      <c r="M152" s="1" t="s">
        <v>69</v>
      </c>
      <c r="N152" s="1">
        <v>630</v>
      </c>
      <c r="O152" s="47" t="str">
        <f t="shared" si="10"/>
        <v>&gt; 91 Days</v>
      </c>
      <c r="P152" s="1" t="s">
        <v>253</v>
      </c>
      <c r="Q152" s="1">
        <v>1381000575</v>
      </c>
      <c r="R152" s="1" t="s">
        <v>328</v>
      </c>
      <c r="S152" s="1" t="s">
        <v>144</v>
      </c>
      <c r="T152" s="1" t="s">
        <v>145</v>
      </c>
      <c r="U152" s="1" t="s">
        <v>146</v>
      </c>
      <c r="V152" s="1" t="s">
        <v>147</v>
      </c>
      <c r="W152" s="1" t="s">
        <v>255</v>
      </c>
      <c r="X152" s="44">
        <v>0</v>
      </c>
      <c r="Y152" s="44">
        <v>0</v>
      </c>
      <c r="Z152" s="44">
        <v>0</v>
      </c>
      <c r="AA152" s="44">
        <v>0</v>
      </c>
      <c r="AB152" s="44">
        <v>0</v>
      </c>
      <c r="AC152" s="44">
        <v>349.49</v>
      </c>
      <c r="AD152" s="45">
        <v>3766454</v>
      </c>
      <c r="AE152" s="45"/>
      <c r="AF152" s="46">
        <v>3766454</v>
      </c>
      <c r="AG152" s="55">
        <f t="shared" si="11"/>
        <v>0</v>
      </c>
      <c r="AH152" s="55">
        <f t="shared" si="12"/>
        <v>0</v>
      </c>
      <c r="AI152" s="55">
        <f t="shared" si="13"/>
        <v>0</v>
      </c>
      <c r="AJ152" s="55">
        <f t="shared" si="14"/>
        <v>3766454</v>
      </c>
    </row>
    <row r="153" spans="1:36" ht="15" customHeight="1">
      <c r="A153" s="1">
        <v>29</v>
      </c>
      <c r="B153" s="1" t="s">
        <v>329</v>
      </c>
      <c r="C153" s="1" t="s">
        <v>330</v>
      </c>
      <c r="D153" s="1" t="s">
        <v>331</v>
      </c>
      <c r="E153" s="1" t="s">
        <v>330</v>
      </c>
      <c r="F153" s="50" t="s">
        <v>662</v>
      </c>
      <c r="G153" s="50" t="s">
        <v>659</v>
      </c>
      <c r="H153" s="50" t="s">
        <v>656</v>
      </c>
      <c r="I153" s="50" t="s">
        <v>657</v>
      </c>
      <c r="J153" s="1" t="s">
        <v>183</v>
      </c>
      <c r="K153" s="1" t="s">
        <v>141</v>
      </c>
      <c r="L153" s="1">
        <v>1005002366</v>
      </c>
      <c r="M153" s="1" t="s">
        <v>70</v>
      </c>
      <c r="N153" s="1">
        <v>23</v>
      </c>
      <c r="O153" s="47" t="str">
        <f t="shared" si="10"/>
        <v>0-30</v>
      </c>
      <c r="P153" s="1" t="s">
        <v>171</v>
      </c>
      <c r="Q153" s="1">
        <v>1001026360</v>
      </c>
      <c r="R153" s="1" t="s">
        <v>332</v>
      </c>
      <c r="S153" s="1" t="s">
        <v>178</v>
      </c>
      <c r="T153" s="1" t="s">
        <v>179</v>
      </c>
      <c r="U153" s="1" t="s">
        <v>146</v>
      </c>
      <c r="V153" s="1" t="s">
        <v>147</v>
      </c>
      <c r="W153" s="1" t="s">
        <v>148</v>
      </c>
      <c r="X153" s="44">
        <v>0</v>
      </c>
      <c r="Y153" s="44">
        <v>20.68</v>
      </c>
      <c r="Z153" s="44">
        <v>0.84</v>
      </c>
      <c r="AA153" s="44">
        <v>0</v>
      </c>
      <c r="AB153" s="44">
        <v>0</v>
      </c>
      <c r="AC153" s="44">
        <v>1851.09</v>
      </c>
      <c r="AD153" s="45">
        <v>2498973</v>
      </c>
      <c r="AE153" s="45"/>
      <c r="AF153" s="46">
        <v>2498973</v>
      </c>
      <c r="AG153" s="55">
        <f t="shared" si="11"/>
        <v>2498973</v>
      </c>
      <c r="AH153" s="55">
        <f t="shared" si="12"/>
        <v>0</v>
      </c>
      <c r="AI153" s="55">
        <f t="shared" si="13"/>
        <v>0</v>
      </c>
      <c r="AJ153" s="55">
        <f t="shared" si="14"/>
        <v>0</v>
      </c>
    </row>
    <row r="154" spans="1:36" ht="15" customHeight="1">
      <c r="A154" s="1">
        <v>29</v>
      </c>
      <c r="B154" s="1" t="s">
        <v>329</v>
      </c>
      <c r="C154" s="1" t="s">
        <v>330</v>
      </c>
      <c r="D154" s="1" t="s">
        <v>331</v>
      </c>
      <c r="E154" s="1" t="s">
        <v>330</v>
      </c>
      <c r="F154" s="50" t="s">
        <v>668</v>
      </c>
      <c r="G154" s="50" t="s">
        <v>659</v>
      </c>
      <c r="H154" s="50" t="s">
        <v>656</v>
      </c>
      <c r="I154" s="50" t="s">
        <v>665</v>
      </c>
      <c r="J154" s="1" t="s">
        <v>183</v>
      </c>
      <c r="K154" s="1" t="s">
        <v>141</v>
      </c>
      <c r="L154" s="1">
        <v>9145000192</v>
      </c>
      <c r="M154" s="1" t="s">
        <v>47</v>
      </c>
      <c r="N154" s="1">
        <v>25</v>
      </c>
      <c r="O154" s="47" t="str">
        <f t="shared" si="10"/>
        <v>0-30</v>
      </c>
      <c r="P154" s="1" t="s">
        <v>171</v>
      </c>
      <c r="Q154" s="1">
        <v>9141001837</v>
      </c>
      <c r="R154" s="1" t="s">
        <v>333</v>
      </c>
      <c r="S154" s="1" t="s">
        <v>334</v>
      </c>
      <c r="T154" s="1" t="s">
        <v>297</v>
      </c>
      <c r="U154" s="1" t="s">
        <v>146</v>
      </c>
      <c r="V154" s="1" t="s">
        <v>147</v>
      </c>
      <c r="W154" s="1" t="s">
        <v>162</v>
      </c>
      <c r="X154" s="44">
        <v>35.549999999999997</v>
      </c>
      <c r="Y154" s="44">
        <v>1.26</v>
      </c>
      <c r="Z154" s="44">
        <v>0</v>
      </c>
      <c r="AA154" s="44">
        <v>0</v>
      </c>
      <c r="AB154" s="44">
        <v>0</v>
      </c>
      <c r="AC154" s="44">
        <v>27560</v>
      </c>
      <c r="AD154" s="45">
        <v>2756000</v>
      </c>
      <c r="AE154" s="45">
        <v>303160</v>
      </c>
      <c r="AF154" s="46">
        <v>3059160</v>
      </c>
      <c r="AG154" s="55">
        <f t="shared" si="11"/>
        <v>3059160</v>
      </c>
      <c r="AH154" s="55">
        <f t="shared" si="12"/>
        <v>0</v>
      </c>
      <c r="AI154" s="55">
        <f t="shared" si="13"/>
        <v>0</v>
      </c>
      <c r="AJ154" s="55">
        <f t="shared" si="14"/>
        <v>0</v>
      </c>
    </row>
    <row r="155" spans="1:36" ht="15" customHeight="1">
      <c r="A155" s="1">
        <v>29</v>
      </c>
      <c r="B155" s="1" t="s">
        <v>329</v>
      </c>
      <c r="C155" s="1" t="s">
        <v>330</v>
      </c>
      <c r="D155" s="1" t="s">
        <v>331</v>
      </c>
      <c r="E155" s="1" t="s">
        <v>330</v>
      </c>
      <c r="F155" s="50" t="s">
        <v>668</v>
      </c>
      <c r="G155" s="50" t="s">
        <v>659</v>
      </c>
      <c r="H155" s="50" t="s">
        <v>656</v>
      </c>
      <c r="I155" s="50" t="s">
        <v>665</v>
      </c>
      <c r="J155" s="1" t="s">
        <v>183</v>
      </c>
      <c r="K155" s="1" t="s">
        <v>141</v>
      </c>
      <c r="L155" s="1">
        <v>9145000193</v>
      </c>
      <c r="M155" s="1" t="s">
        <v>47</v>
      </c>
      <c r="N155" s="1">
        <v>25</v>
      </c>
      <c r="O155" s="47" t="str">
        <f t="shared" si="10"/>
        <v>0-30</v>
      </c>
      <c r="P155" s="1" t="s">
        <v>171</v>
      </c>
      <c r="Q155" s="1">
        <v>9141001837</v>
      </c>
      <c r="R155" s="1" t="s">
        <v>333</v>
      </c>
      <c r="S155" s="1" t="s">
        <v>334</v>
      </c>
      <c r="T155" s="1" t="s">
        <v>297</v>
      </c>
      <c r="U155" s="1" t="s">
        <v>146</v>
      </c>
      <c r="V155" s="1" t="s">
        <v>147</v>
      </c>
      <c r="W155" s="1" t="s">
        <v>162</v>
      </c>
      <c r="X155" s="44">
        <v>34.049999999999997</v>
      </c>
      <c r="Y155" s="44">
        <v>1.75</v>
      </c>
      <c r="Z155" s="44">
        <v>0</v>
      </c>
      <c r="AA155" s="44">
        <v>0</v>
      </c>
      <c r="AB155" s="44">
        <v>0</v>
      </c>
      <c r="AC155" s="44">
        <v>75.78</v>
      </c>
      <c r="AD155" s="45">
        <v>947250</v>
      </c>
      <c r="AE155" s="45">
        <v>104197.5</v>
      </c>
      <c r="AF155" s="46">
        <v>1051447.5</v>
      </c>
      <c r="AG155" s="55">
        <f t="shared" si="11"/>
        <v>1051447.5</v>
      </c>
      <c r="AH155" s="55">
        <f t="shared" si="12"/>
        <v>0</v>
      </c>
      <c r="AI155" s="55">
        <f t="shared" si="13"/>
        <v>0</v>
      </c>
      <c r="AJ155" s="55">
        <f t="shared" si="14"/>
        <v>0</v>
      </c>
    </row>
    <row r="156" spans="1:36" ht="15" customHeight="1">
      <c r="A156" s="1">
        <v>29</v>
      </c>
      <c r="B156" s="1" t="s">
        <v>329</v>
      </c>
      <c r="C156" s="1" t="s">
        <v>330</v>
      </c>
      <c r="D156" s="1" t="s">
        <v>331</v>
      </c>
      <c r="E156" s="1" t="s">
        <v>330</v>
      </c>
      <c r="F156" s="50" t="s">
        <v>668</v>
      </c>
      <c r="G156" s="50" t="s">
        <v>659</v>
      </c>
      <c r="H156" s="50" t="s">
        <v>656</v>
      </c>
      <c r="I156" s="50" t="s">
        <v>665</v>
      </c>
      <c r="J156" s="1" t="s">
        <v>183</v>
      </c>
      <c r="K156" s="1" t="s">
        <v>141</v>
      </c>
      <c r="L156" s="1">
        <v>9145000194</v>
      </c>
      <c r="M156" s="1" t="s">
        <v>47</v>
      </c>
      <c r="N156" s="1">
        <v>25</v>
      </c>
      <c r="O156" s="47" t="str">
        <f t="shared" si="10"/>
        <v>0-30</v>
      </c>
      <c r="P156" s="1" t="s">
        <v>171</v>
      </c>
      <c r="Q156" s="1">
        <v>9141001838</v>
      </c>
      <c r="R156" s="1" t="s">
        <v>335</v>
      </c>
      <c r="S156" s="1" t="s">
        <v>296</v>
      </c>
      <c r="T156" s="1" t="s">
        <v>297</v>
      </c>
      <c r="U156" s="1" t="s">
        <v>146</v>
      </c>
      <c r="V156" s="1" t="s">
        <v>147</v>
      </c>
      <c r="W156" s="1" t="s">
        <v>162</v>
      </c>
      <c r="X156" s="44">
        <v>36.159999999999997</v>
      </c>
      <c r="Y156" s="44">
        <v>1.76</v>
      </c>
      <c r="Z156" s="44">
        <v>0</v>
      </c>
      <c r="AA156" s="44">
        <v>0</v>
      </c>
      <c r="AB156" s="44">
        <v>0</v>
      </c>
      <c r="AC156" s="44">
        <v>48320</v>
      </c>
      <c r="AD156" s="45">
        <v>9664000</v>
      </c>
      <c r="AE156" s="45">
        <v>1063040</v>
      </c>
      <c r="AF156" s="46">
        <v>10727040</v>
      </c>
      <c r="AG156" s="55">
        <f t="shared" si="11"/>
        <v>10727040</v>
      </c>
      <c r="AH156" s="55">
        <f t="shared" si="12"/>
        <v>0</v>
      </c>
      <c r="AI156" s="55">
        <f t="shared" si="13"/>
        <v>0</v>
      </c>
      <c r="AJ156" s="55">
        <f t="shared" si="14"/>
        <v>0</v>
      </c>
    </row>
    <row r="157" spans="1:36" ht="15" customHeight="1">
      <c r="A157" s="1">
        <v>29</v>
      </c>
      <c r="B157" s="1" t="s">
        <v>329</v>
      </c>
      <c r="C157" s="1" t="s">
        <v>330</v>
      </c>
      <c r="D157" s="1" t="s">
        <v>331</v>
      </c>
      <c r="E157" s="1" t="s">
        <v>330</v>
      </c>
      <c r="F157" s="50" t="s">
        <v>668</v>
      </c>
      <c r="G157" s="50" t="s">
        <v>659</v>
      </c>
      <c r="H157" s="50" t="s">
        <v>656</v>
      </c>
      <c r="I157" s="50" t="s">
        <v>665</v>
      </c>
      <c r="J157" s="1" t="s">
        <v>183</v>
      </c>
      <c r="K157" s="1" t="s">
        <v>141</v>
      </c>
      <c r="L157" s="1">
        <v>9145000195</v>
      </c>
      <c r="M157" s="1" t="s">
        <v>47</v>
      </c>
      <c r="N157" s="1">
        <v>25</v>
      </c>
      <c r="O157" s="47" t="str">
        <f t="shared" si="10"/>
        <v>0-30</v>
      </c>
      <c r="P157" s="1" t="s">
        <v>171</v>
      </c>
      <c r="Q157" s="1">
        <v>9141001838</v>
      </c>
      <c r="R157" s="1" t="s">
        <v>335</v>
      </c>
      <c r="S157" s="1" t="s">
        <v>296</v>
      </c>
      <c r="T157" s="1" t="s">
        <v>297</v>
      </c>
      <c r="U157" s="1" t="s">
        <v>146</v>
      </c>
      <c r="V157" s="1" t="s">
        <v>147</v>
      </c>
      <c r="W157" s="1" t="s">
        <v>162</v>
      </c>
      <c r="X157" s="44">
        <v>34.42</v>
      </c>
      <c r="Y157" s="44">
        <v>1.84</v>
      </c>
      <c r="Z157" s="44">
        <v>0</v>
      </c>
      <c r="AA157" s="44">
        <v>0</v>
      </c>
      <c r="AB157" s="44">
        <v>0</v>
      </c>
      <c r="AC157" s="44">
        <v>192.04</v>
      </c>
      <c r="AD157" s="45">
        <v>2400500</v>
      </c>
      <c r="AE157" s="45">
        <v>264055</v>
      </c>
      <c r="AF157" s="46">
        <v>2664555</v>
      </c>
      <c r="AG157" s="55">
        <f t="shared" si="11"/>
        <v>2664555</v>
      </c>
      <c r="AH157" s="55">
        <f t="shared" si="12"/>
        <v>0</v>
      </c>
      <c r="AI157" s="55">
        <f t="shared" si="13"/>
        <v>0</v>
      </c>
      <c r="AJ157" s="55">
        <f t="shared" si="14"/>
        <v>0</v>
      </c>
    </row>
    <row r="158" spans="1:36" ht="15" customHeight="1">
      <c r="A158" s="1">
        <v>30</v>
      </c>
      <c r="B158" s="1" t="s">
        <v>336</v>
      </c>
      <c r="C158" s="1" t="s">
        <v>337</v>
      </c>
      <c r="D158" s="1" t="s">
        <v>338</v>
      </c>
      <c r="E158" s="1" t="s">
        <v>337</v>
      </c>
      <c r="F158" s="50" t="s">
        <v>673</v>
      </c>
      <c r="G158" s="50" t="s">
        <v>655</v>
      </c>
      <c r="H158" s="50" t="s">
        <v>656</v>
      </c>
      <c r="I158" s="50" t="s">
        <v>657</v>
      </c>
      <c r="J158" s="1" t="s">
        <v>183</v>
      </c>
      <c r="K158" s="1" t="s">
        <v>141</v>
      </c>
      <c r="L158" s="1">
        <v>9271000001</v>
      </c>
      <c r="M158" s="1" t="s">
        <v>71</v>
      </c>
      <c r="N158" s="1">
        <v>1046</v>
      </c>
      <c r="O158" s="47" t="str">
        <f t="shared" si="10"/>
        <v>&gt; 91 Days</v>
      </c>
      <c r="P158" s="1" t="s">
        <v>339</v>
      </c>
      <c r="Q158" s="1">
        <v>1351000161</v>
      </c>
      <c r="R158" s="1" t="s">
        <v>340</v>
      </c>
      <c r="S158" s="1" t="s">
        <v>321</v>
      </c>
      <c r="T158" s="1" t="s">
        <v>297</v>
      </c>
      <c r="U158" s="1" t="s">
        <v>146</v>
      </c>
      <c r="V158" s="1" t="s">
        <v>147</v>
      </c>
      <c r="W158" s="1" t="s">
        <v>341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799.15</v>
      </c>
      <c r="AD158" s="45">
        <v>7671840</v>
      </c>
      <c r="AE158" s="45"/>
      <c r="AF158" s="46">
        <v>7671840</v>
      </c>
      <c r="AG158" s="55">
        <f t="shared" si="11"/>
        <v>0</v>
      </c>
      <c r="AH158" s="55">
        <f t="shared" si="12"/>
        <v>0</v>
      </c>
      <c r="AI158" s="55">
        <f t="shared" si="13"/>
        <v>0</v>
      </c>
      <c r="AJ158" s="55">
        <f t="shared" si="14"/>
        <v>7671840</v>
      </c>
    </row>
    <row r="159" spans="1:36" ht="15" customHeight="1">
      <c r="A159" s="1">
        <v>30</v>
      </c>
      <c r="B159" s="1" t="s">
        <v>336</v>
      </c>
      <c r="C159" s="1" t="s">
        <v>337</v>
      </c>
      <c r="D159" s="1" t="s">
        <v>338</v>
      </c>
      <c r="E159" s="1" t="s">
        <v>337</v>
      </c>
      <c r="F159" s="50" t="s">
        <v>673</v>
      </c>
      <c r="G159" s="50" t="s">
        <v>655</v>
      </c>
      <c r="H159" s="50" t="s">
        <v>656</v>
      </c>
      <c r="I159" s="50" t="s">
        <v>657</v>
      </c>
      <c r="J159" s="1" t="s">
        <v>183</v>
      </c>
      <c r="K159" s="1" t="s">
        <v>141</v>
      </c>
      <c r="L159" s="1">
        <v>9271000014</v>
      </c>
      <c r="M159" s="1" t="s">
        <v>71</v>
      </c>
      <c r="N159" s="1">
        <v>1046</v>
      </c>
      <c r="O159" s="47" t="str">
        <f t="shared" si="10"/>
        <v>&gt; 91 Days</v>
      </c>
      <c r="P159" s="1" t="s">
        <v>171</v>
      </c>
      <c r="Q159" s="1">
        <v>1351000222</v>
      </c>
      <c r="R159" s="1" t="s">
        <v>338</v>
      </c>
      <c r="S159" s="1" t="s">
        <v>321</v>
      </c>
      <c r="T159" s="1" t="s">
        <v>297</v>
      </c>
      <c r="U159" s="1" t="s">
        <v>146</v>
      </c>
      <c r="V159" s="1" t="s">
        <v>147</v>
      </c>
      <c r="W159" s="1" t="s">
        <v>341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5138.84</v>
      </c>
      <c r="AD159" s="45">
        <v>51388400</v>
      </c>
      <c r="AE159" s="45"/>
      <c r="AF159" s="46">
        <v>51388400</v>
      </c>
      <c r="AG159" s="55">
        <f t="shared" si="11"/>
        <v>0</v>
      </c>
      <c r="AH159" s="55">
        <f t="shared" si="12"/>
        <v>0</v>
      </c>
      <c r="AI159" s="55">
        <f t="shared" si="13"/>
        <v>0</v>
      </c>
      <c r="AJ159" s="55">
        <f t="shared" si="14"/>
        <v>51388400</v>
      </c>
    </row>
    <row r="160" spans="1:36" ht="15" customHeight="1">
      <c r="A160" s="1">
        <v>31</v>
      </c>
      <c r="B160" s="1" t="s">
        <v>342</v>
      </c>
      <c r="C160" s="1" t="s">
        <v>343</v>
      </c>
      <c r="D160" s="1" t="s">
        <v>182</v>
      </c>
      <c r="E160" s="1" t="s">
        <v>343</v>
      </c>
      <c r="F160" s="50" t="s">
        <v>673</v>
      </c>
      <c r="G160" s="50" t="s">
        <v>655</v>
      </c>
      <c r="H160" s="50" t="s">
        <v>656</v>
      </c>
      <c r="I160" s="50" t="s">
        <v>657</v>
      </c>
      <c r="J160" s="1" t="s">
        <v>153</v>
      </c>
      <c r="K160" s="1" t="s">
        <v>141</v>
      </c>
      <c r="L160" s="1">
        <v>1015000134</v>
      </c>
      <c r="M160" s="1" t="s">
        <v>72</v>
      </c>
      <c r="N160" s="1">
        <v>112</v>
      </c>
      <c r="O160" s="47" t="str">
        <f t="shared" si="10"/>
        <v>&gt; 91 Days</v>
      </c>
      <c r="P160" s="1" t="s">
        <v>344</v>
      </c>
      <c r="Q160" s="1">
        <v>1011002115</v>
      </c>
      <c r="R160" s="1" t="s">
        <v>345</v>
      </c>
      <c r="S160" s="1" t="s">
        <v>144</v>
      </c>
      <c r="T160" s="1" t="s">
        <v>145</v>
      </c>
      <c r="U160" s="1" t="s">
        <v>146</v>
      </c>
      <c r="V160" s="1" t="s">
        <v>147</v>
      </c>
      <c r="W160" s="1" t="s">
        <v>346</v>
      </c>
      <c r="X160" s="44">
        <v>5.6</v>
      </c>
      <c r="Y160" s="44">
        <v>0</v>
      </c>
      <c r="Z160" s="44">
        <v>0</v>
      </c>
      <c r="AA160" s="44">
        <v>0</v>
      </c>
      <c r="AB160" s="44">
        <v>0</v>
      </c>
      <c r="AC160" s="44">
        <v>8542.35</v>
      </c>
      <c r="AD160" s="45">
        <v>116175960</v>
      </c>
      <c r="AE160" s="45"/>
      <c r="AF160" s="46">
        <v>116175960</v>
      </c>
      <c r="AG160" s="55">
        <f t="shared" si="11"/>
        <v>0</v>
      </c>
      <c r="AH160" s="55">
        <f t="shared" si="12"/>
        <v>0</v>
      </c>
      <c r="AI160" s="55">
        <f t="shared" si="13"/>
        <v>0</v>
      </c>
      <c r="AJ160" s="55">
        <f t="shared" si="14"/>
        <v>116175960</v>
      </c>
    </row>
    <row r="161" spans="1:36" ht="15" customHeight="1">
      <c r="A161" s="1">
        <v>32</v>
      </c>
      <c r="B161" s="1" t="s">
        <v>347</v>
      </c>
      <c r="C161" s="1" t="s">
        <v>348</v>
      </c>
      <c r="D161" s="1" t="s">
        <v>349</v>
      </c>
      <c r="E161" s="1" t="s">
        <v>348</v>
      </c>
      <c r="F161" s="51" t="s">
        <v>658</v>
      </c>
      <c r="G161" s="51" t="s">
        <v>655</v>
      </c>
      <c r="H161" s="50" t="s">
        <v>656</v>
      </c>
      <c r="I161" s="50" t="s">
        <v>665</v>
      </c>
      <c r="J161" s="1" t="s">
        <v>140</v>
      </c>
      <c r="K161" s="1" t="s">
        <v>141</v>
      </c>
      <c r="L161" s="1">
        <v>9145000207</v>
      </c>
      <c r="M161" s="1" t="s">
        <v>28</v>
      </c>
      <c r="N161" s="1">
        <v>8</v>
      </c>
      <c r="O161" s="47" t="str">
        <f t="shared" si="10"/>
        <v>0-30</v>
      </c>
      <c r="P161" s="1" t="s">
        <v>142</v>
      </c>
      <c r="Q161" s="1">
        <v>9141001813</v>
      </c>
      <c r="R161" s="1" t="s">
        <v>350</v>
      </c>
      <c r="S161" s="1" t="s">
        <v>351</v>
      </c>
      <c r="T161" s="1" t="s">
        <v>352</v>
      </c>
      <c r="U161" s="1" t="s">
        <v>146</v>
      </c>
      <c r="V161" s="1" t="s">
        <v>147</v>
      </c>
      <c r="W161" s="1" t="s">
        <v>162</v>
      </c>
      <c r="X161" s="44">
        <v>0</v>
      </c>
      <c r="Y161" s="44">
        <v>9.02</v>
      </c>
      <c r="Z161" s="44">
        <v>7.52</v>
      </c>
      <c r="AA161" s="44">
        <v>0</v>
      </c>
      <c r="AB161" s="44">
        <v>0</v>
      </c>
      <c r="AC161" s="44">
        <v>88.74</v>
      </c>
      <c r="AD161" s="45">
        <v>1050682</v>
      </c>
      <c r="AE161" s="45"/>
      <c r="AF161" s="45">
        <v>1050682</v>
      </c>
      <c r="AG161" s="55">
        <f t="shared" si="11"/>
        <v>1050682</v>
      </c>
      <c r="AH161" s="55">
        <f t="shared" si="12"/>
        <v>0</v>
      </c>
      <c r="AI161" s="55">
        <f t="shared" si="13"/>
        <v>0</v>
      </c>
      <c r="AJ161" s="55">
        <f t="shared" si="14"/>
        <v>0</v>
      </c>
    </row>
    <row r="162" spans="1:36" ht="15" customHeight="1">
      <c r="A162" s="1">
        <v>33</v>
      </c>
      <c r="B162" s="1" t="s">
        <v>353</v>
      </c>
      <c r="C162" s="1" t="s">
        <v>354</v>
      </c>
      <c r="D162" s="1" t="s">
        <v>355</v>
      </c>
      <c r="E162" s="1" t="s">
        <v>354</v>
      </c>
      <c r="F162" s="50" t="s">
        <v>662</v>
      </c>
      <c r="G162" s="50" t="s">
        <v>659</v>
      </c>
      <c r="H162" s="50" t="s">
        <v>656</v>
      </c>
      <c r="I162" s="50" t="s">
        <v>657</v>
      </c>
      <c r="J162" s="1" t="s">
        <v>170</v>
      </c>
      <c r="K162" s="1" t="s">
        <v>141</v>
      </c>
      <c r="L162" s="1">
        <v>1005002445</v>
      </c>
      <c r="M162" s="1" t="s">
        <v>12</v>
      </c>
      <c r="N162" s="1">
        <v>10</v>
      </c>
      <c r="O162" s="47" t="str">
        <f t="shared" si="10"/>
        <v>0-30</v>
      </c>
      <c r="P162" s="1" t="s">
        <v>171</v>
      </c>
      <c r="Q162" s="1">
        <v>1001027072</v>
      </c>
      <c r="R162" s="1" t="s">
        <v>356</v>
      </c>
      <c r="S162" s="1" t="s">
        <v>178</v>
      </c>
      <c r="T162" s="1" t="s">
        <v>179</v>
      </c>
      <c r="U162" s="1" t="s">
        <v>146</v>
      </c>
      <c r="V162" s="1" t="s">
        <v>147</v>
      </c>
      <c r="W162" s="1" t="s">
        <v>148</v>
      </c>
      <c r="X162" s="44">
        <v>0</v>
      </c>
      <c r="Y162" s="44">
        <v>20.82</v>
      </c>
      <c r="Z162" s="44">
        <v>0.83</v>
      </c>
      <c r="AA162" s="44">
        <v>0</v>
      </c>
      <c r="AB162" s="44">
        <v>0</v>
      </c>
      <c r="AC162" s="44">
        <v>15732.96</v>
      </c>
      <c r="AD162" s="45">
        <v>15103641</v>
      </c>
      <c r="AE162" s="45"/>
      <c r="AF162" s="46">
        <v>15103641</v>
      </c>
      <c r="AG162" s="55">
        <f t="shared" si="11"/>
        <v>15103641</v>
      </c>
      <c r="AH162" s="55">
        <f t="shared" si="12"/>
        <v>0</v>
      </c>
      <c r="AI162" s="55">
        <f t="shared" si="13"/>
        <v>0</v>
      </c>
      <c r="AJ162" s="55">
        <f t="shared" si="14"/>
        <v>0</v>
      </c>
    </row>
    <row r="163" spans="1:36" ht="15" customHeight="1">
      <c r="A163" s="1">
        <v>34</v>
      </c>
      <c r="B163" s="1" t="s">
        <v>357</v>
      </c>
      <c r="C163" s="1" t="s">
        <v>358</v>
      </c>
      <c r="D163" s="1" t="s">
        <v>359</v>
      </c>
      <c r="E163" s="1" t="s">
        <v>358</v>
      </c>
      <c r="F163" s="50" t="s">
        <v>658</v>
      </c>
      <c r="G163" s="50" t="s">
        <v>655</v>
      </c>
      <c r="H163" s="50" t="s">
        <v>656</v>
      </c>
      <c r="I163" s="50" t="s">
        <v>657</v>
      </c>
      <c r="J163" s="1" t="s">
        <v>153</v>
      </c>
      <c r="K163" s="1" t="s">
        <v>141</v>
      </c>
      <c r="L163" s="1">
        <v>9271000358</v>
      </c>
      <c r="M163" s="1" t="s">
        <v>73</v>
      </c>
      <c r="N163" s="1">
        <v>417</v>
      </c>
      <c r="O163" s="47" t="str">
        <f t="shared" si="10"/>
        <v>&gt; 91 Days</v>
      </c>
      <c r="P163" s="1" t="s">
        <v>253</v>
      </c>
      <c r="Q163" s="1">
        <v>1381001241</v>
      </c>
      <c r="R163" s="1" t="s">
        <v>360</v>
      </c>
      <c r="S163" s="1" t="s">
        <v>144</v>
      </c>
      <c r="T163" s="1" t="s">
        <v>145</v>
      </c>
      <c r="U163" s="1" t="s">
        <v>146</v>
      </c>
      <c r="V163" s="1" t="s">
        <v>147</v>
      </c>
      <c r="W163" s="1" t="s">
        <v>255</v>
      </c>
      <c r="X163" s="44">
        <v>5.3</v>
      </c>
      <c r="Y163" s="44">
        <v>0.36</v>
      </c>
      <c r="Z163" s="44">
        <v>0</v>
      </c>
      <c r="AA163" s="44">
        <v>2.6</v>
      </c>
      <c r="AB163" s="44">
        <v>0</v>
      </c>
      <c r="AC163" s="44">
        <v>28410</v>
      </c>
      <c r="AD163" s="45">
        <v>2841000</v>
      </c>
      <c r="AE163" s="45"/>
      <c r="AF163" s="46">
        <v>2841000</v>
      </c>
      <c r="AG163" s="55">
        <f t="shared" si="11"/>
        <v>0</v>
      </c>
      <c r="AH163" s="55">
        <f t="shared" si="12"/>
        <v>0</v>
      </c>
      <c r="AI163" s="55">
        <f t="shared" si="13"/>
        <v>0</v>
      </c>
      <c r="AJ163" s="55">
        <f t="shared" si="14"/>
        <v>2841000</v>
      </c>
    </row>
    <row r="164" spans="1:36" ht="15" customHeight="1">
      <c r="A164" s="1">
        <v>35</v>
      </c>
      <c r="B164" s="1" t="s">
        <v>361</v>
      </c>
      <c r="C164" s="1" t="s">
        <v>362</v>
      </c>
      <c r="D164" s="1" t="s">
        <v>363</v>
      </c>
      <c r="E164" s="1" t="s">
        <v>362</v>
      </c>
      <c r="F164" s="50" t="s">
        <v>658</v>
      </c>
      <c r="G164" s="50" t="s">
        <v>655</v>
      </c>
      <c r="H164" s="50" t="s">
        <v>656</v>
      </c>
      <c r="I164" s="50" t="s">
        <v>665</v>
      </c>
      <c r="J164" s="1" t="s">
        <v>140</v>
      </c>
      <c r="K164" s="1" t="s">
        <v>141</v>
      </c>
      <c r="L164" s="1">
        <v>9145000209</v>
      </c>
      <c r="M164" s="1" t="s">
        <v>48</v>
      </c>
      <c r="N164" s="1">
        <v>7</v>
      </c>
      <c r="O164" s="47" t="str">
        <f t="shared" si="10"/>
        <v>0-30</v>
      </c>
      <c r="P164" s="1" t="s">
        <v>142</v>
      </c>
      <c r="Q164" s="1">
        <v>9141001810</v>
      </c>
      <c r="R164" s="1" t="s">
        <v>364</v>
      </c>
      <c r="S164" s="1" t="s">
        <v>351</v>
      </c>
      <c r="T164" s="1" t="s">
        <v>352</v>
      </c>
      <c r="U164" s="1" t="s">
        <v>146</v>
      </c>
      <c r="V164" s="1" t="s">
        <v>147</v>
      </c>
      <c r="W164" s="1" t="s">
        <v>162</v>
      </c>
      <c r="X164" s="44">
        <v>5.91</v>
      </c>
      <c r="Y164" s="44">
        <v>6.77</v>
      </c>
      <c r="Z164" s="44">
        <v>7.64</v>
      </c>
      <c r="AA164" s="44">
        <v>0</v>
      </c>
      <c r="AB164" s="44">
        <v>0</v>
      </c>
      <c r="AC164" s="44">
        <v>297.29000000000002</v>
      </c>
      <c r="AD164" s="45">
        <v>3433700</v>
      </c>
      <c r="AE164" s="45"/>
      <c r="AF164" s="46">
        <v>3433700</v>
      </c>
      <c r="AG164" s="55">
        <f t="shared" si="11"/>
        <v>3433700</v>
      </c>
      <c r="AH164" s="55">
        <f t="shared" si="12"/>
        <v>0</v>
      </c>
      <c r="AI164" s="55">
        <f t="shared" si="13"/>
        <v>0</v>
      </c>
      <c r="AJ164" s="55">
        <f t="shared" si="14"/>
        <v>0</v>
      </c>
    </row>
    <row r="165" spans="1:36" ht="15" customHeight="1">
      <c r="A165" s="1">
        <v>36</v>
      </c>
      <c r="B165" s="1" t="s">
        <v>365</v>
      </c>
      <c r="C165" s="1" t="s">
        <v>366</v>
      </c>
      <c r="D165" s="1" t="s">
        <v>367</v>
      </c>
      <c r="E165" s="1" t="s">
        <v>366</v>
      </c>
      <c r="F165" s="53" t="s">
        <v>681</v>
      </c>
      <c r="G165" s="53" t="s">
        <v>664</v>
      </c>
      <c r="H165" s="50" t="s">
        <v>656</v>
      </c>
      <c r="I165" s="50" t="s">
        <v>657</v>
      </c>
      <c r="J165" s="1" t="s">
        <v>183</v>
      </c>
      <c r="K165" s="1" t="s">
        <v>141</v>
      </c>
      <c r="L165" s="1">
        <v>358</v>
      </c>
      <c r="M165" s="1" t="s">
        <v>71</v>
      </c>
      <c r="N165" s="1">
        <v>1046</v>
      </c>
      <c r="O165" s="47" t="str">
        <f t="shared" si="10"/>
        <v>&gt; 91 Days</v>
      </c>
      <c r="P165" s="1" t="s">
        <v>339</v>
      </c>
      <c r="Q165" s="1">
        <v>1001007793</v>
      </c>
      <c r="R165" s="1"/>
      <c r="S165" s="1" t="s">
        <v>321</v>
      </c>
      <c r="T165" s="1" t="s">
        <v>297</v>
      </c>
      <c r="U165" s="1" t="s">
        <v>146</v>
      </c>
      <c r="V165" s="1" t="s">
        <v>147</v>
      </c>
      <c r="W165" s="1" t="s">
        <v>148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24</v>
      </c>
      <c r="AD165" s="45">
        <v>226670</v>
      </c>
      <c r="AE165" s="45"/>
      <c r="AF165" s="46">
        <v>226670</v>
      </c>
      <c r="AG165" s="55">
        <f t="shared" si="11"/>
        <v>0</v>
      </c>
      <c r="AH165" s="55">
        <f t="shared" si="12"/>
        <v>0</v>
      </c>
      <c r="AI165" s="55">
        <f t="shared" si="13"/>
        <v>0</v>
      </c>
      <c r="AJ165" s="55">
        <f t="shared" si="14"/>
        <v>226670</v>
      </c>
    </row>
    <row r="166" spans="1:36" ht="15" customHeight="1">
      <c r="A166" s="1">
        <v>36</v>
      </c>
      <c r="B166" s="1" t="s">
        <v>365</v>
      </c>
      <c r="C166" s="1" t="s">
        <v>366</v>
      </c>
      <c r="D166" s="1" t="s">
        <v>367</v>
      </c>
      <c r="E166" s="1" t="s">
        <v>366</v>
      </c>
      <c r="F166" s="53" t="s">
        <v>681</v>
      </c>
      <c r="G166" s="53" t="s">
        <v>664</v>
      </c>
      <c r="H166" s="50" t="s">
        <v>656</v>
      </c>
      <c r="I166" s="50" t="s">
        <v>657</v>
      </c>
      <c r="J166" s="1" t="s">
        <v>170</v>
      </c>
      <c r="K166" s="1" t="s">
        <v>141</v>
      </c>
      <c r="L166" s="1">
        <v>1942</v>
      </c>
      <c r="M166" s="1" t="s">
        <v>74</v>
      </c>
      <c r="N166" s="1">
        <v>434</v>
      </c>
      <c r="O166" s="47" t="str">
        <f t="shared" si="10"/>
        <v>&gt; 91 Days</v>
      </c>
      <c r="P166" s="1" t="s">
        <v>171</v>
      </c>
      <c r="Q166" s="1">
        <v>1001019556</v>
      </c>
      <c r="R166" s="1" t="s">
        <v>368</v>
      </c>
      <c r="S166" s="1" t="s">
        <v>334</v>
      </c>
      <c r="T166" s="1" t="s">
        <v>297</v>
      </c>
      <c r="U166" s="1" t="s">
        <v>146</v>
      </c>
      <c r="V166" s="1" t="s">
        <v>147</v>
      </c>
      <c r="W166" s="1" t="s">
        <v>148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7363.68</v>
      </c>
      <c r="AD166" s="45">
        <v>94255104</v>
      </c>
      <c r="AE166" s="45"/>
      <c r="AF166" s="46">
        <v>94255104</v>
      </c>
      <c r="AG166" s="55">
        <f t="shared" si="11"/>
        <v>0</v>
      </c>
      <c r="AH166" s="55">
        <f t="shared" si="12"/>
        <v>0</v>
      </c>
      <c r="AI166" s="55">
        <f t="shared" si="13"/>
        <v>0</v>
      </c>
      <c r="AJ166" s="55">
        <f t="shared" si="14"/>
        <v>94255104</v>
      </c>
    </row>
    <row r="167" spans="1:36" ht="15" customHeight="1">
      <c r="A167" s="1">
        <v>36</v>
      </c>
      <c r="B167" s="1" t="s">
        <v>365</v>
      </c>
      <c r="C167" s="1" t="s">
        <v>366</v>
      </c>
      <c r="D167" s="1" t="s">
        <v>367</v>
      </c>
      <c r="E167" s="1" t="s">
        <v>366</v>
      </c>
      <c r="F167" s="53" t="s">
        <v>681</v>
      </c>
      <c r="G167" s="53" t="s">
        <v>664</v>
      </c>
      <c r="H167" s="50" t="s">
        <v>656</v>
      </c>
      <c r="I167" s="50" t="s">
        <v>657</v>
      </c>
      <c r="J167" s="1" t="s">
        <v>170</v>
      </c>
      <c r="K167" s="1" t="s">
        <v>141</v>
      </c>
      <c r="L167" s="1">
        <v>1005000329</v>
      </c>
      <c r="M167" s="1" t="s">
        <v>75</v>
      </c>
      <c r="N167" s="1">
        <v>351</v>
      </c>
      <c r="O167" s="47" t="str">
        <f t="shared" si="10"/>
        <v>&gt; 91 Days</v>
      </c>
      <c r="P167" s="1" t="s">
        <v>171</v>
      </c>
      <c r="Q167" s="1">
        <v>1001020120</v>
      </c>
      <c r="R167" s="1" t="s">
        <v>369</v>
      </c>
      <c r="S167" s="1" t="s">
        <v>334</v>
      </c>
      <c r="T167" s="1" t="s">
        <v>297</v>
      </c>
      <c r="U167" s="1" t="s">
        <v>146</v>
      </c>
      <c r="V167" s="1" t="s">
        <v>147</v>
      </c>
      <c r="W167" s="1" t="s">
        <v>148</v>
      </c>
      <c r="X167" s="44">
        <v>42.76</v>
      </c>
      <c r="Y167" s="44">
        <v>2.14</v>
      </c>
      <c r="Z167" s="44">
        <v>0</v>
      </c>
      <c r="AA167" s="44">
        <v>0</v>
      </c>
      <c r="AB167" s="44">
        <v>0</v>
      </c>
      <c r="AC167" s="44">
        <v>13237.72</v>
      </c>
      <c r="AD167" s="45">
        <v>178047339</v>
      </c>
      <c r="AE167" s="45"/>
      <c r="AF167" s="46">
        <v>178047339</v>
      </c>
      <c r="AG167" s="55">
        <f t="shared" si="11"/>
        <v>0</v>
      </c>
      <c r="AH167" s="55">
        <f t="shared" si="12"/>
        <v>0</v>
      </c>
      <c r="AI167" s="55">
        <f t="shared" si="13"/>
        <v>0</v>
      </c>
      <c r="AJ167" s="55">
        <f t="shared" si="14"/>
        <v>178047339</v>
      </c>
    </row>
    <row r="168" spans="1:36" ht="15" customHeight="1">
      <c r="A168" s="1">
        <v>36</v>
      </c>
      <c r="B168" s="1" t="s">
        <v>365</v>
      </c>
      <c r="C168" s="1" t="s">
        <v>366</v>
      </c>
      <c r="D168" s="1" t="s">
        <v>367</v>
      </c>
      <c r="E168" s="1" t="s">
        <v>366</v>
      </c>
      <c r="F168" s="53" t="s">
        <v>681</v>
      </c>
      <c r="G168" s="53" t="s">
        <v>664</v>
      </c>
      <c r="H168" s="50" t="s">
        <v>656</v>
      </c>
      <c r="I168" s="50" t="s">
        <v>657</v>
      </c>
      <c r="J168" s="1" t="s">
        <v>170</v>
      </c>
      <c r="K168" s="1" t="s">
        <v>141</v>
      </c>
      <c r="L168" s="1">
        <v>1005000330</v>
      </c>
      <c r="M168" s="1" t="s">
        <v>75</v>
      </c>
      <c r="N168" s="1">
        <v>351</v>
      </c>
      <c r="O168" s="47" t="str">
        <f t="shared" ref="O168:O212" si="15">VLOOKUP(N168,$M$1:$N$4,2,TRUE)</f>
        <v>&gt; 91 Days</v>
      </c>
      <c r="P168" s="1" t="s">
        <v>171</v>
      </c>
      <c r="Q168" s="1">
        <v>1001020121</v>
      </c>
      <c r="R168" s="1" t="s">
        <v>370</v>
      </c>
      <c r="S168" s="1" t="s">
        <v>334</v>
      </c>
      <c r="T168" s="1" t="s">
        <v>297</v>
      </c>
      <c r="U168" s="1" t="s">
        <v>146</v>
      </c>
      <c r="V168" s="1" t="s">
        <v>147</v>
      </c>
      <c r="W168" s="1" t="s">
        <v>148</v>
      </c>
      <c r="X168" s="44">
        <v>42.07</v>
      </c>
      <c r="Y168" s="44">
        <v>2.0299999999999998</v>
      </c>
      <c r="Z168" s="44">
        <v>0</v>
      </c>
      <c r="AA168" s="44">
        <v>0</v>
      </c>
      <c r="AB168" s="44">
        <v>0</v>
      </c>
      <c r="AC168" s="44">
        <v>10542.28</v>
      </c>
      <c r="AD168" s="45">
        <v>141793671</v>
      </c>
      <c r="AE168" s="45"/>
      <c r="AF168" s="46">
        <v>141793671</v>
      </c>
      <c r="AG168" s="55">
        <f t="shared" ref="AG168:AG212" si="16">IF($O168="0-30",$AF168,0)</f>
        <v>0</v>
      </c>
      <c r="AH168" s="55">
        <f t="shared" ref="AH168:AH212" si="17">IF($O168="31-60",$AF168,0)</f>
        <v>0</v>
      </c>
      <c r="AI168" s="55">
        <f t="shared" ref="AI168:AI212" si="18">IF($O168="61-90",$AF168,0)</f>
        <v>0</v>
      </c>
      <c r="AJ168" s="55">
        <f t="shared" si="14"/>
        <v>141793671</v>
      </c>
    </row>
    <row r="169" spans="1:36" ht="15" customHeight="1">
      <c r="A169" s="1">
        <v>36</v>
      </c>
      <c r="B169" s="1" t="s">
        <v>365</v>
      </c>
      <c r="C169" s="1" t="s">
        <v>366</v>
      </c>
      <c r="D169" s="1" t="s">
        <v>367</v>
      </c>
      <c r="E169" s="1" t="s">
        <v>366</v>
      </c>
      <c r="F169" s="53" t="s">
        <v>662</v>
      </c>
      <c r="G169" s="53" t="s">
        <v>659</v>
      </c>
      <c r="H169" s="50" t="s">
        <v>656</v>
      </c>
      <c r="I169" s="50" t="s">
        <v>657</v>
      </c>
      <c r="J169" s="1" t="s">
        <v>170</v>
      </c>
      <c r="K169" s="1" t="s">
        <v>141</v>
      </c>
      <c r="L169" s="1">
        <v>1005002371</v>
      </c>
      <c r="M169" s="1" t="s">
        <v>60</v>
      </c>
      <c r="N169" s="1">
        <v>21</v>
      </c>
      <c r="O169" s="47" t="str">
        <f t="shared" si="15"/>
        <v>0-30</v>
      </c>
      <c r="P169" s="1" t="s">
        <v>171</v>
      </c>
      <c r="Q169" s="1">
        <v>1001027388</v>
      </c>
      <c r="R169" s="1" t="s">
        <v>371</v>
      </c>
      <c r="S169" s="1" t="s">
        <v>334</v>
      </c>
      <c r="T169" s="1" t="s">
        <v>297</v>
      </c>
      <c r="U169" s="1" t="s">
        <v>146</v>
      </c>
      <c r="V169" s="1" t="s">
        <v>147</v>
      </c>
      <c r="W169" s="1" t="s">
        <v>148</v>
      </c>
      <c r="X169" s="44">
        <v>35.64</v>
      </c>
      <c r="Y169" s="44">
        <v>1.37</v>
      </c>
      <c r="Z169" s="44">
        <v>0</v>
      </c>
      <c r="AA169" s="44">
        <v>0</v>
      </c>
      <c r="AB169" s="44">
        <v>0</v>
      </c>
      <c r="AC169" s="44">
        <v>2606.27</v>
      </c>
      <c r="AD169" s="45">
        <v>32578375</v>
      </c>
      <c r="AE169" s="45"/>
      <c r="AF169" s="46">
        <v>32578375</v>
      </c>
      <c r="AG169" s="55">
        <f t="shared" si="16"/>
        <v>32578375</v>
      </c>
      <c r="AH169" s="55">
        <f t="shared" si="17"/>
        <v>0</v>
      </c>
      <c r="AI169" s="55">
        <f t="shared" si="18"/>
        <v>0</v>
      </c>
      <c r="AJ169" s="55">
        <f t="shared" si="14"/>
        <v>0</v>
      </c>
    </row>
    <row r="170" spans="1:36" ht="15" customHeight="1">
      <c r="A170" s="1">
        <v>36</v>
      </c>
      <c r="B170" s="1" t="s">
        <v>365</v>
      </c>
      <c r="C170" s="1" t="s">
        <v>366</v>
      </c>
      <c r="D170" s="1" t="s">
        <v>367</v>
      </c>
      <c r="E170" s="1" t="s">
        <v>366</v>
      </c>
      <c r="F170" s="53" t="s">
        <v>681</v>
      </c>
      <c r="G170" s="53" t="s">
        <v>664</v>
      </c>
      <c r="H170" s="50" t="s">
        <v>656</v>
      </c>
      <c r="I170" s="50" t="s">
        <v>657</v>
      </c>
      <c r="J170" s="1" t="s">
        <v>170</v>
      </c>
      <c r="K170" s="1" t="s">
        <v>141</v>
      </c>
      <c r="L170" s="1">
        <v>9091000054</v>
      </c>
      <c r="M170" s="1" t="s">
        <v>34</v>
      </c>
      <c r="N170" s="1">
        <v>437</v>
      </c>
      <c r="O170" s="47" t="str">
        <f t="shared" si="15"/>
        <v>&gt; 91 Days</v>
      </c>
      <c r="P170" s="1" t="s">
        <v>171</v>
      </c>
      <c r="Q170" s="1">
        <v>1601000007</v>
      </c>
      <c r="R170" s="1" t="s">
        <v>372</v>
      </c>
      <c r="S170" s="1" t="s">
        <v>334</v>
      </c>
      <c r="T170" s="1" t="s">
        <v>297</v>
      </c>
      <c r="U170" s="1" t="s">
        <v>146</v>
      </c>
      <c r="V170" s="1" t="s">
        <v>147</v>
      </c>
      <c r="W170" s="1" t="s">
        <v>373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12515.28</v>
      </c>
      <c r="AD170" s="45">
        <v>163950194</v>
      </c>
      <c r="AE170" s="45"/>
      <c r="AF170" s="46">
        <v>163950194</v>
      </c>
      <c r="AG170" s="55">
        <f t="shared" si="16"/>
        <v>0</v>
      </c>
      <c r="AH170" s="55">
        <f t="shared" si="17"/>
        <v>0</v>
      </c>
      <c r="AI170" s="55">
        <f t="shared" si="18"/>
        <v>0</v>
      </c>
      <c r="AJ170" s="55">
        <f t="shared" si="14"/>
        <v>163950194</v>
      </c>
    </row>
    <row r="171" spans="1:36" ht="15" customHeight="1">
      <c r="A171" s="1">
        <v>37</v>
      </c>
      <c r="B171" s="1" t="s">
        <v>374</v>
      </c>
      <c r="C171" s="1" t="s">
        <v>375</v>
      </c>
      <c r="D171" s="1" t="s">
        <v>376</v>
      </c>
      <c r="E171" s="1" t="s">
        <v>375</v>
      </c>
      <c r="F171" s="50" t="s">
        <v>663</v>
      </c>
      <c r="G171" s="50" t="s">
        <v>664</v>
      </c>
      <c r="H171" s="50" t="s">
        <v>656</v>
      </c>
      <c r="I171" s="50" t="s">
        <v>657</v>
      </c>
      <c r="J171" s="1" t="s">
        <v>183</v>
      </c>
      <c r="K171" s="1" t="s">
        <v>141</v>
      </c>
      <c r="L171" s="1">
        <v>373</v>
      </c>
      <c r="M171" s="1" t="s">
        <v>71</v>
      </c>
      <c r="N171" s="1">
        <v>1046</v>
      </c>
      <c r="O171" s="47" t="str">
        <f t="shared" si="15"/>
        <v>&gt; 91 Days</v>
      </c>
      <c r="P171" s="1" t="s">
        <v>171</v>
      </c>
      <c r="Q171" s="1">
        <v>1001008788</v>
      </c>
      <c r="R171" s="1" t="s">
        <v>377</v>
      </c>
      <c r="S171" s="1" t="s">
        <v>321</v>
      </c>
      <c r="T171" s="1" t="s">
        <v>297</v>
      </c>
      <c r="U171" s="1" t="s">
        <v>146</v>
      </c>
      <c r="V171" s="1" t="s">
        <v>147</v>
      </c>
      <c r="W171" s="1" t="s">
        <v>148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1148</v>
      </c>
      <c r="AD171" s="45">
        <v>11821585</v>
      </c>
      <c r="AE171" s="45"/>
      <c r="AF171" s="46">
        <v>11821585</v>
      </c>
      <c r="AG171" s="55">
        <f t="shared" si="16"/>
        <v>0</v>
      </c>
      <c r="AH171" s="55">
        <f t="shared" si="17"/>
        <v>0</v>
      </c>
      <c r="AI171" s="55">
        <f t="shared" si="18"/>
        <v>0</v>
      </c>
      <c r="AJ171" s="55">
        <f t="shared" si="14"/>
        <v>11821585</v>
      </c>
    </row>
    <row r="172" spans="1:36" ht="15" customHeight="1">
      <c r="A172" s="1">
        <v>37</v>
      </c>
      <c r="B172" s="1" t="s">
        <v>374</v>
      </c>
      <c r="C172" s="1" t="s">
        <v>375</v>
      </c>
      <c r="D172" s="1" t="s">
        <v>376</v>
      </c>
      <c r="E172" s="1" t="s">
        <v>375</v>
      </c>
      <c r="F172" s="50" t="s">
        <v>663</v>
      </c>
      <c r="G172" s="50" t="s">
        <v>664</v>
      </c>
      <c r="H172" s="50" t="s">
        <v>656</v>
      </c>
      <c r="I172" s="50" t="s">
        <v>657</v>
      </c>
      <c r="J172" s="1" t="s">
        <v>183</v>
      </c>
      <c r="K172" s="1" t="s">
        <v>141</v>
      </c>
      <c r="L172" s="1">
        <v>399</v>
      </c>
      <c r="M172" s="1" t="s">
        <v>58</v>
      </c>
      <c r="N172" s="1">
        <v>1041</v>
      </c>
      <c r="O172" s="47" t="str">
        <f t="shared" si="15"/>
        <v>&gt; 91 Days</v>
      </c>
      <c r="P172" s="1" t="s">
        <v>171</v>
      </c>
      <c r="Q172" s="1">
        <v>1001009115</v>
      </c>
      <c r="R172" s="1" t="s">
        <v>378</v>
      </c>
      <c r="S172" s="1" t="s">
        <v>321</v>
      </c>
      <c r="T172" s="1" t="s">
        <v>297</v>
      </c>
      <c r="U172" s="1" t="s">
        <v>146</v>
      </c>
      <c r="V172" s="1" t="s">
        <v>147</v>
      </c>
      <c r="W172" s="1" t="s">
        <v>148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670</v>
      </c>
      <c r="AD172" s="45">
        <v>6835183</v>
      </c>
      <c r="AE172" s="45"/>
      <c r="AF172" s="46">
        <v>6835183</v>
      </c>
      <c r="AG172" s="55">
        <f t="shared" si="16"/>
        <v>0</v>
      </c>
      <c r="AH172" s="55">
        <f t="shared" si="17"/>
        <v>0</v>
      </c>
      <c r="AI172" s="55">
        <f t="shared" si="18"/>
        <v>0</v>
      </c>
      <c r="AJ172" s="55">
        <f t="shared" si="14"/>
        <v>6835183</v>
      </c>
    </row>
    <row r="173" spans="1:36" ht="15" customHeight="1">
      <c r="A173" s="1">
        <v>37</v>
      </c>
      <c r="B173" s="1" t="s">
        <v>374</v>
      </c>
      <c r="C173" s="1" t="s">
        <v>375</v>
      </c>
      <c r="D173" s="1" t="s">
        <v>376</v>
      </c>
      <c r="E173" s="1" t="s">
        <v>375</v>
      </c>
      <c r="F173" s="50" t="s">
        <v>663</v>
      </c>
      <c r="G173" s="50" t="s">
        <v>664</v>
      </c>
      <c r="H173" s="50" t="s">
        <v>656</v>
      </c>
      <c r="I173" s="50" t="s">
        <v>657</v>
      </c>
      <c r="J173" s="1" t="s">
        <v>183</v>
      </c>
      <c r="K173" s="1" t="s">
        <v>141</v>
      </c>
      <c r="L173" s="1">
        <v>404</v>
      </c>
      <c r="M173" s="1" t="s">
        <v>58</v>
      </c>
      <c r="N173" s="1">
        <v>1041</v>
      </c>
      <c r="O173" s="47" t="str">
        <f t="shared" si="15"/>
        <v>&gt; 91 Days</v>
      </c>
      <c r="P173" s="1" t="s">
        <v>171</v>
      </c>
      <c r="Q173" s="1">
        <v>1001009556</v>
      </c>
      <c r="R173" s="1" t="s">
        <v>320</v>
      </c>
      <c r="S173" s="1" t="s">
        <v>321</v>
      </c>
      <c r="T173" s="1" t="s">
        <v>297</v>
      </c>
      <c r="U173" s="1" t="s">
        <v>146</v>
      </c>
      <c r="V173" s="1" t="s">
        <v>147</v>
      </c>
      <c r="W173" s="1" t="s">
        <v>148</v>
      </c>
      <c r="X173" s="44">
        <v>0</v>
      </c>
      <c r="Y173" s="44">
        <v>0</v>
      </c>
      <c r="Z173" s="44">
        <v>0</v>
      </c>
      <c r="AA173" s="44">
        <v>0</v>
      </c>
      <c r="AB173" s="44">
        <v>0</v>
      </c>
      <c r="AC173" s="44">
        <v>264</v>
      </c>
      <c r="AD173" s="45">
        <v>2692514</v>
      </c>
      <c r="AE173" s="45"/>
      <c r="AF173" s="46">
        <v>2692514</v>
      </c>
      <c r="AG173" s="55">
        <f t="shared" si="16"/>
        <v>0</v>
      </c>
      <c r="AH173" s="55">
        <f t="shared" si="17"/>
        <v>0</v>
      </c>
      <c r="AI173" s="55">
        <f t="shared" si="18"/>
        <v>0</v>
      </c>
      <c r="AJ173" s="55">
        <f t="shared" si="14"/>
        <v>2692514</v>
      </c>
    </row>
    <row r="174" spans="1:36" ht="15" customHeight="1">
      <c r="A174" s="1">
        <v>37</v>
      </c>
      <c r="B174" s="1" t="s">
        <v>374</v>
      </c>
      <c r="C174" s="1" t="s">
        <v>375</v>
      </c>
      <c r="D174" s="1" t="s">
        <v>376</v>
      </c>
      <c r="E174" s="1" t="s">
        <v>375</v>
      </c>
      <c r="F174" s="50" t="s">
        <v>663</v>
      </c>
      <c r="G174" s="50" t="s">
        <v>664</v>
      </c>
      <c r="H174" s="50" t="s">
        <v>656</v>
      </c>
      <c r="I174" s="50" t="s">
        <v>657</v>
      </c>
      <c r="J174" s="1" t="s">
        <v>153</v>
      </c>
      <c r="K174" s="1" t="s">
        <v>141</v>
      </c>
      <c r="L174" s="1">
        <v>441</v>
      </c>
      <c r="M174" s="1" t="s">
        <v>76</v>
      </c>
      <c r="N174" s="1">
        <v>1027</v>
      </c>
      <c r="O174" s="47" t="str">
        <f t="shared" si="15"/>
        <v>&gt; 91 Days</v>
      </c>
      <c r="P174" s="1" t="s">
        <v>171</v>
      </c>
      <c r="Q174" s="1">
        <v>1001009781</v>
      </c>
      <c r="R174" s="1" t="s">
        <v>379</v>
      </c>
      <c r="S174" s="1" t="s">
        <v>321</v>
      </c>
      <c r="T174" s="1" t="s">
        <v>297</v>
      </c>
      <c r="U174" s="1" t="s">
        <v>146</v>
      </c>
      <c r="V174" s="1" t="s">
        <v>147</v>
      </c>
      <c r="W174" s="1" t="s">
        <v>148</v>
      </c>
      <c r="X174" s="44">
        <v>0</v>
      </c>
      <c r="Y174" s="44">
        <v>0</v>
      </c>
      <c r="Z174" s="44">
        <v>0</v>
      </c>
      <c r="AA174" s="44">
        <v>0</v>
      </c>
      <c r="AB174" s="44">
        <v>0</v>
      </c>
      <c r="AC174" s="44">
        <v>979</v>
      </c>
      <c r="AD174" s="45">
        <v>10180731</v>
      </c>
      <c r="AE174" s="45"/>
      <c r="AF174" s="46">
        <v>10180731</v>
      </c>
      <c r="AG174" s="55">
        <f t="shared" si="16"/>
        <v>0</v>
      </c>
      <c r="AH174" s="55">
        <f t="shared" si="17"/>
        <v>0</v>
      </c>
      <c r="AI174" s="55">
        <f t="shared" si="18"/>
        <v>0</v>
      </c>
      <c r="AJ174" s="55">
        <f t="shared" si="14"/>
        <v>10180731</v>
      </c>
    </row>
    <row r="175" spans="1:36" ht="15" customHeight="1">
      <c r="A175" s="1">
        <v>37</v>
      </c>
      <c r="B175" s="1" t="s">
        <v>374</v>
      </c>
      <c r="C175" s="1" t="s">
        <v>375</v>
      </c>
      <c r="D175" s="1" t="s">
        <v>376</v>
      </c>
      <c r="E175" s="1" t="s">
        <v>375</v>
      </c>
      <c r="F175" s="50" t="s">
        <v>663</v>
      </c>
      <c r="G175" s="50" t="s">
        <v>664</v>
      </c>
      <c r="H175" s="50" t="s">
        <v>656</v>
      </c>
      <c r="I175" s="50" t="s">
        <v>657</v>
      </c>
      <c r="J175" s="1" t="s">
        <v>153</v>
      </c>
      <c r="K175" s="1" t="s">
        <v>141</v>
      </c>
      <c r="L175" s="1">
        <v>579</v>
      </c>
      <c r="M175" s="1" t="s">
        <v>77</v>
      </c>
      <c r="N175" s="1">
        <v>980</v>
      </c>
      <c r="O175" s="47" t="str">
        <f t="shared" si="15"/>
        <v>&gt; 91 Days</v>
      </c>
      <c r="P175" s="1" t="s">
        <v>171</v>
      </c>
      <c r="Q175" s="1">
        <v>1001010075</v>
      </c>
      <c r="R175" s="1" t="s">
        <v>282</v>
      </c>
      <c r="S175" s="1" t="s">
        <v>321</v>
      </c>
      <c r="T175" s="1" t="s">
        <v>297</v>
      </c>
      <c r="U175" s="1" t="s">
        <v>146</v>
      </c>
      <c r="V175" s="1" t="s">
        <v>147</v>
      </c>
      <c r="W175" s="1" t="s">
        <v>148</v>
      </c>
      <c r="X175" s="44">
        <v>0</v>
      </c>
      <c r="Y175" s="44">
        <v>0</v>
      </c>
      <c r="Z175" s="44">
        <v>0</v>
      </c>
      <c r="AA175" s="44">
        <v>0</v>
      </c>
      <c r="AB175" s="44">
        <v>0</v>
      </c>
      <c r="AC175" s="44">
        <v>2066</v>
      </c>
      <c r="AD175" s="45">
        <v>45035848</v>
      </c>
      <c r="AE175" s="45"/>
      <c r="AF175" s="46">
        <v>45035848</v>
      </c>
      <c r="AG175" s="55">
        <f t="shared" si="16"/>
        <v>0</v>
      </c>
      <c r="AH175" s="55">
        <f t="shared" si="17"/>
        <v>0</v>
      </c>
      <c r="AI175" s="55">
        <f t="shared" si="18"/>
        <v>0</v>
      </c>
      <c r="AJ175" s="55">
        <f t="shared" si="14"/>
        <v>45035848</v>
      </c>
    </row>
    <row r="176" spans="1:36" ht="15" customHeight="1">
      <c r="A176" s="1">
        <v>38</v>
      </c>
      <c r="B176" s="1" t="s">
        <v>380</v>
      </c>
      <c r="C176" s="1" t="s">
        <v>381</v>
      </c>
      <c r="D176" s="1" t="s">
        <v>382</v>
      </c>
      <c r="E176" s="1" t="s">
        <v>381</v>
      </c>
      <c r="F176" s="50" t="s">
        <v>663</v>
      </c>
      <c r="G176" s="50" t="s">
        <v>664</v>
      </c>
      <c r="H176" s="50" t="s">
        <v>656</v>
      </c>
      <c r="I176" s="50" t="s">
        <v>657</v>
      </c>
      <c r="J176" s="1" t="s">
        <v>183</v>
      </c>
      <c r="K176" s="1" t="s">
        <v>141</v>
      </c>
      <c r="L176" s="1">
        <v>377</v>
      </c>
      <c r="M176" s="1" t="s">
        <v>71</v>
      </c>
      <c r="N176" s="1">
        <v>1046</v>
      </c>
      <c r="O176" s="47" t="str">
        <f t="shared" si="15"/>
        <v>&gt; 91 Days</v>
      </c>
      <c r="P176" s="1" t="s">
        <v>171</v>
      </c>
      <c r="Q176" s="1">
        <v>1001008980</v>
      </c>
      <c r="R176" s="1" t="s">
        <v>383</v>
      </c>
      <c r="S176" s="1" t="s">
        <v>321</v>
      </c>
      <c r="T176" s="1" t="s">
        <v>297</v>
      </c>
      <c r="U176" s="1" t="s">
        <v>146</v>
      </c>
      <c r="V176" s="1" t="s">
        <v>147</v>
      </c>
      <c r="W176" s="1" t="s">
        <v>148</v>
      </c>
      <c r="X176" s="44">
        <v>0</v>
      </c>
      <c r="Y176" s="44">
        <v>0</v>
      </c>
      <c r="Z176" s="44">
        <v>0</v>
      </c>
      <c r="AA176" s="44">
        <v>0</v>
      </c>
      <c r="AB176" s="44">
        <v>0</v>
      </c>
      <c r="AC176" s="44">
        <v>255</v>
      </c>
      <c r="AD176" s="45">
        <v>2558160</v>
      </c>
      <c r="AE176" s="45"/>
      <c r="AF176" s="46">
        <v>2558160</v>
      </c>
      <c r="AG176" s="55">
        <f t="shared" si="16"/>
        <v>0</v>
      </c>
      <c r="AH176" s="55">
        <f t="shared" si="17"/>
        <v>0</v>
      </c>
      <c r="AI176" s="55">
        <f t="shared" si="18"/>
        <v>0</v>
      </c>
      <c r="AJ176" s="55">
        <f t="shared" si="14"/>
        <v>2558160</v>
      </c>
    </row>
    <row r="177" spans="1:36" ht="15" customHeight="1">
      <c r="A177" s="1">
        <v>39</v>
      </c>
      <c r="B177" s="1" t="s">
        <v>384</v>
      </c>
      <c r="C177" s="1" t="s">
        <v>385</v>
      </c>
      <c r="D177" s="1" t="s">
        <v>386</v>
      </c>
      <c r="E177" s="1" t="s">
        <v>385</v>
      </c>
      <c r="F177" s="50" t="s">
        <v>663</v>
      </c>
      <c r="G177" s="50" t="s">
        <v>664</v>
      </c>
      <c r="H177" s="50" t="s">
        <v>656</v>
      </c>
      <c r="I177" s="50" t="s">
        <v>657</v>
      </c>
      <c r="J177" s="1" t="s">
        <v>183</v>
      </c>
      <c r="K177" s="1" t="s">
        <v>141</v>
      </c>
      <c r="L177" s="1">
        <v>9271000017</v>
      </c>
      <c r="M177" s="1" t="s">
        <v>71</v>
      </c>
      <c r="N177" s="1">
        <v>1046</v>
      </c>
      <c r="O177" s="47" t="str">
        <f t="shared" si="15"/>
        <v>&gt; 91 Days</v>
      </c>
      <c r="P177" s="1" t="s">
        <v>171</v>
      </c>
      <c r="Q177" s="1">
        <v>1351000229</v>
      </c>
      <c r="R177" s="1"/>
      <c r="S177" s="1" t="s">
        <v>321</v>
      </c>
      <c r="T177" s="1" t="s">
        <v>297</v>
      </c>
      <c r="U177" s="1" t="s">
        <v>146</v>
      </c>
      <c r="V177" s="1" t="s">
        <v>147</v>
      </c>
      <c r="W177" s="1" t="s">
        <v>341</v>
      </c>
      <c r="X177" s="44">
        <v>0</v>
      </c>
      <c r="Y177" s="44">
        <v>0</v>
      </c>
      <c r="Z177" s="44">
        <v>0</v>
      </c>
      <c r="AA177" s="44">
        <v>0</v>
      </c>
      <c r="AB177" s="44">
        <v>0</v>
      </c>
      <c r="AC177" s="44">
        <v>365</v>
      </c>
      <c r="AD177" s="45">
        <v>3654840</v>
      </c>
      <c r="AE177" s="45"/>
      <c r="AF177" s="46">
        <v>3654840</v>
      </c>
      <c r="AG177" s="55">
        <f t="shared" si="16"/>
        <v>0</v>
      </c>
      <c r="AH177" s="55">
        <f t="shared" si="17"/>
        <v>0</v>
      </c>
      <c r="AI177" s="55">
        <f t="shared" si="18"/>
        <v>0</v>
      </c>
      <c r="AJ177" s="55">
        <f t="shared" si="14"/>
        <v>3654840</v>
      </c>
    </row>
    <row r="178" spans="1:36" ht="15" customHeight="1">
      <c r="A178" s="1">
        <v>40</v>
      </c>
      <c r="B178" s="1" t="s">
        <v>387</v>
      </c>
      <c r="C178" s="1" t="s">
        <v>388</v>
      </c>
      <c r="D178" s="1" t="s">
        <v>389</v>
      </c>
      <c r="E178" s="1" t="s">
        <v>388</v>
      </c>
      <c r="F178" s="50" t="s">
        <v>663</v>
      </c>
      <c r="G178" s="50" t="s">
        <v>664</v>
      </c>
      <c r="H178" s="50" t="s">
        <v>656</v>
      </c>
      <c r="I178" s="50" t="s">
        <v>657</v>
      </c>
      <c r="J178" s="1" t="s">
        <v>183</v>
      </c>
      <c r="K178" s="1" t="s">
        <v>141</v>
      </c>
      <c r="L178" s="1">
        <v>401</v>
      </c>
      <c r="M178" s="1" t="s">
        <v>58</v>
      </c>
      <c r="N178" s="1">
        <v>1041</v>
      </c>
      <c r="O178" s="47" t="str">
        <f t="shared" si="15"/>
        <v>&gt; 91 Days</v>
      </c>
      <c r="P178" s="1" t="s">
        <v>171</v>
      </c>
      <c r="Q178" s="1">
        <v>1001009172</v>
      </c>
      <c r="R178" s="1" t="s">
        <v>390</v>
      </c>
      <c r="S178" s="1" t="s">
        <v>321</v>
      </c>
      <c r="T178" s="1" t="s">
        <v>297</v>
      </c>
      <c r="U178" s="1" t="s">
        <v>146</v>
      </c>
      <c r="V178" s="1" t="s">
        <v>147</v>
      </c>
      <c r="W178" s="1" t="s">
        <v>148</v>
      </c>
      <c r="X178" s="44">
        <v>0</v>
      </c>
      <c r="Y178" s="44">
        <v>0</v>
      </c>
      <c r="Z178" s="44">
        <v>0</v>
      </c>
      <c r="AA178" s="44">
        <v>0</v>
      </c>
      <c r="AB178" s="44">
        <v>0</v>
      </c>
      <c r="AC178" s="44">
        <v>4486</v>
      </c>
      <c r="AD178" s="45">
        <v>47105730</v>
      </c>
      <c r="AE178" s="45"/>
      <c r="AF178" s="46">
        <v>47105730</v>
      </c>
      <c r="AG178" s="55">
        <f t="shared" si="16"/>
        <v>0</v>
      </c>
      <c r="AH178" s="55">
        <f t="shared" si="17"/>
        <v>0</v>
      </c>
      <c r="AI178" s="55">
        <f t="shared" si="18"/>
        <v>0</v>
      </c>
      <c r="AJ178" s="55">
        <f t="shared" si="14"/>
        <v>47105730</v>
      </c>
    </row>
    <row r="179" spans="1:36" ht="15" customHeight="1">
      <c r="A179" s="1">
        <v>40</v>
      </c>
      <c r="B179" s="1" t="s">
        <v>387</v>
      </c>
      <c r="C179" s="1" t="s">
        <v>388</v>
      </c>
      <c r="D179" s="1" t="s">
        <v>389</v>
      </c>
      <c r="E179" s="1" t="s">
        <v>388</v>
      </c>
      <c r="F179" s="50" t="s">
        <v>663</v>
      </c>
      <c r="G179" s="50" t="s">
        <v>664</v>
      </c>
      <c r="H179" s="50" t="s">
        <v>656</v>
      </c>
      <c r="I179" s="50" t="s">
        <v>657</v>
      </c>
      <c r="J179" s="1" t="s">
        <v>153</v>
      </c>
      <c r="K179" s="1" t="s">
        <v>141</v>
      </c>
      <c r="L179" s="1">
        <v>631</v>
      </c>
      <c r="M179" s="1" t="s">
        <v>67</v>
      </c>
      <c r="N179" s="1">
        <v>950</v>
      </c>
      <c r="O179" s="47" t="str">
        <f t="shared" si="15"/>
        <v>&gt; 91 Days</v>
      </c>
      <c r="P179" s="1" t="s">
        <v>171</v>
      </c>
      <c r="Q179" s="1">
        <v>1001010998</v>
      </c>
      <c r="R179" s="1" t="s">
        <v>320</v>
      </c>
      <c r="S179" s="1" t="s">
        <v>296</v>
      </c>
      <c r="T179" s="1" t="s">
        <v>297</v>
      </c>
      <c r="U179" s="1" t="s">
        <v>146</v>
      </c>
      <c r="V179" s="1" t="s">
        <v>147</v>
      </c>
      <c r="W179" s="1" t="s">
        <v>148</v>
      </c>
      <c r="X179" s="44">
        <v>0</v>
      </c>
      <c r="Y179" s="44">
        <v>0</v>
      </c>
      <c r="Z179" s="44">
        <v>0</v>
      </c>
      <c r="AA179" s="44">
        <v>0</v>
      </c>
      <c r="AB179" s="44">
        <v>0</v>
      </c>
      <c r="AC179" s="44">
        <v>105</v>
      </c>
      <c r="AD179" s="45">
        <v>2009722</v>
      </c>
      <c r="AE179" s="45"/>
      <c r="AF179" s="46">
        <v>2009722</v>
      </c>
      <c r="AG179" s="55">
        <f t="shared" si="16"/>
        <v>0</v>
      </c>
      <c r="AH179" s="55">
        <f t="shared" si="17"/>
        <v>0</v>
      </c>
      <c r="AI179" s="55">
        <f t="shared" si="18"/>
        <v>0</v>
      </c>
      <c r="AJ179" s="55">
        <f t="shared" si="14"/>
        <v>2009722</v>
      </c>
    </row>
    <row r="180" spans="1:36" ht="15" customHeight="1">
      <c r="A180" s="1">
        <v>41</v>
      </c>
      <c r="B180" s="1" t="s">
        <v>391</v>
      </c>
      <c r="C180" s="1" t="s">
        <v>392</v>
      </c>
      <c r="D180" s="1" t="s">
        <v>393</v>
      </c>
      <c r="E180" s="1" t="s">
        <v>392</v>
      </c>
      <c r="F180" s="52" t="s">
        <v>698</v>
      </c>
      <c r="G180" s="52" t="s">
        <v>659</v>
      </c>
      <c r="H180" s="50" t="s">
        <v>656</v>
      </c>
      <c r="I180" s="50" t="s">
        <v>657</v>
      </c>
      <c r="J180" s="1" t="s">
        <v>140</v>
      </c>
      <c r="K180" s="1" t="s">
        <v>141</v>
      </c>
      <c r="L180" s="1">
        <v>9271000184</v>
      </c>
      <c r="M180" s="1" t="s">
        <v>78</v>
      </c>
      <c r="N180" s="1">
        <v>512</v>
      </c>
      <c r="O180" s="47" t="str">
        <f t="shared" si="15"/>
        <v>&gt; 91 Days</v>
      </c>
      <c r="P180" s="1" t="s">
        <v>226</v>
      </c>
      <c r="Q180" s="1">
        <v>1361001393</v>
      </c>
      <c r="R180" s="1" t="s">
        <v>394</v>
      </c>
      <c r="S180" s="1" t="s">
        <v>178</v>
      </c>
      <c r="T180" s="1" t="s">
        <v>179</v>
      </c>
      <c r="U180" s="1" t="s">
        <v>146</v>
      </c>
      <c r="V180" s="1" t="s">
        <v>147</v>
      </c>
      <c r="W180" s="1" t="s">
        <v>228</v>
      </c>
      <c r="X180" s="44">
        <v>0</v>
      </c>
      <c r="Y180" s="44">
        <v>0</v>
      </c>
      <c r="Z180" s="44">
        <v>0</v>
      </c>
      <c r="AA180" s="44">
        <v>0</v>
      </c>
      <c r="AB180" s="44">
        <v>0</v>
      </c>
      <c r="AC180" s="44">
        <v>698.01</v>
      </c>
      <c r="AD180" s="45">
        <v>684045</v>
      </c>
      <c r="AE180" s="45"/>
      <c r="AF180" s="46">
        <v>684045</v>
      </c>
      <c r="AG180" s="55">
        <f t="shared" si="16"/>
        <v>0</v>
      </c>
      <c r="AH180" s="55">
        <f t="shared" si="17"/>
        <v>0</v>
      </c>
      <c r="AI180" s="55">
        <f t="shared" si="18"/>
        <v>0</v>
      </c>
      <c r="AJ180" s="55">
        <f t="shared" si="14"/>
        <v>684045</v>
      </c>
    </row>
    <row r="181" spans="1:36" ht="15" customHeight="1">
      <c r="A181" s="1">
        <v>41</v>
      </c>
      <c r="B181" s="1" t="s">
        <v>391</v>
      </c>
      <c r="C181" s="1" t="s">
        <v>392</v>
      </c>
      <c r="D181" s="1" t="s">
        <v>393</v>
      </c>
      <c r="E181" s="1" t="s">
        <v>392</v>
      </c>
      <c r="F181" s="52" t="s">
        <v>698</v>
      </c>
      <c r="G181" s="52" t="s">
        <v>659</v>
      </c>
      <c r="H181" s="50" t="s">
        <v>656</v>
      </c>
      <c r="I181" s="50" t="s">
        <v>657</v>
      </c>
      <c r="J181" s="1" t="s">
        <v>140</v>
      </c>
      <c r="K181" s="1" t="s">
        <v>141</v>
      </c>
      <c r="L181" s="1">
        <v>9271000185</v>
      </c>
      <c r="M181" s="1" t="s">
        <v>78</v>
      </c>
      <c r="N181" s="1">
        <v>512</v>
      </c>
      <c r="O181" s="47" t="str">
        <f t="shared" si="15"/>
        <v>&gt; 91 Days</v>
      </c>
      <c r="P181" s="1" t="s">
        <v>226</v>
      </c>
      <c r="Q181" s="1">
        <v>1361001393</v>
      </c>
      <c r="R181" s="1" t="s">
        <v>394</v>
      </c>
      <c r="S181" s="1" t="s">
        <v>178</v>
      </c>
      <c r="T181" s="1" t="s">
        <v>179</v>
      </c>
      <c r="U181" s="1" t="s">
        <v>146</v>
      </c>
      <c r="V181" s="1" t="s">
        <v>147</v>
      </c>
      <c r="W181" s="1" t="s">
        <v>228</v>
      </c>
      <c r="X181" s="44">
        <v>0</v>
      </c>
      <c r="Y181" s="44">
        <v>0</v>
      </c>
      <c r="Z181" s="44">
        <v>0</v>
      </c>
      <c r="AA181" s="44">
        <v>0</v>
      </c>
      <c r="AB181" s="44">
        <v>0</v>
      </c>
      <c r="AC181" s="44">
        <v>0.1</v>
      </c>
      <c r="AD181" s="45">
        <v>75245</v>
      </c>
      <c r="AE181" s="45"/>
      <c r="AF181" s="46">
        <v>75245</v>
      </c>
      <c r="AG181" s="55">
        <f t="shared" si="16"/>
        <v>0</v>
      </c>
      <c r="AH181" s="55">
        <f t="shared" si="17"/>
        <v>0</v>
      </c>
      <c r="AI181" s="55">
        <f t="shared" si="18"/>
        <v>0</v>
      </c>
      <c r="AJ181" s="55">
        <f t="shared" si="14"/>
        <v>75245</v>
      </c>
    </row>
    <row r="182" spans="1:36" ht="15" customHeight="1">
      <c r="A182" s="1">
        <v>42</v>
      </c>
      <c r="B182" s="1" t="s">
        <v>395</v>
      </c>
      <c r="C182" s="1" t="s">
        <v>396</v>
      </c>
      <c r="D182" s="1" t="s">
        <v>397</v>
      </c>
      <c r="E182" s="1" t="s">
        <v>396</v>
      </c>
      <c r="F182" s="51" t="s">
        <v>658</v>
      </c>
      <c r="G182" s="51" t="s">
        <v>655</v>
      </c>
      <c r="H182" s="50" t="s">
        <v>656</v>
      </c>
      <c r="I182" s="50" t="s">
        <v>657</v>
      </c>
      <c r="J182" s="1" t="s">
        <v>170</v>
      </c>
      <c r="K182" s="1" t="s">
        <v>141</v>
      </c>
      <c r="L182" s="1">
        <v>1005001427</v>
      </c>
      <c r="M182" s="1" t="s">
        <v>79</v>
      </c>
      <c r="N182" s="1">
        <v>164</v>
      </c>
      <c r="O182" s="47" t="str">
        <f t="shared" si="15"/>
        <v>&gt; 91 Days</v>
      </c>
      <c r="P182" s="1" t="s">
        <v>171</v>
      </c>
      <c r="Q182" s="1">
        <v>1001024630</v>
      </c>
      <c r="R182" s="1" t="s">
        <v>398</v>
      </c>
      <c r="S182" s="1" t="s">
        <v>178</v>
      </c>
      <c r="T182" s="1" t="s">
        <v>179</v>
      </c>
      <c r="U182" s="1" t="s">
        <v>146</v>
      </c>
      <c r="V182" s="1" t="s">
        <v>147</v>
      </c>
      <c r="W182" s="1" t="s">
        <v>148</v>
      </c>
      <c r="X182" s="44">
        <v>0</v>
      </c>
      <c r="Y182" s="44">
        <v>20.76</v>
      </c>
      <c r="Z182" s="44">
        <v>0.77</v>
      </c>
      <c r="AA182" s="44">
        <v>0</v>
      </c>
      <c r="AB182" s="44">
        <v>0</v>
      </c>
      <c r="AC182" s="44">
        <v>2503.7199999999998</v>
      </c>
      <c r="AD182" s="45">
        <v>3029503</v>
      </c>
      <c r="AE182" s="45"/>
      <c r="AF182" s="46">
        <v>3029503</v>
      </c>
      <c r="AG182" s="55">
        <f t="shared" si="16"/>
        <v>0</v>
      </c>
      <c r="AH182" s="55">
        <f t="shared" si="17"/>
        <v>0</v>
      </c>
      <c r="AI182" s="55">
        <f t="shared" si="18"/>
        <v>0</v>
      </c>
      <c r="AJ182" s="55">
        <f t="shared" si="14"/>
        <v>3029503</v>
      </c>
    </row>
    <row r="183" spans="1:36" ht="15" customHeight="1">
      <c r="A183" s="1">
        <v>43</v>
      </c>
      <c r="B183" s="1" t="s">
        <v>399</v>
      </c>
      <c r="C183" s="1" t="s">
        <v>400</v>
      </c>
      <c r="D183" s="1" t="s">
        <v>401</v>
      </c>
      <c r="E183" s="1" t="s">
        <v>400</v>
      </c>
      <c r="F183" s="50" t="s">
        <v>662</v>
      </c>
      <c r="G183" s="50" t="s">
        <v>659</v>
      </c>
      <c r="H183" s="50" t="s">
        <v>656</v>
      </c>
      <c r="I183" s="50" t="s">
        <v>657</v>
      </c>
      <c r="J183" s="1" t="s">
        <v>153</v>
      </c>
      <c r="K183" s="1" t="s">
        <v>141</v>
      </c>
      <c r="L183" s="1">
        <v>1005002457</v>
      </c>
      <c r="M183" s="1" t="s">
        <v>9</v>
      </c>
      <c r="N183" s="1">
        <v>9</v>
      </c>
      <c r="O183" s="47" t="str">
        <f t="shared" si="15"/>
        <v>0-30</v>
      </c>
      <c r="P183" s="1" t="s">
        <v>253</v>
      </c>
      <c r="Q183" s="1">
        <v>1001027801</v>
      </c>
      <c r="R183" s="1" t="s">
        <v>402</v>
      </c>
      <c r="S183" s="1" t="s">
        <v>144</v>
      </c>
      <c r="T183" s="1" t="s">
        <v>145</v>
      </c>
      <c r="U183" s="1" t="s">
        <v>146</v>
      </c>
      <c r="V183" s="1" t="s">
        <v>147</v>
      </c>
      <c r="W183" s="1" t="s">
        <v>148</v>
      </c>
      <c r="X183" s="44">
        <v>3.5</v>
      </c>
      <c r="Y183" s="44">
        <v>0.64</v>
      </c>
      <c r="Z183" s="44">
        <v>0</v>
      </c>
      <c r="AA183" s="44">
        <v>2.15</v>
      </c>
      <c r="AB183" s="44">
        <v>0</v>
      </c>
      <c r="AC183" s="44">
        <v>243.34</v>
      </c>
      <c r="AD183" s="45">
        <v>3632580</v>
      </c>
      <c r="AE183" s="45">
        <v>399583.8</v>
      </c>
      <c r="AF183" s="46">
        <v>4032163.8</v>
      </c>
      <c r="AG183" s="55">
        <f t="shared" si="16"/>
        <v>4032163.8</v>
      </c>
      <c r="AH183" s="55">
        <f t="shared" si="17"/>
        <v>0</v>
      </c>
      <c r="AI183" s="55">
        <f t="shared" si="18"/>
        <v>0</v>
      </c>
      <c r="AJ183" s="55">
        <f t="shared" si="14"/>
        <v>0</v>
      </c>
    </row>
    <row r="184" spans="1:36" ht="15" customHeight="1">
      <c r="A184" s="1">
        <v>44</v>
      </c>
      <c r="B184" s="1" t="s">
        <v>403</v>
      </c>
      <c r="C184" s="1" t="s">
        <v>404</v>
      </c>
      <c r="D184" s="49" t="s">
        <v>419</v>
      </c>
      <c r="E184" s="1" t="s">
        <v>404</v>
      </c>
      <c r="F184" s="50" t="s">
        <v>666</v>
      </c>
      <c r="G184" s="50" t="s">
        <v>659</v>
      </c>
      <c r="H184" s="50" t="s">
        <v>656</v>
      </c>
      <c r="I184" s="50" t="s">
        <v>657</v>
      </c>
      <c r="J184" s="1" t="s">
        <v>170</v>
      </c>
      <c r="K184" s="1" t="s">
        <v>141</v>
      </c>
      <c r="L184" s="1">
        <v>1005002337</v>
      </c>
      <c r="M184" s="1" t="s">
        <v>80</v>
      </c>
      <c r="N184" s="1">
        <v>30</v>
      </c>
      <c r="O184" s="47" t="str">
        <f t="shared" si="15"/>
        <v>0-30</v>
      </c>
      <c r="P184" s="1" t="s">
        <v>171</v>
      </c>
      <c r="Q184" s="1">
        <v>1001026742</v>
      </c>
      <c r="R184" s="1" t="s">
        <v>405</v>
      </c>
      <c r="S184" s="1" t="s">
        <v>178</v>
      </c>
      <c r="T184" s="1" t="s">
        <v>179</v>
      </c>
      <c r="U184" s="1" t="s">
        <v>146</v>
      </c>
      <c r="V184" s="1" t="s">
        <v>147</v>
      </c>
      <c r="W184" s="1" t="s">
        <v>148</v>
      </c>
      <c r="X184" s="44">
        <v>0</v>
      </c>
      <c r="Y184" s="44">
        <v>25.94</v>
      </c>
      <c r="Z184" s="44">
        <v>1.56</v>
      </c>
      <c r="AA184" s="44">
        <v>0</v>
      </c>
      <c r="AB184" s="44">
        <v>0</v>
      </c>
      <c r="AC184" s="44">
        <v>4220.72</v>
      </c>
      <c r="AD184" s="45">
        <v>4685000</v>
      </c>
      <c r="AE184" s="45"/>
      <c r="AF184" s="46">
        <v>4685000</v>
      </c>
      <c r="AG184" s="55">
        <f t="shared" si="16"/>
        <v>4685000</v>
      </c>
      <c r="AH184" s="55">
        <f t="shared" si="17"/>
        <v>0</v>
      </c>
      <c r="AI184" s="55">
        <f t="shared" si="18"/>
        <v>0</v>
      </c>
      <c r="AJ184" s="55">
        <f t="shared" si="14"/>
        <v>0</v>
      </c>
    </row>
    <row r="185" spans="1:36" ht="15" customHeight="1">
      <c r="A185" s="1">
        <v>45</v>
      </c>
      <c r="B185" s="1" t="s">
        <v>406</v>
      </c>
      <c r="C185" s="1" t="s">
        <v>407</v>
      </c>
      <c r="D185" s="1" t="s">
        <v>408</v>
      </c>
      <c r="E185" s="1" t="s">
        <v>407</v>
      </c>
      <c r="F185" s="50" t="s">
        <v>658</v>
      </c>
      <c r="G185" s="50" t="s">
        <v>655</v>
      </c>
      <c r="H185" s="50" t="s">
        <v>656</v>
      </c>
      <c r="I185" s="50" t="s">
        <v>657</v>
      </c>
      <c r="J185" s="1" t="s">
        <v>140</v>
      </c>
      <c r="K185" s="1" t="s">
        <v>141</v>
      </c>
      <c r="L185" s="1">
        <v>1005000110</v>
      </c>
      <c r="M185" s="1" t="s">
        <v>81</v>
      </c>
      <c r="N185" s="1">
        <v>121</v>
      </c>
      <c r="O185" s="47" t="str">
        <f t="shared" si="15"/>
        <v>&gt; 91 Days</v>
      </c>
      <c r="P185" s="1" t="s">
        <v>409</v>
      </c>
      <c r="Q185" s="1">
        <v>1001017864</v>
      </c>
      <c r="R185" s="1">
        <v>8007102041</v>
      </c>
      <c r="S185" s="1" t="s">
        <v>178</v>
      </c>
      <c r="T185" s="1" t="s">
        <v>179</v>
      </c>
      <c r="U185" s="1" t="s">
        <v>146</v>
      </c>
      <c r="V185" s="1" t="s">
        <v>147</v>
      </c>
      <c r="W185" s="1" t="s">
        <v>148</v>
      </c>
      <c r="X185" s="44">
        <v>0</v>
      </c>
      <c r="Y185" s="44">
        <v>0</v>
      </c>
      <c r="Z185" s="44">
        <v>0</v>
      </c>
      <c r="AA185" s="44">
        <v>0</v>
      </c>
      <c r="AB185" s="44">
        <v>0</v>
      </c>
      <c r="AC185" s="44">
        <v>3110.51</v>
      </c>
      <c r="AD185" s="45">
        <v>1928516</v>
      </c>
      <c r="AE185" s="45"/>
      <c r="AF185" s="46">
        <v>1928516</v>
      </c>
      <c r="AG185" s="55">
        <f t="shared" si="16"/>
        <v>0</v>
      </c>
      <c r="AH185" s="55">
        <f t="shared" si="17"/>
        <v>0</v>
      </c>
      <c r="AI185" s="55">
        <f t="shared" si="18"/>
        <v>0</v>
      </c>
      <c r="AJ185" s="55">
        <f t="shared" si="14"/>
        <v>1928516</v>
      </c>
    </row>
    <row r="186" spans="1:36" ht="15" customHeight="1">
      <c r="A186" s="1">
        <v>45</v>
      </c>
      <c r="B186" s="1" t="s">
        <v>406</v>
      </c>
      <c r="C186" s="1" t="s">
        <v>407</v>
      </c>
      <c r="D186" s="1" t="s">
        <v>408</v>
      </c>
      <c r="E186" s="1" t="s">
        <v>407</v>
      </c>
      <c r="F186" s="50" t="s">
        <v>658</v>
      </c>
      <c r="G186" s="50" t="s">
        <v>655</v>
      </c>
      <c r="H186" s="50" t="s">
        <v>656</v>
      </c>
      <c r="I186" s="50" t="s">
        <v>657</v>
      </c>
      <c r="J186" s="1" t="s">
        <v>140</v>
      </c>
      <c r="K186" s="1" t="s">
        <v>141</v>
      </c>
      <c r="L186" s="1">
        <v>1005000111</v>
      </c>
      <c r="M186" s="1" t="s">
        <v>82</v>
      </c>
      <c r="N186" s="1">
        <v>375</v>
      </c>
      <c r="O186" s="47" t="str">
        <f t="shared" si="15"/>
        <v>&gt; 91 Days</v>
      </c>
      <c r="P186" s="1" t="s">
        <v>409</v>
      </c>
      <c r="Q186" s="1">
        <v>1001017869</v>
      </c>
      <c r="R186" s="1">
        <v>8007102042</v>
      </c>
      <c r="S186" s="1" t="s">
        <v>178</v>
      </c>
      <c r="T186" s="1" t="s">
        <v>179</v>
      </c>
      <c r="U186" s="1" t="s">
        <v>146</v>
      </c>
      <c r="V186" s="1" t="s">
        <v>147</v>
      </c>
      <c r="W186" s="1" t="s">
        <v>148</v>
      </c>
      <c r="X186" s="44">
        <v>0</v>
      </c>
      <c r="Y186" s="44">
        <v>0</v>
      </c>
      <c r="Z186" s="44">
        <v>0</v>
      </c>
      <c r="AA186" s="44">
        <v>0</v>
      </c>
      <c r="AB186" s="44">
        <v>0</v>
      </c>
      <c r="AC186" s="44">
        <v>20000</v>
      </c>
      <c r="AD186" s="45">
        <v>12680000</v>
      </c>
      <c r="AE186" s="45"/>
      <c r="AF186" s="46">
        <v>12680000</v>
      </c>
      <c r="AG186" s="55">
        <f t="shared" si="16"/>
        <v>0</v>
      </c>
      <c r="AH186" s="55">
        <f t="shared" si="17"/>
        <v>0</v>
      </c>
      <c r="AI186" s="55">
        <f t="shared" si="18"/>
        <v>0</v>
      </c>
      <c r="AJ186" s="55">
        <f t="shared" si="14"/>
        <v>12680000</v>
      </c>
    </row>
    <row r="187" spans="1:36" ht="15" customHeight="1">
      <c r="A187" s="1">
        <v>45</v>
      </c>
      <c r="B187" s="1" t="s">
        <v>406</v>
      </c>
      <c r="C187" s="1" t="s">
        <v>407</v>
      </c>
      <c r="D187" s="1" t="s">
        <v>408</v>
      </c>
      <c r="E187" s="1" t="s">
        <v>407</v>
      </c>
      <c r="F187" s="50" t="s">
        <v>658</v>
      </c>
      <c r="G187" s="50" t="s">
        <v>655</v>
      </c>
      <c r="H187" s="50" t="s">
        <v>656</v>
      </c>
      <c r="I187" s="50" t="s">
        <v>657</v>
      </c>
      <c r="J187" s="1" t="s">
        <v>140</v>
      </c>
      <c r="K187" s="1" t="s">
        <v>141</v>
      </c>
      <c r="L187" s="1">
        <v>1005000112</v>
      </c>
      <c r="M187" s="1" t="s">
        <v>81</v>
      </c>
      <c r="N187" s="1">
        <v>121</v>
      </c>
      <c r="O187" s="47" t="str">
        <f t="shared" si="15"/>
        <v>&gt; 91 Days</v>
      </c>
      <c r="P187" s="1" t="s">
        <v>409</v>
      </c>
      <c r="Q187" s="1">
        <v>1001019787</v>
      </c>
      <c r="R187" s="1">
        <v>8007102060</v>
      </c>
      <c r="S187" s="1" t="s">
        <v>178</v>
      </c>
      <c r="T187" s="1" t="s">
        <v>179</v>
      </c>
      <c r="U187" s="1" t="s">
        <v>146</v>
      </c>
      <c r="V187" s="1" t="s">
        <v>147</v>
      </c>
      <c r="W187" s="1" t="s">
        <v>148</v>
      </c>
      <c r="X187" s="44">
        <v>0</v>
      </c>
      <c r="Y187" s="44">
        <v>0</v>
      </c>
      <c r="Z187" s="44">
        <v>0</v>
      </c>
      <c r="AA187" s="44">
        <v>0</v>
      </c>
      <c r="AB187" s="44">
        <v>0</v>
      </c>
      <c r="AC187" s="44">
        <v>3872.75</v>
      </c>
      <c r="AD187" s="45">
        <v>3051727</v>
      </c>
      <c r="AE187" s="45"/>
      <c r="AF187" s="46">
        <v>3051727</v>
      </c>
      <c r="AG187" s="55">
        <f t="shared" si="16"/>
        <v>0</v>
      </c>
      <c r="AH187" s="55">
        <f t="shared" si="17"/>
        <v>0</v>
      </c>
      <c r="AI187" s="55">
        <f t="shared" si="18"/>
        <v>0</v>
      </c>
      <c r="AJ187" s="55">
        <f t="shared" si="14"/>
        <v>3051727</v>
      </c>
    </row>
    <row r="188" spans="1:36" ht="15" customHeight="1">
      <c r="A188" s="1">
        <v>45</v>
      </c>
      <c r="B188" s="1" t="s">
        <v>406</v>
      </c>
      <c r="C188" s="1" t="s">
        <v>407</v>
      </c>
      <c r="D188" s="1" t="s">
        <v>408</v>
      </c>
      <c r="E188" s="1" t="s">
        <v>407</v>
      </c>
      <c r="F188" s="50" t="s">
        <v>658</v>
      </c>
      <c r="G188" s="50" t="s">
        <v>655</v>
      </c>
      <c r="H188" s="50" t="s">
        <v>656</v>
      </c>
      <c r="I188" s="50" t="s">
        <v>657</v>
      </c>
      <c r="J188" s="1" t="s">
        <v>140</v>
      </c>
      <c r="K188" s="1" t="s">
        <v>141</v>
      </c>
      <c r="L188" s="1">
        <v>1005000114</v>
      </c>
      <c r="M188" s="1" t="s">
        <v>82</v>
      </c>
      <c r="N188" s="1">
        <v>375</v>
      </c>
      <c r="O188" s="47" t="str">
        <f t="shared" si="15"/>
        <v>&gt; 91 Days</v>
      </c>
      <c r="P188" s="1" t="s">
        <v>409</v>
      </c>
      <c r="Q188" s="1">
        <v>1001019789</v>
      </c>
      <c r="R188" s="1">
        <v>8007102062</v>
      </c>
      <c r="S188" s="1" t="s">
        <v>178</v>
      </c>
      <c r="T188" s="1" t="s">
        <v>179</v>
      </c>
      <c r="U188" s="1" t="s">
        <v>146</v>
      </c>
      <c r="V188" s="1" t="s">
        <v>147</v>
      </c>
      <c r="W188" s="1" t="s">
        <v>148</v>
      </c>
      <c r="X188" s="44">
        <v>0</v>
      </c>
      <c r="Y188" s="44">
        <v>0</v>
      </c>
      <c r="Z188" s="44">
        <v>0</v>
      </c>
      <c r="AA188" s="44">
        <v>0</v>
      </c>
      <c r="AB188" s="44">
        <v>0</v>
      </c>
      <c r="AC188" s="44">
        <v>33242.39</v>
      </c>
      <c r="AD188" s="45">
        <v>25264216</v>
      </c>
      <c r="AE188" s="45"/>
      <c r="AF188" s="46">
        <v>25264216</v>
      </c>
      <c r="AG188" s="55">
        <f t="shared" si="16"/>
        <v>0</v>
      </c>
      <c r="AH188" s="55">
        <f t="shared" si="17"/>
        <v>0</v>
      </c>
      <c r="AI188" s="55">
        <f t="shared" si="18"/>
        <v>0</v>
      </c>
      <c r="AJ188" s="55">
        <f t="shared" si="14"/>
        <v>25264216</v>
      </c>
    </row>
    <row r="189" spans="1:36" ht="15" customHeight="1">
      <c r="A189" s="1">
        <v>45</v>
      </c>
      <c r="B189" s="1" t="s">
        <v>406</v>
      </c>
      <c r="C189" s="1" t="s">
        <v>407</v>
      </c>
      <c r="D189" s="1" t="s">
        <v>408</v>
      </c>
      <c r="E189" s="1" t="s">
        <v>407</v>
      </c>
      <c r="F189" s="50" t="s">
        <v>658</v>
      </c>
      <c r="G189" s="50" t="s">
        <v>655</v>
      </c>
      <c r="H189" s="50" t="s">
        <v>656</v>
      </c>
      <c r="I189" s="50" t="s">
        <v>657</v>
      </c>
      <c r="J189" s="1" t="s">
        <v>140</v>
      </c>
      <c r="K189" s="1" t="s">
        <v>141</v>
      </c>
      <c r="L189" s="1">
        <v>1005001981</v>
      </c>
      <c r="M189" s="1" t="s">
        <v>81</v>
      </c>
      <c r="N189" s="1">
        <v>121</v>
      </c>
      <c r="O189" s="47" t="str">
        <f t="shared" si="15"/>
        <v>&gt; 91 Days</v>
      </c>
      <c r="P189" s="1" t="s">
        <v>409</v>
      </c>
      <c r="Q189" s="1">
        <v>1001020628</v>
      </c>
      <c r="R189" s="1">
        <v>8007102084</v>
      </c>
      <c r="S189" s="1" t="s">
        <v>178</v>
      </c>
      <c r="T189" s="1" t="s">
        <v>179</v>
      </c>
      <c r="U189" s="1" t="s">
        <v>146</v>
      </c>
      <c r="V189" s="1" t="s">
        <v>147</v>
      </c>
      <c r="W189" s="1" t="s">
        <v>148</v>
      </c>
      <c r="X189" s="44">
        <v>0</v>
      </c>
      <c r="Y189" s="44">
        <v>20.74</v>
      </c>
      <c r="Z189" s="44">
        <v>0</v>
      </c>
      <c r="AA189" s="44">
        <v>0</v>
      </c>
      <c r="AB189" s="44">
        <v>0</v>
      </c>
      <c r="AC189" s="44">
        <v>801.19</v>
      </c>
      <c r="AD189" s="45">
        <v>631338</v>
      </c>
      <c r="AE189" s="45"/>
      <c r="AF189" s="46">
        <v>631338</v>
      </c>
      <c r="AG189" s="55">
        <f t="shared" si="16"/>
        <v>0</v>
      </c>
      <c r="AH189" s="55">
        <f t="shared" si="17"/>
        <v>0</v>
      </c>
      <c r="AI189" s="55">
        <f t="shared" si="18"/>
        <v>0</v>
      </c>
      <c r="AJ189" s="55">
        <f t="shared" si="14"/>
        <v>631338</v>
      </c>
    </row>
    <row r="190" spans="1:36" ht="15" customHeight="1">
      <c r="A190" s="1">
        <v>45</v>
      </c>
      <c r="B190" s="1" t="s">
        <v>406</v>
      </c>
      <c r="C190" s="1" t="s">
        <v>407</v>
      </c>
      <c r="D190" s="1" t="s">
        <v>408</v>
      </c>
      <c r="E190" s="1" t="s">
        <v>407</v>
      </c>
      <c r="F190" s="50" t="s">
        <v>658</v>
      </c>
      <c r="G190" s="50" t="s">
        <v>655</v>
      </c>
      <c r="H190" s="50" t="s">
        <v>656</v>
      </c>
      <c r="I190" s="50" t="s">
        <v>657</v>
      </c>
      <c r="J190" s="1" t="s">
        <v>140</v>
      </c>
      <c r="K190" s="1" t="s">
        <v>141</v>
      </c>
      <c r="L190" s="1">
        <v>1005001982</v>
      </c>
      <c r="M190" s="1" t="s">
        <v>83</v>
      </c>
      <c r="N190" s="1">
        <v>78</v>
      </c>
      <c r="O190" s="47" t="str">
        <f t="shared" si="15"/>
        <v>61-90</v>
      </c>
      <c r="P190" s="1" t="s">
        <v>409</v>
      </c>
      <c r="Q190" s="1">
        <v>1001021240</v>
      </c>
      <c r="R190" s="1" t="s">
        <v>410</v>
      </c>
      <c r="S190" s="1" t="s">
        <v>178</v>
      </c>
      <c r="T190" s="1" t="s">
        <v>179</v>
      </c>
      <c r="U190" s="1" t="s">
        <v>146</v>
      </c>
      <c r="V190" s="1" t="s">
        <v>147</v>
      </c>
      <c r="W190" s="1" t="s">
        <v>148</v>
      </c>
      <c r="X190" s="44">
        <v>0</v>
      </c>
      <c r="Y190" s="44">
        <v>23.78</v>
      </c>
      <c r="Z190" s="44">
        <v>0</v>
      </c>
      <c r="AA190" s="44">
        <v>0</v>
      </c>
      <c r="AB190" s="44">
        <v>0</v>
      </c>
      <c r="AC190" s="44">
        <v>19667.740000000002</v>
      </c>
      <c r="AD190" s="45">
        <v>14436121</v>
      </c>
      <c r="AE190" s="45"/>
      <c r="AF190" s="46">
        <v>14436121</v>
      </c>
      <c r="AG190" s="55">
        <f t="shared" si="16"/>
        <v>0</v>
      </c>
      <c r="AH190" s="55">
        <f t="shared" si="17"/>
        <v>0</v>
      </c>
      <c r="AI190" s="55">
        <f t="shared" si="18"/>
        <v>14436121</v>
      </c>
      <c r="AJ190" s="55">
        <f t="shared" si="14"/>
        <v>0</v>
      </c>
    </row>
    <row r="191" spans="1:36" ht="15" customHeight="1">
      <c r="A191" s="1">
        <v>45</v>
      </c>
      <c r="B191" s="1" t="s">
        <v>406</v>
      </c>
      <c r="C191" s="1" t="s">
        <v>407</v>
      </c>
      <c r="D191" s="1" t="s">
        <v>408</v>
      </c>
      <c r="E191" s="1" t="s">
        <v>407</v>
      </c>
      <c r="F191" s="50" t="s">
        <v>658</v>
      </c>
      <c r="G191" s="50" t="s">
        <v>655</v>
      </c>
      <c r="H191" s="50" t="s">
        <v>656</v>
      </c>
      <c r="I191" s="50" t="s">
        <v>657</v>
      </c>
      <c r="J191" s="1" t="s">
        <v>140</v>
      </c>
      <c r="K191" s="1" t="s">
        <v>141</v>
      </c>
      <c r="L191" s="1">
        <v>1005001985</v>
      </c>
      <c r="M191" s="1" t="s">
        <v>81</v>
      </c>
      <c r="N191" s="1">
        <v>121</v>
      </c>
      <c r="O191" s="47" t="str">
        <f t="shared" si="15"/>
        <v>&gt; 91 Days</v>
      </c>
      <c r="P191" s="1" t="s">
        <v>409</v>
      </c>
      <c r="Q191" s="1">
        <v>1001020623</v>
      </c>
      <c r="R191" s="1">
        <v>8007102085</v>
      </c>
      <c r="S191" s="1" t="s">
        <v>178</v>
      </c>
      <c r="T191" s="1" t="s">
        <v>179</v>
      </c>
      <c r="U191" s="1" t="s">
        <v>146</v>
      </c>
      <c r="V191" s="1" t="s">
        <v>147</v>
      </c>
      <c r="W191" s="1" t="s">
        <v>148</v>
      </c>
      <c r="X191" s="44">
        <v>0</v>
      </c>
      <c r="Y191" s="44">
        <v>23.07</v>
      </c>
      <c r="Z191" s="44">
        <v>0</v>
      </c>
      <c r="AA191" s="44">
        <v>0</v>
      </c>
      <c r="AB191" s="44">
        <v>0</v>
      </c>
      <c r="AC191" s="44">
        <v>29936.57</v>
      </c>
      <c r="AD191" s="45">
        <v>22572174</v>
      </c>
      <c r="AE191" s="45"/>
      <c r="AF191" s="46">
        <v>22572174</v>
      </c>
      <c r="AG191" s="55">
        <f t="shared" si="16"/>
        <v>0</v>
      </c>
      <c r="AH191" s="55">
        <f t="shared" si="17"/>
        <v>0</v>
      </c>
      <c r="AI191" s="55">
        <f t="shared" si="18"/>
        <v>0</v>
      </c>
      <c r="AJ191" s="55">
        <f t="shared" si="14"/>
        <v>22572174</v>
      </c>
    </row>
    <row r="192" spans="1:36" ht="15" customHeight="1">
      <c r="A192" s="1">
        <v>45</v>
      </c>
      <c r="B192" s="1" t="s">
        <v>406</v>
      </c>
      <c r="C192" s="1" t="s">
        <v>407</v>
      </c>
      <c r="D192" s="1" t="s">
        <v>408</v>
      </c>
      <c r="E192" s="1" t="s">
        <v>407</v>
      </c>
      <c r="F192" s="50" t="s">
        <v>658</v>
      </c>
      <c r="G192" s="50" t="s">
        <v>655</v>
      </c>
      <c r="H192" s="50" t="s">
        <v>656</v>
      </c>
      <c r="I192" s="50" t="s">
        <v>657</v>
      </c>
      <c r="J192" s="1" t="s">
        <v>140</v>
      </c>
      <c r="K192" s="1" t="s">
        <v>141</v>
      </c>
      <c r="L192" s="1">
        <v>1005001986</v>
      </c>
      <c r="M192" s="1" t="s">
        <v>83</v>
      </c>
      <c r="N192" s="1">
        <v>78</v>
      </c>
      <c r="O192" s="47" t="str">
        <f t="shared" si="15"/>
        <v>61-90</v>
      </c>
      <c r="P192" s="1" t="s">
        <v>409</v>
      </c>
      <c r="Q192" s="1">
        <v>1001020625</v>
      </c>
      <c r="R192" s="1">
        <v>8007102086</v>
      </c>
      <c r="S192" s="1" t="s">
        <v>178</v>
      </c>
      <c r="T192" s="1" t="s">
        <v>179</v>
      </c>
      <c r="U192" s="1" t="s">
        <v>146</v>
      </c>
      <c r="V192" s="1" t="s">
        <v>147</v>
      </c>
      <c r="W192" s="1" t="s">
        <v>148</v>
      </c>
      <c r="X192" s="44">
        <v>0</v>
      </c>
      <c r="Y192" s="44">
        <v>23.81</v>
      </c>
      <c r="Z192" s="44">
        <v>0</v>
      </c>
      <c r="AA192" s="44">
        <v>0</v>
      </c>
      <c r="AB192" s="44">
        <v>0</v>
      </c>
      <c r="AC192" s="44">
        <v>26232.04</v>
      </c>
      <c r="AD192" s="45">
        <v>19936350</v>
      </c>
      <c r="AE192" s="45"/>
      <c r="AF192" s="46">
        <v>19936350</v>
      </c>
      <c r="AG192" s="55">
        <f t="shared" si="16"/>
        <v>0</v>
      </c>
      <c r="AH192" s="55">
        <f t="shared" si="17"/>
        <v>0</v>
      </c>
      <c r="AI192" s="55">
        <f t="shared" si="18"/>
        <v>19936350</v>
      </c>
      <c r="AJ192" s="55">
        <f t="shared" si="14"/>
        <v>0</v>
      </c>
    </row>
    <row r="193" spans="1:36" ht="15" customHeight="1">
      <c r="A193" s="1">
        <v>45</v>
      </c>
      <c r="B193" s="1" t="s">
        <v>406</v>
      </c>
      <c r="C193" s="1" t="s">
        <v>407</v>
      </c>
      <c r="D193" s="1" t="s">
        <v>408</v>
      </c>
      <c r="E193" s="1" t="s">
        <v>407</v>
      </c>
      <c r="F193" s="50" t="s">
        <v>658</v>
      </c>
      <c r="G193" s="50" t="s">
        <v>655</v>
      </c>
      <c r="H193" s="50" t="s">
        <v>656</v>
      </c>
      <c r="I193" s="50" t="s">
        <v>657</v>
      </c>
      <c r="J193" s="1" t="s">
        <v>140</v>
      </c>
      <c r="K193" s="1" t="s">
        <v>141</v>
      </c>
      <c r="L193" s="1">
        <v>1005001987</v>
      </c>
      <c r="M193" s="1" t="s">
        <v>81</v>
      </c>
      <c r="N193" s="1">
        <v>121</v>
      </c>
      <c r="O193" s="47" t="str">
        <f t="shared" si="15"/>
        <v>&gt; 91 Days</v>
      </c>
      <c r="P193" s="1" t="s">
        <v>409</v>
      </c>
      <c r="Q193" s="1">
        <v>1001021239</v>
      </c>
      <c r="R193" s="1" t="s">
        <v>411</v>
      </c>
      <c r="S193" s="1" t="s">
        <v>178</v>
      </c>
      <c r="T193" s="1" t="s">
        <v>179</v>
      </c>
      <c r="U193" s="1" t="s">
        <v>146</v>
      </c>
      <c r="V193" s="1" t="s">
        <v>147</v>
      </c>
      <c r="W193" s="1" t="s">
        <v>148</v>
      </c>
      <c r="X193" s="44">
        <v>0</v>
      </c>
      <c r="Y193" s="44">
        <v>21.32</v>
      </c>
      <c r="Z193" s="44">
        <v>0</v>
      </c>
      <c r="AA193" s="44">
        <v>0</v>
      </c>
      <c r="AB193" s="44">
        <v>0</v>
      </c>
      <c r="AC193" s="44">
        <v>8608.2999999999993</v>
      </c>
      <c r="AD193" s="45">
        <v>6611174</v>
      </c>
      <c r="AE193" s="45"/>
      <c r="AF193" s="46">
        <v>6611174</v>
      </c>
      <c r="AG193" s="55">
        <f t="shared" si="16"/>
        <v>0</v>
      </c>
      <c r="AH193" s="55">
        <f t="shared" si="17"/>
        <v>0</v>
      </c>
      <c r="AI193" s="55">
        <f t="shared" si="18"/>
        <v>0</v>
      </c>
      <c r="AJ193" s="55">
        <f t="shared" si="14"/>
        <v>6611174</v>
      </c>
    </row>
    <row r="194" spans="1:36" ht="15" customHeight="1">
      <c r="A194" s="1">
        <v>45</v>
      </c>
      <c r="B194" s="1" t="s">
        <v>406</v>
      </c>
      <c r="C194" s="1" t="s">
        <v>407</v>
      </c>
      <c r="D194" s="1" t="s">
        <v>408</v>
      </c>
      <c r="E194" s="1" t="s">
        <v>407</v>
      </c>
      <c r="F194" s="50" t="s">
        <v>658</v>
      </c>
      <c r="G194" s="50" t="s">
        <v>655</v>
      </c>
      <c r="H194" s="50" t="s">
        <v>656</v>
      </c>
      <c r="I194" s="50" t="s">
        <v>657</v>
      </c>
      <c r="J194" s="1" t="s">
        <v>140</v>
      </c>
      <c r="K194" s="1" t="s">
        <v>141</v>
      </c>
      <c r="L194" s="1">
        <v>1005001988</v>
      </c>
      <c r="M194" s="1" t="s">
        <v>83</v>
      </c>
      <c r="N194" s="1">
        <v>78</v>
      </c>
      <c r="O194" s="47" t="str">
        <f t="shared" si="15"/>
        <v>61-90</v>
      </c>
      <c r="P194" s="1" t="s">
        <v>409</v>
      </c>
      <c r="Q194" s="1">
        <v>1001023387</v>
      </c>
      <c r="R194" s="1">
        <v>8007102105</v>
      </c>
      <c r="S194" s="1" t="s">
        <v>178</v>
      </c>
      <c r="T194" s="1" t="s">
        <v>179</v>
      </c>
      <c r="U194" s="1" t="s">
        <v>146</v>
      </c>
      <c r="V194" s="1" t="s">
        <v>147</v>
      </c>
      <c r="W194" s="1" t="s">
        <v>148</v>
      </c>
      <c r="X194" s="44">
        <v>0</v>
      </c>
      <c r="Y194" s="44">
        <v>22.82</v>
      </c>
      <c r="Z194" s="44">
        <v>0</v>
      </c>
      <c r="AA194" s="44">
        <v>0</v>
      </c>
      <c r="AB194" s="44">
        <v>0</v>
      </c>
      <c r="AC194" s="44">
        <v>15851.89</v>
      </c>
      <c r="AD194" s="45">
        <v>12586401</v>
      </c>
      <c r="AE194" s="45"/>
      <c r="AF194" s="46">
        <v>12586401</v>
      </c>
      <c r="AG194" s="55">
        <f t="shared" si="16"/>
        <v>0</v>
      </c>
      <c r="AH194" s="55">
        <f t="shared" si="17"/>
        <v>0</v>
      </c>
      <c r="AI194" s="55">
        <f t="shared" si="18"/>
        <v>12586401</v>
      </c>
      <c r="AJ194" s="55">
        <f t="shared" si="14"/>
        <v>0</v>
      </c>
    </row>
    <row r="195" spans="1:36" ht="15" customHeight="1">
      <c r="A195" s="1">
        <v>46</v>
      </c>
      <c r="B195" s="1" t="s">
        <v>412</v>
      </c>
      <c r="C195" s="1" t="s">
        <v>413</v>
      </c>
      <c r="D195" s="1" t="s">
        <v>414</v>
      </c>
      <c r="E195" s="1" t="s">
        <v>413</v>
      </c>
      <c r="F195" s="50" t="s">
        <v>658</v>
      </c>
      <c r="G195" s="50" t="s">
        <v>655</v>
      </c>
      <c r="H195" s="50" t="s">
        <v>656</v>
      </c>
      <c r="I195" s="50" t="s">
        <v>657</v>
      </c>
      <c r="J195" s="1" t="s">
        <v>153</v>
      </c>
      <c r="K195" s="1" t="s">
        <v>141</v>
      </c>
      <c r="L195" s="1">
        <v>1385000063</v>
      </c>
      <c r="M195" s="1" t="s">
        <v>39</v>
      </c>
      <c r="N195" s="1">
        <v>65</v>
      </c>
      <c r="O195" s="47" t="str">
        <f t="shared" si="15"/>
        <v>61-90</v>
      </c>
      <c r="P195" s="1" t="s">
        <v>253</v>
      </c>
      <c r="Q195" s="1">
        <v>1381002279</v>
      </c>
      <c r="R195" s="1" t="s">
        <v>415</v>
      </c>
      <c r="S195" s="1" t="s">
        <v>144</v>
      </c>
      <c r="T195" s="1" t="s">
        <v>145</v>
      </c>
      <c r="U195" s="1" t="s">
        <v>146</v>
      </c>
      <c r="V195" s="1" t="s">
        <v>147</v>
      </c>
      <c r="W195" s="1" t="s">
        <v>255</v>
      </c>
      <c r="X195" s="44">
        <v>5.52</v>
      </c>
      <c r="Y195" s="44">
        <v>0.34</v>
      </c>
      <c r="Z195" s="44">
        <v>0</v>
      </c>
      <c r="AA195" s="44">
        <v>2.1</v>
      </c>
      <c r="AB195" s="44">
        <v>0</v>
      </c>
      <c r="AC195" s="44">
        <v>110320</v>
      </c>
      <c r="AD195" s="45">
        <v>6830500</v>
      </c>
      <c r="AE195" s="45"/>
      <c r="AF195" s="46">
        <v>6830500</v>
      </c>
      <c r="AG195" s="55">
        <f t="shared" si="16"/>
        <v>0</v>
      </c>
      <c r="AH195" s="55">
        <f t="shared" si="17"/>
        <v>0</v>
      </c>
      <c r="AI195" s="55">
        <f t="shared" si="18"/>
        <v>6830500</v>
      </c>
      <c r="AJ195" s="55">
        <f t="shared" si="14"/>
        <v>0</v>
      </c>
    </row>
    <row r="196" spans="1:36" ht="15" customHeight="1">
      <c r="A196" s="1">
        <v>46</v>
      </c>
      <c r="B196" s="1" t="s">
        <v>412</v>
      </c>
      <c r="C196" s="1" t="s">
        <v>413</v>
      </c>
      <c r="D196" s="1" t="s">
        <v>414</v>
      </c>
      <c r="E196" s="1" t="s">
        <v>413</v>
      </c>
      <c r="F196" s="50" t="s">
        <v>658</v>
      </c>
      <c r="G196" s="50" t="s">
        <v>655</v>
      </c>
      <c r="H196" s="50" t="s">
        <v>656</v>
      </c>
      <c r="I196" s="50" t="s">
        <v>657</v>
      </c>
      <c r="J196" s="1" t="s">
        <v>153</v>
      </c>
      <c r="K196" s="1" t="s">
        <v>141</v>
      </c>
      <c r="L196" s="1">
        <v>1385000066</v>
      </c>
      <c r="M196" s="1" t="s">
        <v>39</v>
      </c>
      <c r="N196" s="1">
        <v>65</v>
      </c>
      <c r="O196" s="47" t="str">
        <f t="shared" si="15"/>
        <v>61-90</v>
      </c>
      <c r="P196" s="1" t="s">
        <v>253</v>
      </c>
      <c r="Q196" s="1">
        <v>1381002274</v>
      </c>
      <c r="R196" s="1" t="s">
        <v>416</v>
      </c>
      <c r="S196" s="1" t="s">
        <v>144</v>
      </c>
      <c r="T196" s="1" t="s">
        <v>145</v>
      </c>
      <c r="U196" s="1" t="s">
        <v>146</v>
      </c>
      <c r="V196" s="1" t="s">
        <v>147</v>
      </c>
      <c r="W196" s="1" t="s">
        <v>255</v>
      </c>
      <c r="X196" s="44">
        <v>5.38</v>
      </c>
      <c r="Y196" s="44">
        <v>0.34</v>
      </c>
      <c r="Z196" s="44">
        <v>0</v>
      </c>
      <c r="AA196" s="44">
        <v>2.1</v>
      </c>
      <c r="AB196" s="44">
        <v>0</v>
      </c>
      <c r="AC196" s="44">
        <v>66920</v>
      </c>
      <c r="AD196" s="45">
        <v>3494250</v>
      </c>
      <c r="AE196" s="45"/>
      <c r="AF196" s="46">
        <v>3494250</v>
      </c>
      <c r="AG196" s="55">
        <f t="shared" si="16"/>
        <v>0</v>
      </c>
      <c r="AH196" s="55">
        <f t="shared" si="17"/>
        <v>0</v>
      </c>
      <c r="AI196" s="55">
        <f t="shared" si="18"/>
        <v>3494250</v>
      </c>
      <c r="AJ196" s="55">
        <f t="shared" si="14"/>
        <v>0</v>
      </c>
    </row>
    <row r="197" spans="1:36" ht="15" customHeight="1">
      <c r="A197" s="1">
        <v>47</v>
      </c>
      <c r="B197" s="1" t="s">
        <v>417</v>
      </c>
      <c r="C197" s="1" t="s">
        <v>418</v>
      </c>
      <c r="D197" s="1" t="s">
        <v>419</v>
      </c>
      <c r="E197" s="1" t="s">
        <v>418</v>
      </c>
      <c r="F197" s="50" t="s">
        <v>666</v>
      </c>
      <c r="G197" s="50" t="s">
        <v>659</v>
      </c>
      <c r="H197" s="50" t="s">
        <v>656</v>
      </c>
      <c r="I197" s="50" t="s">
        <v>657</v>
      </c>
      <c r="J197" s="1" t="s">
        <v>140</v>
      </c>
      <c r="K197" s="1" t="s">
        <v>141</v>
      </c>
      <c r="L197" s="1">
        <v>1385000077</v>
      </c>
      <c r="M197" s="1" t="s">
        <v>12</v>
      </c>
      <c r="N197" s="1">
        <v>10</v>
      </c>
      <c r="O197" s="47" t="str">
        <f t="shared" si="15"/>
        <v>0-30</v>
      </c>
      <c r="P197" s="1" t="s">
        <v>253</v>
      </c>
      <c r="Q197" s="1">
        <v>1381002350</v>
      </c>
      <c r="R197" s="1" t="s">
        <v>420</v>
      </c>
      <c r="S197" s="1" t="s">
        <v>144</v>
      </c>
      <c r="T197" s="1" t="s">
        <v>145</v>
      </c>
      <c r="U197" s="1" t="s">
        <v>146</v>
      </c>
      <c r="V197" s="1" t="s">
        <v>147</v>
      </c>
      <c r="W197" s="1" t="s">
        <v>255</v>
      </c>
      <c r="X197" s="44">
        <v>4.5</v>
      </c>
      <c r="Y197" s="44">
        <v>0.57999999999999996</v>
      </c>
      <c r="Z197" s="44">
        <v>0</v>
      </c>
      <c r="AA197" s="44">
        <v>2.1</v>
      </c>
      <c r="AB197" s="44">
        <v>0</v>
      </c>
      <c r="AC197" s="44">
        <v>22.7</v>
      </c>
      <c r="AD197" s="45">
        <v>324338</v>
      </c>
      <c r="AE197" s="45">
        <v>35677.18</v>
      </c>
      <c r="AF197" s="46">
        <v>360015.18</v>
      </c>
      <c r="AG197" s="55">
        <f t="shared" si="16"/>
        <v>360015.18</v>
      </c>
      <c r="AH197" s="55">
        <f t="shared" si="17"/>
        <v>0</v>
      </c>
      <c r="AI197" s="55">
        <f t="shared" si="18"/>
        <v>0</v>
      </c>
      <c r="AJ197" s="55">
        <f t="shared" si="14"/>
        <v>0</v>
      </c>
    </row>
    <row r="198" spans="1:36" ht="15" customHeight="1">
      <c r="A198" s="1">
        <v>48</v>
      </c>
      <c r="B198" s="1" t="s">
        <v>421</v>
      </c>
      <c r="C198" s="1" t="s">
        <v>422</v>
      </c>
      <c r="D198" s="1" t="s">
        <v>423</v>
      </c>
      <c r="E198" s="1" t="s">
        <v>422</v>
      </c>
      <c r="F198" s="50" t="s">
        <v>670</v>
      </c>
      <c r="G198" s="50" t="s">
        <v>664</v>
      </c>
      <c r="H198" s="50" t="s">
        <v>656</v>
      </c>
      <c r="I198" s="50" t="s">
        <v>657</v>
      </c>
      <c r="J198" s="1" t="s">
        <v>140</v>
      </c>
      <c r="K198" s="1" t="s">
        <v>141</v>
      </c>
      <c r="L198" s="1">
        <v>1892</v>
      </c>
      <c r="M198" s="1" t="s">
        <v>84</v>
      </c>
      <c r="N198" s="1">
        <v>444</v>
      </c>
      <c r="O198" s="47" t="str">
        <f t="shared" si="15"/>
        <v>&gt; 91 Days</v>
      </c>
      <c r="P198" s="1" t="s">
        <v>409</v>
      </c>
      <c r="Q198" s="1">
        <v>1001018750</v>
      </c>
      <c r="R198" s="1" t="s">
        <v>282</v>
      </c>
      <c r="S198" s="1" t="s">
        <v>178</v>
      </c>
      <c r="T198" s="1" t="s">
        <v>179</v>
      </c>
      <c r="U198" s="1" t="s">
        <v>146</v>
      </c>
      <c r="V198" s="1" t="s">
        <v>147</v>
      </c>
      <c r="W198" s="1" t="s">
        <v>148</v>
      </c>
      <c r="X198" s="44">
        <v>0</v>
      </c>
      <c r="Y198" s="44">
        <v>20.8</v>
      </c>
      <c r="Z198" s="44">
        <v>0.33</v>
      </c>
      <c r="AA198" s="44">
        <v>0</v>
      </c>
      <c r="AB198" s="44">
        <v>0</v>
      </c>
      <c r="AC198" s="44">
        <v>70.08</v>
      </c>
      <c r="AD198" s="45">
        <v>64474</v>
      </c>
      <c r="AE198" s="45"/>
      <c r="AF198" s="46">
        <v>64474</v>
      </c>
      <c r="AG198" s="55">
        <f t="shared" si="16"/>
        <v>0</v>
      </c>
      <c r="AH198" s="55">
        <f t="shared" si="17"/>
        <v>0</v>
      </c>
      <c r="AI198" s="55">
        <f t="shared" si="18"/>
        <v>0</v>
      </c>
      <c r="AJ198" s="55">
        <f t="shared" si="14"/>
        <v>64474</v>
      </c>
    </row>
    <row r="199" spans="1:36" ht="15" customHeight="1">
      <c r="A199" s="1">
        <v>49</v>
      </c>
      <c r="B199" s="1" t="s">
        <v>424</v>
      </c>
      <c r="C199" s="1" t="s">
        <v>425</v>
      </c>
      <c r="D199" s="1" t="s">
        <v>426</v>
      </c>
      <c r="E199" s="1" t="s">
        <v>425</v>
      </c>
      <c r="F199" s="50" t="s">
        <v>670</v>
      </c>
      <c r="G199" s="50" t="s">
        <v>664</v>
      </c>
      <c r="H199" s="50" t="s">
        <v>656</v>
      </c>
      <c r="I199" s="50" t="s">
        <v>665</v>
      </c>
      <c r="J199" s="1" t="s">
        <v>183</v>
      </c>
      <c r="K199" s="1" t="s">
        <v>141</v>
      </c>
      <c r="L199" s="1">
        <v>9141000132</v>
      </c>
      <c r="M199" s="1" t="s">
        <v>85</v>
      </c>
      <c r="N199" s="1">
        <v>765</v>
      </c>
      <c r="O199" s="47" t="str">
        <f t="shared" si="15"/>
        <v>&gt; 91 Days</v>
      </c>
      <c r="P199" s="1" t="s">
        <v>184</v>
      </c>
      <c r="Q199" s="1">
        <v>1141000319</v>
      </c>
      <c r="R199" s="1"/>
      <c r="S199" s="1" t="s">
        <v>321</v>
      </c>
      <c r="T199" s="1" t="s">
        <v>297</v>
      </c>
      <c r="U199" s="1" t="s">
        <v>146</v>
      </c>
      <c r="V199" s="1" t="s">
        <v>147</v>
      </c>
      <c r="W199" s="1" t="s">
        <v>162</v>
      </c>
      <c r="X199" s="44">
        <v>0</v>
      </c>
      <c r="Y199" s="44">
        <v>0</v>
      </c>
      <c r="Z199" s="44">
        <v>0</v>
      </c>
      <c r="AA199" s="44">
        <v>0</v>
      </c>
      <c r="AB199" s="44">
        <v>0</v>
      </c>
      <c r="AC199" s="44">
        <v>143</v>
      </c>
      <c r="AD199" s="45">
        <v>1433200</v>
      </c>
      <c r="AE199" s="45"/>
      <c r="AF199" s="46">
        <v>1433200</v>
      </c>
      <c r="AG199" s="55">
        <f t="shared" si="16"/>
        <v>0</v>
      </c>
      <c r="AH199" s="55">
        <f t="shared" si="17"/>
        <v>0</v>
      </c>
      <c r="AI199" s="55">
        <f t="shared" si="18"/>
        <v>0</v>
      </c>
      <c r="AJ199" s="55">
        <f t="shared" si="14"/>
        <v>1433200</v>
      </c>
    </row>
    <row r="200" spans="1:36" ht="15" customHeight="1">
      <c r="A200" s="1">
        <v>49</v>
      </c>
      <c r="B200" s="1" t="s">
        <v>424</v>
      </c>
      <c r="C200" s="1" t="s">
        <v>425</v>
      </c>
      <c r="D200" s="1" t="s">
        <v>426</v>
      </c>
      <c r="E200" s="1" t="s">
        <v>425</v>
      </c>
      <c r="F200" s="50" t="s">
        <v>670</v>
      </c>
      <c r="G200" s="50" t="s">
        <v>664</v>
      </c>
      <c r="H200" s="50" t="s">
        <v>656</v>
      </c>
      <c r="I200" s="50" t="s">
        <v>665</v>
      </c>
      <c r="J200" s="1" t="s">
        <v>183</v>
      </c>
      <c r="K200" s="1" t="s">
        <v>141</v>
      </c>
      <c r="L200" s="1">
        <v>9141000133</v>
      </c>
      <c r="M200" s="1" t="s">
        <v>85</v>
      </c>
      <c r="N200" s="1">
        <v>765</v>
      </c>
      <c r="O200" s="47" t="str">
        <f t="shared" si="15"/>
        <v>&gt; 91 Days</v>
      </c>
      <c r="P200" s="1" t="s">
        <v>184</v>
      </c>
      <c r="Q200" s="1">
        <v>1141000319</v>
      </c>
      <c r="R200" s="1"/>
      <c r="S200" s="1" t="s">
        <v>321</v>
      </c>
      <c r="T200" s="1" t="s">
        <v>297</v>
      </c>
      <c r="U200" s="1" t="s">
        <v>146</v>
      </c>
      <c r="V200" s="1" t="s">
        <v>147</v>
      </c>
      <c r="W200" s="1" t="s">
        <v>162</v>
      </c>
      <c r="X200" s="44">
        <v>0</v>
      </c>
      <c r="Y200" s="44">
        <v>0</v>
      </c>
      <c r="Z200" s="44">
        <v>0</v>
      </c>
      <c r="AA200" s="44">
        <v>0</v>
      </c>
      <c r="AB200" s="44">
        <v>0</v>
      </c>
      <c r="AC200" s="44">
        <v>0.1</v>
      </c>
      <c r="AD200" s="45">
        <v>157652</v>
      </c>
      <c r="AE200" s="45"/>
      <c r="AF200" s="46">
        <v>157652</v>
      </c>
      <c r="AG200" s="55">
        <f t="shared" si="16"/>
        <v>0</v>
      </c>
      <c r="AH200" s="55">
        <f t="shared" si="17"/>
        <v>0</v>
      </c>
      <c r="AI200" s="55">
        <f t="shared" si="18"/>
        <v>0</v>
      </c>
      <c r="AJ200" s="55">
        <f t="shared" si="14"/>
        <v>157652</v>
      </c>
    </row>
    <row r="201" spans="1:36" ht="15" customHeight="1">
      <c r="A201" s="1">
        <v>50</v>
      </c>
      <c r="B201" s="1" t="s">
        <v>427</v>
      </c>
      <c r="C201" s="1" t="s">
        <v>428</v>
      </c>
      <c r="D201" s="1" t="s">
        <v>429</v>
      </c>
      <c r="E201" s="1" t="s">
        <v>428</v>
      </c>
      <c r="F201" s="50" t="s">
        <v>663</v>
      </c>
      <c r="G201" s="50" t="s">
        <v>664</v>
      </c>
      <c r="H201" s="50" t="s">
        <v>656</v>
      </c>
      <c r="I201" s="50" t="s">
        <v>665</v>
      </c>
      <c r="J201" s="1" t="s">
        <v>183</v>
      </c>
      <c r="K201" s="1" t="s">
        <v>141</v>
      </c>
      <c r="L201" s="1">
        <v>9081000023</v>
      </c>
      <c r="M201" s="1" t="s">
        <v>58</v>
      </c>
      <c r="N201" s="1">
        <v>1041</v>
      </c>
      <c r="O201" s="47" t="str">
        <f t="shared" si="15"/>
        <v>&gt; 91 Days</v>
      </c>
      <c r="P201" s="1" t="s">
        <v>171</v>
      </c>
      <c r="Q201" s="1">
        <v>9081000051</v>
      </c>
      <c r="R201" s="1" t="s">
        <v>430</v>
      </c>
      <c r="S201" s="1" t="s">
        <v>321</v>
      </c>
      <c r="T201" s="1" t="s">
        <v>297</v>
      </c>
      <c r="U201" s="1" t="s">
        <v>146</v>
      </c>
      <c r="V201" s="1" t="s">
        <v>147</v>
      </c>
      <c r="W201" s="1" t="s">
        <v>160</v>
      </c>
      <c r="X201" s="44">
        <v>0</v>
      </c>
      <c r="Y201" s="44">
        <v>0</v>
      </c>
      <c r="Z201" s="44">
        <v>0</v>
      </c>
      <c r="AA201" s="44">
        <v>0</v>
      </c>
      <c r="AB201" s="44">
        <v>0</v>
      </c>
      <c r="AC201" s="44">
        <v>1425</v>
      </c>
      <c r="AD201" s="45">
        <v>31072826</v>
      </c>
      <c r="AE201" s="45"/>
      <c r="AF201" s="46">
        <v>31072826</v>
      </c>
      <c r="AG201" s="55">
        <f t="shared" si="16"/>
        <v>0</v>
      </c>
      <c r="AH201" s="55">
        <f t="shared" si="17"/>
        <v>0</v>
      </c>
      <c r="AI201" s="55">
        <f t="shared" si="18"/>
        <v>0</v>
      </c>
      <c r="AJ201" s="55">
        <f t="shared" si="14"/>
        <v>31072826</v>
      </c>
    </row>
    <row r="202" spans="1:36" ht="15" customHeight="1">
      <c r="A202" s="1">
        <v>50</v>
      </c>
      <c r="B202" s="1" t="s">
        <v>427</v>
      </c>
      <c r="C202" s="1" t="s">
        <v>428</v>
      </c>
      <c r="D202" s="1" t="s">
        <v>429</v>
      </c>
      <c r="E202" s="1" t="s">
        <v>428</v>
      </c>
      <c r="F202" s="50" t="s">
        <v>663</v>
      </c>
      <c r="G202" s="50" t="s">
        <v>664</v>
      </c>
      <c r="H202" s="50" t="s">
        <v>656</v>
      </c>
      <c r="I202" s="50" t="s">
        <v>665</v>
      </c>
      <c r="J202" s="1" t="s">
        <v>153</v>
      </c>
      <c r="K202" s="1" t="s">
        <v>141</v>
      </c>
      <c r="L202" s="1">
        <v>9081000026</v>
      </c>
      <c r="M202" s="1" t="s">
        <v>76</v>
      </c>
      <c r="N202" s="1">
        <v>1027</v>
      </c>
      <c r="O202" s="47" t="str">
        <f t="shared" si="15"/>
        <v>&gt; 91 Days</v>
      </c>
      <c r="P202" s="1" t="s">
        <v>171</v>
      </c>
      <c r="Q202" s="1">
        <v>9081000100</v>
      </c>
      <c r="R202" s="1" t="s">
        <v>282</v>
      </c>
      <c r="S202" s="1" t="s">
        <v>321</v>
      </c>
      <c r="T202" s="1" t="s">
        <v>297</v>
      </c>
      <c r="U202" s="1" t="s">
        <v>146</v>
      </c>
      <c r="V202" s="1" t="s">
        <v>147</v>
      </c>
      <c r="W202" s="1" t="s">
        <v>160</v>
      </c>
      <c r="X202" s="44">
        <v>0</v>
      </c>
      <c r="Y202" s="44">
        <v>0</v>
      </c>
      <c r="Z202" s="44">
        <v>0</v>
      </c>
      <c r="AA202" s="44">
        <v>0</v>
      </c>
      <c r="AB202" s="44">
        <v>0</v>
      </c>
      <c r="AC202" s="44">
        <v>120</v>
      </c>
      <c r="AD202" s="45">
        <v>2381366</v>
      </c>
      <c r="AE202" s="45"/>
      <c r="AF202" s="46">
        <v>2381366</v>
      </c>
      <c r="AG202" s="55">
        <f t="shared" si="16"/>
        <v>0</v>
      </c>
      <c r="AH202" s="55">
        <f t="shared" si="17"/>
        <v>0</v>
      </c>
      <c r="AI202" s="55">
        <f t="shared" si="18"/>
        <v>0</v>
      </c>
      <c r="AJ202" s="55">
        <f t="shared" ref="AJ202:AJ265" si="19">IF($O202="&gt; 91 Days",$AF202,0)</f>
        <v>2381366</v>
      </c>
    </row>
    <row r="203" spans="1:36" ht="15" customHeight="1">
      <c r="A203" s="1">
        <v>50</v>
      </c>
      <c r="B203" s="1" t="s">
        <v>427</v>
      </c>
      <c r="C203" s="1" t="s">
        <v>428</v>
      </c>
      <c r="D203" s="1" t="s">
        <v>429</v>
      </c>
      <c r="E203" s="1" t="s">
        <v>428</v>
      </c>
      <c r="F203" s="50" t="s">
        <v>663</v>
      </c>
      <c r="G203" s="50" t="s">
        <v>664</v>
      </c>
      <c r="H203" s="50" t="s">
        <v>656</v>
      </c>
      <c r="I203" s="50" t="s">
        <v>665</v>
      </c>
      <c r="J203" s="1" t="s">
        <v>153</v>
      </c>
      <c r="K203" s="1" t="s">
        <v>141</v>
      </c>
      <c r="L203" s="1">
        <v>9081000042</v>
      </c>
      <c r="M203" s="1" t="s">
        <v>77</v>
      </c>
      <c r="N203" s="1">
        <v>980</v>
      </c>
      <c r="O203" s="47" t="str">
        <f t="shared" si="15"/>
        <v>&gt; 91 Days</v>
      </c>
      <c r="P203" s="1" t="s">
        <v>171</v>
      </c>
      <c r="Q203" s="1">
        <v>9081000120</v>
      </c>
      <c r="R203" s="1"/>
      <c r="S203" s="1" t="s">
        <v>321</v>
      </c>
      <c r="T203" s="1" t="s">
        <v>297</v>
      </c>
      <c r="U203" s="1" t="s">
        <v>146</v>
      </c>
      <c r="V203" s="1" t="s">
        <v>147</v>
      </c>
      <c r="W203" s="1" t="s">
        <v>160</v>
      </c>
      <c r="X203" s="44">
        <v>0</v>
      </c>
      <c r="Y203" s="44">
        <v>0</v>
      </c>
      <c r="Z203" s="44">
        <v>0</v>
      </c>
      <c r="AA203" s="44">
        <v>0</v>
      </c>
      <c r="AB203" s="44">
        <v>0</v>
      </c>
      <c r="AC203" s="44">
        <v>1939</v>
      </c>
      <c r="AD203" s="45">
        <v>34894953</v>
      </c>
      <c r="AE203" s="45"/>
      <c r="AF203" s="46">
        <v>34894953</v>
      </c>
      <c r="AG203" s="55">
        <f t="shared" si="16"/>
        <v>0</v>
      </c>
      <c r="AH203" s="55">
        <f t="shared" si="17"/>
        <v>0</v>
      </c>
      <c r="AI203" s="55">
        <f t="shared" si="18"/>
        <v>0</v>
      </c>
      <c r="AJ203" s="55">
        <f t="shared" si="19"/>
        <v>34894953</v>
      </c>
    </row>
    <row r="204" spans="1:36" ht="15" customHeight="1">
      <c r="A204" s="1">
        <v>51</v>
      </c>
      <c r="B204" s="1" t="s">
        <v>431</v>
      </c>
      <c r="C204" s="1" t="s">
        <v>432</v>
      </c>
      <c r="D204" s="1" t="s">
        <v>433</v>
      </c>
      <c r="E204" s="1" t="s">
        <v>432</v>
      </c>
      <c r="F204" s="50" t="s">
        <v>663</v>
      </c>
      <c r="G204" s="50" t="s">
        <v>664</v>
      </c>
      <c r="H204" s="50" t="s">
        <v>656</v>
      </c>
      <c r="I204" s="50" t="s">
        <v>665</v>
      </c>
      <c r="J204" s="1" t="s">
        <v>183</v>
      </c>
      <c r="K204" s="1" t="s">
        <v>141</v>
      </c>
      <c r="L204" s="1">
        <v>9081000019</v>
      </c>
      <c r="M204" s="1" t="s">
        <v>58</v>
      </c>
      <c r="N204" s="1">
        <v>1041</v>
      </c>
      <c r="O204" s="47" t="str">
        <f t="shared" si="15"/>
        <v>&gt; 91 Days</v>
      </c>
      <c r="P204" s="1" t="s">
        <v>171</v>
      </c>
      <c r="Q204" s="1">
        <v>9081000033</v>
      </c>
      <c r="R204" s="1"/>
      <c r="S204" s="1" t="s">
        <v>321</v>
      </c>
      <c r="T204" s="1" t="s">
        <v>297</v>
      </c>
      <c r="U204" s="1" t="s">
        <v>146</v>
      </c>
      <c r="V204" s="1" t="s">
        <v>147</v>
      </c>
      <c r="W204" s="1" t="s">
        <v>160</v>
      </c>
      <c r="X204" s="44">
        <v>0</v>
      </c>
      <c r="Y204" s="44">
        <v>0</v>
      </c>
      <c r="Z204" s="44">
        <v>0</v>
      </c>
      <c r="AA204" s="44">
        <v>0</v>
      </c>
      <c r="AB204" s="44">
        <v>0</v>
      </c>
      <c r="AC204" s="44">
        <v>2950</v>
      </c>
      <c r="AD204" s="45">
        <v>30677286</v>
      </c>
      <c r="AE204" s="45"/>
      <c r="AF204" s="46">
        <v>30677286</v>
      </c>
      <c r="AG204" s="55">
        <f t="shared" si="16"/>
        <v>0</v>
      </c>
      <c r="AH204" s="55">
        <f t="shared" si="17"/>
        <v>0</v>
      </c>
      <c r="AI204" s="55">
        <f t="shared" si="18"/>
        <v>0</v>
      </c>
      <c r="AJ204" s="55">
        <f t="shared" si="19"/>
        <v>30677286</v>
      </c>
    </row>
    <row r="205" spans="1:36" ht="15" customHeight="1">
      <c r="A205" s="1">
        <v>51</v>
      </c>
      <c r="B205" s="1" t="s">
        <v>431</v>
      </c>
      <c r="C205" s="1" t="s">
        <v>432</v>
      </c>
      <c r="D205" s="1" t="s">
        <v>433</v>
      </c>
      <c r="E205" s="1" t="s">
        <v>432</v>
      </c>
      <c r="F205" s="50" t="s">
        <v>663</v>
      </c>
      <c r="G205" s="50" t="s">
        <v>664</v>
      </c>
      <c r="H205" s="50" t="s">
        <v>656</v>
      </c>
      <c r="I205" s="50" t="s">
        <v>657</v>
      </c>
      <c r="J205" s="1" t="s">
        <v>183</v>
      </c>
      <c r="K205" s="1" t="s">
        <v>141</v>
      </c>
      <c r="L205" s="1">
        <v>9271000023</v>
      </c>
      <c r="M205" s="1" t="s">
        <v>58</v>
      </c>
      <c r="N205" s="1">
        <v>1041</v>
      </c>
      <c r="O205" s="47" t="str">
        <f t="shared" si="15"/>
        <v>&gt; 91 Days</v>
      </c>
      <c r="P205" s="1" t="s">
        <v>171</v>
      </c>
      <c r="Q205" s="1">
        <v>1351000240</v>
      </c>
      <c r="R205" s="1" t="s">
        <v>434</v>
      </c>
      <c r="S205" s="1" t="s">
        <v>321</v>
      </c>
      <c r="T205" s="1" t="s">
        <v>297</v>
      </c>
      <c r="U205" s="1" t="s">
        <v>146</v>
      </c>
      <c r="V205" s="1" t="s">
        <v>147</v>
      </c>
      <c r="W205" s="1" t="s">
        <v>341</v>
      </c>
      <c r="X205" s="44">
        <v>0</v>
      </c>
      <c r="Y205" s="44">
        <v>0</v>
      </c>
      <c r="Z205" s="44">
        <v>0</v>
      </c>
      <c r="AA205" s="44">
        <v>0</v>
      </c>
      <c r="AB205" s="44">
        <v>0</v>
      </c>
      <c r="AC205" s="44">
        <v>243</v>
      </c>
      <c r="AD205" s="45">
        <v>2459330</v>
      </c>
      <c r="AE205" s="45"/>
      <c r="AF205" s="46">
        <v>2459330</v>
      </c>
      <c r="AG205" s="55">
        <f t="shared" si="16"/>
        <v>0</v>
      </c>
      <c r="AH205" s="55">
        <f t="shared" si="17"/>
        <v>0</v>
      </c>
      <c r="AI205" s="55">
        <f t="shared" si="18"/>
        <v>0</v>
      </c>
      <c r="AJ205" s="55">
        <f t="shared" si="19"/>
        <v>2459330</v>
      </c>
    </row>
    <row r="206" spans="1:36" ht="15" customHeight="1">
      <c r="A206" s="1">
        <v>52</v>
      </c>
      <c r="B206" s="1" t="s">
        <v>435</v>
      </c>
      <c r="C206" s="1" t="s">
        <v>436</v>
      </c>
      <c r="D206" s="1" t="s">
        <v>437</v>
      </c>
      <c r="E206" s="1" t="s">
        <v>436</v>
      </c>
      <c r="F206" s="50" t="s">
        <v>663</v>
      </c>
      <c r="G206" s="50" t="s">
        <v>664</v>
      </c>
      <c r="H206" s="50" t="s">
        <v>656</v>
      </c>
      <c r="I206" s="50" t="s">
        <v>657</v>
      </c>
      <c r="J206" s="1" t="s">
        <v>183</v>
      </c>
      <c r="K206" s="1" t="s">
        <v>141</v>
      </c>
      <c r="L206" s="1">
        <v>9271000219</v>
      </c>
      <c r="M206" s="1" t="s">
        <v>86</v>
      </c>
      <c r="N206" s="1">
        <v>491</v>
      </c>
      <c r="O206" s="47" t="str">
        <f t="shared" si="15"/>
        <v>&gt; 91 Days</v>
      </c>
      <c r="P206" s="1" t="s">
        <v>171</v>
      </c>
      <c r="Q206" s="1">
        <v>1351000401</v>
      </c>
      <c r="R206" s="1" t="s">
        <v>438</v>
      </c>
      <c r="S206" s="1" t="s">
        <v>296</v>
      </c>
      <c r="T206" s="1" t="s">
        <v>297</v>
      </c>
      <c r="U206" s="1" t="s">
        <v>146</v>
      </c>
      <c r="V206" s="1" t="s">
        <v>147</v>
      </c>
      <c r="W206" s="1" t="s">
        <v>341</v>
      </c>
      <c r="X206" s="44">
        <v>0</v>
      </c>
      <c r="Y206" s="44">
        <v>0</v>
      </c>
      <c r="Z206" s="44">
        <v>0</v>
      </c>
      <c r="AA206" s="44">
        <v>0</v>
      </c>
      <c r="AB206" s="44">
        <v>0</v>
      </c>
      <c r="AC206" s="44">
        <v>1170.78</v>
      </c>
      <c r="AD206" s="45">
        <v>11707900</v>
      </c>
      <c r="AE206" s="45"/>
      <c r="AF206" s="46">
        <v>11707900</v>
      </c>
      <c r="AG206" s="55">
        <f t="shared" si="16"/>
        <v>0</v>
      </c>
      <c r="AH206" s="55">
        <f t="shared" si="17"/>
        <v>0</v>
      </c>
      <c r="AI206" s="55">
        <f t="shared" si="18"/>
        <v>0</v>
      </c>
      <c r="AJ206" s="55">
        <f t="shared" si="19"/>
        <v>11707900</v>
      </c>
    </row>
    <row r="207" spans="1:36" ht="15" customHeight="1">
      <c r="A207" s="1">
        <v>53</v>
      </c>
      <c r="B207" s="1" t="s">
        <v>439</v>
      </c>
      <c r="C207" s="1" t="s">
        <v>440</v>
      </c>
      <c r="D207" s="1" t="s">
        <v>441</v>
      </c>
      <c r="E207" s="1" t="s">
        <v>440</v>
      </c>
      <c r="F207" s="50" t="s">
        <v>658</v>
      </c>
      <c r="G207" s="50" t="s">
        <v>655</v>
      </c>
      <c r="H207" s="50" t="s">
        <v>656</v>
      </c>
      <c r="I207" s="50" t="s">
        <v>657</v>
      </c>
      <c r="J207" s="1" t="s">
        <v>140</v>
      </c>
      <c r="K207" s="1" t="s">
        <v>141</v>
      </c>
      <c r="L207" s="1">
        <v>1005002230</v>
      </c>
      <c r="M207" s="1" t="s">
        <v>51</v>
      </c>
      <c r="N207" s="1">
        <v>43</v>
      </c>
      <c r="O207" s="47" t="str">
        <f t="shared" si="15"/>
        <v>31-60</v>
      </c>
      <c r="P207" s="1" t="s">
        <v>142</v>
      </c>
      <c r="Q207" s="1">
        <v>1001027292</v>
      </c>
      <c r="R207" s="1" t="s">
        <v>442</v>
      </c>
      <c r="S207" s="1" t="s">
        <v>144</v>
      </c>
      <c r="T207" s="1" t="s">
        <v>145</v>
      </c>
      <c r="U207" s="1" t="s">
        <v>146</v>
      </c>
      <c r="V207" s="1" t="s">
        <v>147</v>
      </c>
      <c r="W207" s="1" t="s">
        <v>148</v>
      </c>
      <c r="X207" s="44">
        <v>4.92</v>
      </c>
      <c r="Y207" s="44">
        <v>0.64</v>
      </c>
      <c r="Z207" s="44">
        <v>0</v>
      </c>
      <c r="AA207" s="44">
        <v>0</v>
      </c>
      <c r="AB207" s="44">
        <v>0</v>
      </c>
      <c r="AC207" s="44">
        <v>89.08</v>
      </c>
      <c r="AD207" s="45">
        <v>1285424</v>
      </c>
      <c r="AE207" s="45"/>
      <c r="AF207" s="46">
        <v>1285424</v>
      </c>
      <c r="AG207" s="55">
        <f t="shared" si="16"/>
        <v>0</v>
      </c>
      <c r="AH207" s="55">
        <f t="shared" si="17"/>
        <v>1285424</v>
      </c>
      <c r="AI207" s="55">
        <f t="shared" si="18"/>
        <v>0</v>
      </c>
      <c r="AJ207" s="55">
        <f t="shared" si="19"/>
        <v>0</v>
      </c>
    </row>
    <row r="208" spans="1:36" ht="15" customHeight="1">
      <c r="A208" s="1">
        <v>54</v>
      </c>
      <c r="B208" s="1" t="s">
        <v>443</v>
      </c>
      <c r="C208" s="1" t="s">
        <v>444</v>
      </c>
      <c r="D208" s="1" t="s">
        <v>445</v>
      </c>
      <c r="E208" s="1" t="s">
        <v>444</v>
      </c>
      <c r="F208" s="50" t="s">
        <v>670</v>
      </c>
      <c r="G208" s="50" t="s">
        <v>664</v>
      </c>
      <c r="H208" s="50" t="s">
        <v>656</v>
      </c>
      <c r="I208" s="50" t="s">
        <v>665</v>
      </c>
      <c r="J208" s="1" t="s">
        <v>170</v>
      </c>
      <c r="K208" s="1" t="s">
        <v>141</v>
      </c>
      <c r="L208" s="1">
        <v>9085000067</v>
      </c>
      <c r="M208" s="1" t="s">
        <v>87</v>
      </c>
      <c r="N208" s="1">
        <v>296</v>
      </c>
      <c r="O208" s="47" t="str">
        <f t="shared" si="15"/>
        <v>&gt; 91 Days</v>
      </c>
      <c r="P208" s="1" t="s">
        <v>171</v>
      </c>
      <c r="Q208" s="1">
        <v>9081001035</v>
      </c>
      <c r="R208" s="1" t="s">
        <v>446</v>
      </c>
      <c r="S208" s="1" t="s">
        <v>178</v>
      </c>
      <c r="T208" s="1" t="s">
        <v>179</v>
      </c>
      <c r="U208" s="1" t="s">
        <v>146</v>
      </c>
      <c r="V208" s="1" t="s">
        <v>147</v>
      </c>
      <c r="W208" s="1" t="s">
        <v>160</v>
      </c>
      <c r="X208" s="44">
        <v>0</v>
      </c>
      <c r="Y208" s="44">
        <v>0</v>
      </c>
      <c r="Z208" s="44">
        <v>0</v>
      </c>
      <c r="AA208" s="44">
        <v>0</v>
      </c>
      <c r="AB208" s="44">
        <v>0</v>
      </c>
      <c r="AC208" s="44">
        <v>630.4</v>
      </c>
      <c r="AD208" s="45">
        <v>769088</v>
      </c>
      <c r="AE208" s="45"/>
      <c r="AF208" s="46">
        <v>769088</v>
      </c>
      <c r="AG208" s="55">
        <f t="shared" si="16"/>
        <v>0</v>
      </c>
      <c r="AH208" s="55">
        <f t="shared" si="17"/>
        <v>0</v>
      </c>
      <c r="AI208" s="55">
        <f t="shared" si="18"/>
        <v>0</v>
      </c>
      <c r="AJ208" s="55">
        <f t="shared" si="19"/>
        <v>769088</v>
      </c>
    </row>
    <row r="209" spans="1:36" ht="15" customHeight="1">
      <c r="A209" s="1">
        <v>55</v>
      </c>
      <c r="B209" s="1" t="s">
        <v>447</v>
      </c>
      <c r="C209" s="1" t="s">
        <v>448</v>
      </c>
      <c r="D209" s="1" t="s">
        <v>449</v>
      </c>
      <c r="E209" s="1" t="s">
        <v>448</v>
      </c>
      <c r="F209" s="52" t="s">
        <v>671</v>
      </c>
      <c r="G209" s="52" t="s">
        <v>659</v>
      </c>
      <c r="H209" s="50" t="s">
        <v>656</v>
      </c>
      <c r="I209" s="50" t="s">
        <v>657</v>
      </c>
      <c r="J209" s="1" t="s">
        <v>170</v>
      </c>
      <c r="K209" s="1" t="s">
        <v>141</v>
      </c>
      <c r="L209" s="1">
        <v>1005002027</v>
      </c>
      <c r="M209" s="1" t="s">
        <v>88</v>
      </c>
      <c r="N209" s="1">
        <v>73</v>
      </c>
      <c r="O209" s="47" t="str">
        <f t="shared" si="15"/>
        <v>61-90</v>
      </c>
      <c r="P209" s="1" t="s">
        <v>171</v>
      </c>
      <c r="Q209" s="1">
        <v>1001024208</v>
      </c>
      <c r="R209" s="1" t="s">
        <v>450</v>
      </c>
      <c r="S209" s="1" t="s">
        <v>178</v>
      </c>
      <c r="T209" s="1" t="s">
        <v>179</v>
      </c>
      <c r="U209" s="1" t="s">
        <v>146</v>
      </c>
      <c r="V209" s="1" t="s">
        <v>147</v>
      </c>
      <c r="W209" s="1" t="s">
        <v>148</v>
      </c>
      <c r="X209" s="44">
        <v>0</v>
      </c>
      <c r="Y209" s="44">
        <v>20.41</v>
      </c>
      <c r="Z209" s="44">
        <v>0.94</v>
      </c>
      <c r="AA209" s="44">
        <v>0</v>
      </c>
      <c r="AB209" s="44">
        <v>0</v>
      </c>
      <c r="AC209" s="44">
        <v>780.35</v>
      </c>
      <c r="AD209" s="45">
        <v>858385</v>
      </c>
      <c r="AE209" s="45"/>
      <c r="AF209" s="46">
        <v>858385</v>
      </c>
      <c r="AG209" s="55">
        <f t="shared" si="16"/>
        <v>0</v>
      </c>
      <c r="AH209" s="55">
        <f t="shared" si="17"/>
        <v>0</v>
      </c>
      <c r="AI209" s="55">
        <f t="shared" si="18"/>
        <v>858385</v>
      </c>
      <c r="AJ209" s="55">
        <f t="shared" si="19"/>
        <v>0</v>
      </c>
    </row>
    <row r="210" spans="1:36" ht="15" customHeight="1">
      <c r="A210" s="1">
        <v>55</v>
      </c>
      <c r="B210" s="1" t="s">
        <v>447</v>
      </c>
      <c r="C210" s="1" t="s">
        <v>448</v>
      </c>
      <c r="D210" s="1" t="s">
        <v>449</v>
      </c>
      <c r="E210" s="1" t="s">
        <v>448</v>
      </c>
      <c r="F210" s="52" t="s">
        <v>671</v>
      </c>
      <c r="G210" s="52" t="s">
        <v>659</v>
      </c>
      <c r="H210" s="50" t="s">
        <v>656</v>
      </c>
      <c r="I210" s="50" t="s">
        <v>657</v>
      </c>
      <c r="J210" s="1" t="s">
        <v>170</v>
      </c>
      <c r="K210" s="1" t="s">
        <v>141</v>
      </c>
      <c r="L210" s="1">
        <v>1005002028</v>
      </c>
      <c r="M210" s="1" t="s">
        <v>88</v>
      </c>
      <c r="N210" s="1">
        <v>73</v>
      </c>
      <c r="O210" s="47" t="str">
        <f t="shared" si="15"/>
        <v>61-90</v>
      </c>
      <c r="P210" s="1" t="s">
        <v>171</v>
      </c>
      <c r="Q210" s="1">
        <v>1001025335</v>
      </c>
      <c r="R210" s="1" t="s">
        <v>451</v>
      </c>
      <c r="S210" s="1" t="s">
        <v>178</v>
      </c>
      <c r="T210" s="1" t="s">
        <v>179</v>
      </c>
      <c r="U210" s="1" t="s">
        <v>146</v>
      </c>
      <c r="V210" s="1" t="s">
        <v>147</v>
      </c>
      <c r="W210" s="1" t="s">
        <v>148</v>
      </c>
      <c r="X210" s="44">
        <v>0</v>
      </c>
      <c r="Y210" s="44">
        <v>20.51</v>
      </c>
      <c r="Z210" s="44">
        <v>0.88</v>
      </c>
      <c r="AA210" s="44">
        <v>0</v>
      </c>
      <c r="AB210" s="44">
        <v>0</v>
      </c>
      <c r="AC210" s="44">
        <v>2583.65</v>
      </c>
      <c r="AD210" s="45">
        <v>3410417</v>
      </c>
      <c r="AE210" s="45"/>
      <c r="AF210" s="46">
        <v>3410417</v>
      </c>
      <c r="AG210" s="55">
        <f t="shared" si="16"/>
        <v>0</v>
      </c>
      <c r="AH210" s="55">
        <f t="shared" si="17"/>
        <v>0</v>
      </c>
      <c r="AI210" s="55">
        <f t="shared" si="18"/>
        <v>3410417</v>
      </c>
      <c r="AJ210" s="55">
        <f t="shared" si="19"/>
        <v>0</v>
      </c>
    </row>
    <row r="211" spans="1:36" ht="15" customHeight="1">
      <c r="A211" s="1">
        <v>55</v>
      </c>
      <c r="B211" s="1" t="s">
        <v>447</v>
      </c>
      <c r="C211" s="1" t="s">
        <v>448</v>
      </c>
      <c r="D211" s="1" t="s">
        <v>449</v>
      </c>
      <c r="E211" s="1" t="s">
        <v>448</v>
      </c>
      <c r="F211" s="52" t="s">
        <v>671</v>
      </c>
      <c r="G211" s="52" t="s">
        <v>659</v>
      </c>
      <c r="H211" s="50" t="s">
        <v>656</v>
      </c>
      <c r="I211" s="50" t="s">
        <v>657</v>
      </c>
      <c r="J211" s="1" t="s">
        <v>170</v>
      </c>
      <c r="K211" s="1" t="s">
        <v>141</v>
      </c>
      <c r="L211" s="1">
        <v>1005002029</v>
      </c>
      <c r="M211" s="1" t="s">
        <v>88</v>
      </c>
      <c r="N211" s="1">
        <v>73</v>
      </c>
      <c r="O211" s="47" t="str">
        <f t="shared" si="15"/>
        <v>61-90</v>
      </c>
      <c r="P211" s="1" t="s">
        <v>171</v>
      </c>
      <c r="Q211" s="1">
        <v>1001025905</v>
      </c>
      <c r="R211" s="1" t="s">
        <v>452</v>
      </c>
      <c r="S211" s="1" t="s">
        <v>178</v>
      </c>
      <c r="T211" s="1" t="s">
        <v>179</v>
      </c>
      <c r="U211" s="1" t="s">
        <v>146</v>
      </c>
      <c r="V211" s="1" t="s">
        <v>147</v>
      </c>
      <c r="W211" s="1" t="s">
        <v>148</v>
      </c>
      <c r="X211" s="44">
        <v>0</v>
      </c>
      <c r="Y211" s="44">
        <v>20.53</v>
      </c>
      <c r="Z211" s="44">
        <v>0.9</v>
      </c>
      <c r="AA211" s="44">
        <v>0</v>
      </c>
      <c r="AB211" s="44">
        <v>0</v>
      </c>
      <c r="AC211" s="44">
        <v>1733.46</v>
      </c>
      <c r="AD211" s="45">
        <v>2270832</v>
      </c>
      <c r="AE211" s="45"/>
      <c r="AF211" s="46">
        <v>2270832</v>
      </c>
      <c r="AG211" s="55">
        <f t="shared" si="16"/>
        <v>0</v>
      </c>
      <c r="AH211" s="55">
        <f t="shared" si="17"/>
        <v>0</v>
      </c>
      <c r="AI211" s="55">
        <f t="shared" si="18"/>
        <v>2270832</v>
      </c>
      <c r="AJ211" s="55">
        <f t="shared" si="19"/>
        <v>0</v>
      </c>
    </row>
    <row r="212" spans="1:36" ht="15" customHeight="1">
      <c r="A212" s="1">
        <v>55</v>
      </c>
      <c r="B212" s="1" t="s">
        <v>447</v>
      </c>
      <c r="C212" s="1" t="s">
        <v>448</v>
      </c>
      <c r="D212" s="1" t="s">
        <v>449</v>
      </c>
      <c r="E212" s="1" t="s">
        <v>448</v>
      </c>
      <c r="F212" s="52" t="s">
        <v>672</v>
      </c>
      <c r="G212" s="52" t="s">
        <v>659</v>
      </c>
      <c r="H212" s="50" t="s">
        <v>656</v>
      </c>
      <c r="I212" s="50" t="s">
        <v>657</v>
      </c>
      <c r="J212" s="1" t="s">
        <v>170</v>
      </c>
      <c r="K212" s="1" t="s">
        <v>141</v>
      </c>
      <c r="L212" s="1">
        <v>1005002203</v>
      </c>
      <c r="M212" s="1" t="s">
        <v>89</v>
      </c>
      <c r="N212" s="1">
        <v>44</v>
      </c>
      <c r="O212" s="47" t="str">
        <f t="shared" si="15"/>
        <v>31-60</v>
      </c>
      <c r="P212" s="1" t="s">
        <v>171</v>
      </c>
      <c r="Q212" s="1">
        <v>1001026480</v>
      </c>
      <c r="R212" s="1" t="s">
        <v>453</v>
      </c>
      <c r="S212" s="1" t="s">
        <v>178</v>
      </c>
      <c r="T212" s="1" t="s">
        <v>179</v>
      </c>
      <c r="U212" s="1" t="s">
        <v>146</v>
      </c>
      <c r="V212" s="1" t="s">
        <v>147</v>
      </c>
      <c r="W212" s="1" t="s">
        <v>148</v>
      </c>
      <c r="X212" s="44">
        <v>0</v>
      </c>
      <c r="Y212" s="44">
        <v>20.57</v>
      </c>
      <c r="Z212" s="44">
        <v>0.87</v>
      </c>
      <c r="AA212" s="44">
        <v>0</v>
      </c>
      <c r="AB212" s="44">
        <v>0</v>
      </c>
      <c r="AC212" s="44">
        <v>1180.53</v>
      </c>
      <c r="AD212" s="45">
        <v>1369414</v>
      </c>
      <c r="AE212" s="45"/>
      <c r="AF212" s="46">
        <v>1369414</v>
      </c>
      <c r="AG212" s="55">
        <f t="shared" si="16"/>
        <v>0</v>
      </c>
      <c r="AH212" s="55">
        <f t="shared" si="17"/>
        <v>1369414</v>
      </c>
      <c r="AI212" s="55">
        <f t="shared" si="18"/>
        <v>0</v>
      </c>
      <c r="AJ212" s="55">
        <f t="shared" si="19"/>
        <v>0</v>
      </c>
    </row>
    <row r="213" spans="1:36" ht="15" customHeight="1">
      <c r="A213" s="1">
        <v>56</v>
      </c>
      <c r="B213" s="1" t="s">
        <v>454</v>
      </c>
      <c r="C213" s="1" t="s">
        <v>455</v>
      </c>
      <c r="D213" s="49" t="s">
        <v>252</v>
      </c>
      <c r="E213" s="1" t="s">
        <v>455</v>
      </c>
      <c r="F213" s="50" t="s">
        <v>658</v>
      </c>
      <c r="G213" s="50" t="s">
        <v>655</v>
      </c>
      <c r="H213" s="50" t="s">
        <v>656</v>
      </c>
      <c r="I213" s="50" t="s">
        <v>657</v>
      </c>
      <c r="J213" s="1" t="s">
        <v>183</v>
      </c>
      <c r="K213" s="1" t="s">
        <v>141</v>
      </c>
      <c r="L213" s="1">
        <v>1005002394</v>
      </c>
      <c r="M213" s="1" t="s">
        <v>90</v>
      </c>
      <c r="N213" s="1">
        <v>15</v>
      </c>
      <c r="O213" s="47" t="str">
        <f t="shared" ref="O213:O267" si="20">VLOOKUP(N213,$M$1:$N$4,2,TRUE)</f>
        <v>0-30</v>
      </c>
      <c r="P213" s="1" t="s">
        <v>184</v>
      </c>
      <c r="Q213" s="1">
        <v>1001026781</v>
      </c>
      <c r="R213" s="1" t="s">
        <v>457</v>
      </c>
      <c r="S213" s="1" t="s">
        <v>144</v>
      </c>
      <c r="T213" s="1" t="s">
        <v>145</v>
      </c>
      <c r="U213" s="1" t="s">
        <v>146</v>
      </c>
      <c r="V213" s="1" t="s">
        <v>147</v>
      </c>
      <c r="W213" s="1" t="s">
        <v>148</v>
      </c>
      <c r="X213" s="44">
        <v>5.4</v>
      </c>
      <c r="Y213" s="44">
        <v>0.34</v>
      </c>
      <c r="Z213" s="44">
        <v>0</v>
      </c>
      <c r="AA213" s="44">
        <v>0</v>
      </c>
      <c r="AB213" s="44">
        <v>0</v>
      </c>
      <c r="AC213" s="44">
        <v>124800</v>
      </c>
      <c r="AD213" s="45">
        <v>6240000</v>
      </c>
      <c r="AE213" s="45"/>
      <c r="AF213" s="46">
        <v>6240000</v>
      </c>
      <c r="AG213" s="55">
        <f t="shared" ref="AG213:AG265" si="21">IF($O213="0-30",$AF213,0)</f>
        <v>6240000</v>
      </c>
      <c r="AH213" s="55">
        <f t="shared" ref="AH213:AH265" si="22">IF($O213="31-60",$AF213,0)</f>
        <v>0</v>
      </c>
      <c r="AI213" s="55">
        <f t="shared" ref="AI213:AI265" si="23">IF($O213="61-90",$AF213,0)</f>
        <v>0</v>
      </c>
      <c r="AJ213" s="55">
        <f t="shared" si="19"/>
        <v>0</v>
      </c>
    </row>
    <row r="214" spans="1:36" ht="15" customHeight="1">
      <c r="A214" s="1">
        <v>56</v>
      </c>
      <c r="B214" s="1" t="s">
        <v>454</v>
      </c>
      <c r="C214" s="1" t="s">
        <v>455</v>
      </c>
      <c r="D214" s="49" t="s">
        <v>252</v>
      </c>
      <c r="E214" s="1" t="s">
        <v>455</v>
      </c>
      <c r="F214" s="50" t="s">
        <v>658</v>
      </c>
      <c r="G214" s="50" t="s">
        <v>655</v>
      </c>
      <c r="H214" s="50" t="s">
        <v>656</v>
      </c>
      <c r="I214" s="50" t="s">
        <v>657</v>
      </c>
      <c r="J214" s="1" t="s">
        <v>183</v>
      </c>
      <c r="K214" s="1" t="s">
        <v>141</v>
      </c>
      <c r="L214" s="1">
        <v>1005002395</v>
      </c>
      <c r="M214" s="1" t="s">
        <v>90</v>
      </c>
      <c r="N214" s="1">
        <v>15</v>
      </c>
      <c r="O214" s="47" t="str">
        <f t="shared" si="20"/>
        <v>0-30</v>
      </c>
      <c r="P214" s="1" t="s">
        <v>184</v>
      </c>
      <c r="Q214" s="1">
        <v>1001026797</v>
      </c>
      <c r="R214" s="1" t="s">
        <v>458</v>
      </c>
      <c r="S214" s="1" t="s">
        <v>144</v>
      </c>
      <c r="T214" s="1" t="s">
        <v>145</v>
      </c>
      <c r="U214" s="1" t="s">
        <v>146</v>
      </c>
      <c r="V214" s="1" t="s">
        <v>147</v>
      </c>
      <c r="W214" s="1" t="s">
        <v>148</v>
      </c>
      <c r="X214" s="44">
        <v>5.47</v>
      </c>
      <c r="Y214" s="44">
        <v>0.37</v>
      </c>
      <c r="Z214" s="44">
        <v>0</v>
      </c>
      <c r="AA214" s="44">
        <v>0</v>
      </c>
      <c r="AB214" s="44">
        <v>0</v>
      </c>
      <c r="AC214" s="44">
        <v>149780</v>
      </c>
      <c r="AD214" s="45">
        <v>7489000</v>
      </c>
      <c r="AE214" s="45"/>
      <c r="AF214" s="46">
        <v>7489000</v>
      </c>
      <c r="AG214" s="55">
        <f t="shared" si="21"/>
        <v>7489000</v>
      </c>
      <c r="AH214" s="55">
        <f t="shared" si="22"/>
        <v>0</v>
      </c>
      <c r="AI214" s="55">
        <f t="shared" si="23"/>
        <v>0</v>
      </c>
      <c r="AJ214" s="55">
        <f t="shared" si="19"/>
        <v>0</v>
      </c>
    </row>
    <row r="215" spans="1:36" ht="15" customHeight="1">
      <c r="A215" s="1">
        <v>56</v>
      </c>
      <c r="B215" s="1" t="s">
        <v>454</v>
      </c>
      <c r="C215" s="1" t="s">
        <v>455</v>
      </c>
      <c r="D215" s="49" t="s">
        <v>252</v>
      </c>
      <c r="E215" s="1" t="s">
        <v>455</v>
      </c>
      <c r="F215" s="50" t="s">
        <v>658</v>
      </c>
      <c r="G215" s="50" t="s">
        <v>655</v>
      </c>
      <c r="H215" s="50" t="s">
        <v>656</v>
      </c>
      <c r="I215" s="50" t="s">
        <v>657</v>
      </c>
      <c r="J215" s="1" t="s">
        <v>183</v>
      </c>
      <c r="K215" s="1" t="s">
        <v>141</v>
      </c>
      <c r="L215" s="1">
        <v>1005002396</v>
      </c>
      <c r="M215" s="1" t="s">
        <v>90</v>
      </c>
      <c r="N215" s="1">
        <v>15</v>
      </c>
      <c r="O215" s="47" t="str">
        <f t="shared" si="20"/>
        <v>0-30</v>
      </c>
      <c r="P215" s="1" t="s">
        <v>184</v>
      </c>
      <c r="Q215" s="1">
        <v>1001026837</v>
      </c>
      <c r="R215" s="1" t="s">
        <v>459</v>
      </c>
      <c r="S215" s="1" t="s">
        <v>144</v>
      </c>
      <c r="T215" s="1" t="s">
        <v>145</v>
      </c>
      <c r="U215" s="1" t="s">
        <v>146</v>
      </c>
      <c r="V215" s="1" t="s">
        <v>147</v>
      </c>
      <c r="W215" s="1" t="s">
        <v>148</v>
      </c>
      <c r="X215" s="44">
        <v>5.48</v>
      </c>
      <c r="Y215" s="44">
        <v>0.37</v>
      </c>
      <c r="Z215" s="44">
        <v>0</v>
      </c>
      <c r="AA215" s="44">
        <v>0</v>
      </c>
      <c r="AB215" s="44">
        <v>0</v>
      </c>
      <c r="AC215" s="44">
        <v>74990</v>
      </c>
      <c r="AD215" s="45">
        <v>3749500</v>
      </c>
      <c r="AE215" s="45"/>
      <c r="AF215" s="46">
        <v>3749500</v>
      </c>
      <c r="AG215" s="55">
        <f t="shared" si="21"/>
        <v>3749500</v>
      </c>
      <c r="AH215" s="55">
        <f t="shared" si="22"/>
        <v>0</v>
      </c>
      <c r="AI215" s="55">
        <f t="shared" si="23"/>
        <v>0</v>
      </c>
      <c r="AJ215" s="55">
        <f t="shared" si="19"/>
        <v>0</v>
      </c>
    </row>
    <row r="216" spans="1:36" ht="15" customHeight="1">
      <c r="A216" s="1">
        <v>56</v>
      </c>
      <c r="B216" s="1" t="s">
        <v>454</v>
      </c>
      <c r="C216" s="1" t="s">
        <v>455</v>
      </c>
      <c r="D216" s="49" t="s">
        <v>252</v>
      </c>
      <c r="E216" s="1" t="s">
        <v>455</v>
      </c>
      <c r="F216" s="50" t="s">
        <v>658</v>
      </c>
      <c r="G216" s="50" t="s">
        <v>655</v>
      </c>
      <c r="H216" s="50" t="s">
        <v>656</v>
      </c>
      <c r="I216" s="50" t="s">
        <v>657</v>
      </c>
      <c r="J216" s="1" t="s">
        <v>183</v>
      </c>
      <c r="K216" s="1" t="s">
        <v>141</v>
      </c>
      <c r="L216" s="1">
        <v>1005002397</v>
      </c>
      <c r="M216" s="1" t="s">
        <v>90</v>
      </c>
      <c r="N216" s="1">
        <v>15</v>
      </c>
      <c r="O216" s="47" t="str">
        <f t="shared" si="20"/>
        <v>0-30</v>
      </c>
      <c r="P216" s="1" t="s">
        <v>184</v>
      </c>
      <c r="Q216" s="1">
        <v>1001026859</v>
      </c>
      <c r="R216" s="1" t="s">
        <v>460</v>
      </c>
      <c r="S216" s="1" t="s">
        <v>144</v>
      </c>
      <c r="T216" s="1" t="s">
        <v>145</v>
      </c>
      <c r="U216" s="1" t="s">
        <v>146</v>
      </c>
      <c r="V216" s="1" t="s">
        <v>147</v>
      </c>
      <c r="W216" s="1" t="s">
        <v>148</v>
      </c>
      <c r="X216" s="44">
        <v>5.49</v>
      </c>
      <c r="Y216" s="44">
        <v>0.34</v>
      </c>
      <c r="Z216" s="44">
        <v>0</v>
      </c>
      <c r="AA216" s="44">
        <v>0</v>
      </c>
      <c r="AB216" s="44">
        <v>0</v>
      </c>
      <c r="AC216" s="44">
        <v>145310</v>
      </c>
      <c r="AD216" s="45">
        <v>8117000</v>
      </c>
      <c r="AE216" s="45"/>
      <c r="AF216" s="46">
        <v>8117000</v>
      </c>
      <c r="AG216" s="55">
        <f t="shared" si="21"/>
        <v>8117000</v>
      </c>
      <c r="AH216" s="55">
        <f t="shared" si="22"/>
        <v>0</v>
      </c>
      <c r="AI216" s="55">
        <f t="shared" si="23"/>
        <v>0</v>
      </c>
      <c r="AJ216" s="55">
        <f t="shared" si="19"/>
        <v>0</v>
      </c>
    </row>
    <row r="217" spans="1:36" ht="15" customHeight="1">
      <c r="A217" s="1">
        <v>56</v>
      </c>
      <c r="B217" s="1" t="s">
        <v>454</v>
      </c>
      <c r="C217" s="1" t="s">
        <v>455</v>
      </c>
      <c r="D217" s="49" t="s">
        <v>252</v>
      </c>
      <c r="E217" s="1" t="s">
        <v>455</v>
      </c>
      <c r="F217" s="50" t="s">
        <v>658</v>
      </c>
      <c r="G217" s="50" t="s">
        <v>655</v>
      </c>
      <c r="H217" s="50" t="s">
        <v>656</v>
      </c>
      <c r="I217" s="50" t="s">
        <v>657</v>
      </c>
      <c r="J217" s="1" t="s">
        <v>183</v>
      </c>
      <c r="K217" s="1" t="s">
        <v>141</v>
      </c>
      <c r="L217" s="1">
        <v>1005002398</v>
      </c>
      <c r="M217" s="1" t="s">
        <v>90</v>
      </c>
      <c r="N217" s="1">
        <v>15</v>
      </c>
      <c r="O217" s="47" t="str">
        <f t="shared" si="20"/>
        <v>0-30</v>
      </c>
      <c r="P217" s="1" t="s">
        <v>184</v>
      </c>
      <c r="Q217" s="1">
        <v>1001026931</v>
      </c>
      <c r="R217" s="1" t="s">
        <v>461</v>
      </c>
      <c r="S217" s="1" t="s">
        <v>144</v>
      </c>
      <c r="T217" s="1" t="s">
        <v>145</v>
      </c>
      <c r="U217" s="1" t="s">
        <v>146</v>
      </c>
      <c r="V217" s="1" t="s">
        <v>147</v>
      </c>
      <c r="W217" s="1" t="s">
        <v>148</v>
      </c>
      <c r="X217" s="44">
        <v>5.35</v>
      </c>
      <c r="Y217" s="44">
        <v>0.35</v>
      </c>
      <c r="Z217" s="44">
        <v>0</v>
      </c>
      <c r="AA217" s="44">
        <v>0</v>
      </c>
      <c r="AB217" s="44">
        <v>0</v>
      </c>
      <c r="AC217" s="44">
        <v>500340</v>
      </c>
      <c r="AD217" s="45">
        <v>20745000</v>
      </c>
      <c r="AE217" s="45"/>
      <c r="AF217" s="46">
        <v>20745000</v>
      </c>
      <c r="AG217" s="55">
        <f t="shared" si="21"/>
        <v>20745000</v>
      </c>
      <c r="AH217" s="55">
        <f t="shared" si="22"/>
        <v>0</v>
      </c>
      <c r="AI217" s="55">
        <f t="shared" si="23"/>
        <v>0</v>
      </c>
      <c r="AJ217" s="55">
        <f t="shared" si="19"/>
        <v>0</v>
      </c>
    </row>
    <row r="218" spans="1:36" ht="15" customHeight="1">
      <c r="A218" s="1">
        <v>56</v>
      </c>
      <c r="B218" s="1" t="s">
        <v>454</v>
      </c>
      <c r="C218" s="1" t="s">
        <v>455</v>
      </c>
      <c r="D218" s="49" t="s">
        <v>252</v>
      </c>
      <c r="E218" s="1" t="s">
        <v>455</v>
      </c>
      <c r="F218" s="50" t="s">
        <v>658</v>
      </c>
      <c r="G218" s="50" t="s">
        <v>655</v>
      </c>
      <c r="H218" s="50" t="s">
        <v>656</v>
      </c>
      <c r="I218" s="50" t="s">
        <v>657</v>
      </c>
      <c r="J218" s="1" t="s">
        <v>183</v>
      </c>
      <c r="K218" s="1" t="s">
        <v>141</v>
      </c>
      <c r="L218" s="1">
        <v>1005002400</v>
      </c>
      <c r="M218" s="1" t="s">
        <v>90</v>
      </c>
      <c r="N218" s="1">
        <v>15</v>
      </c>
      <c r="O218" s="47" t="str">
        <f t="shared" si="20"/>
        <v>0-30</v>
      </c>
      <c r="P218" s="1" t="s">
        <v>184</v>
      </c>
      <c r="Q218" s="1">
        <v>1001026983</v>
      </c>
      <c r="R218" s="1" t="s">
        <v>462</v>
      </c>
      <c r="S218" s="1" t="s">
        <v>144</v>
      </c>
      <c r="T218" s="1" t="s">
        <v>145</v>
      </c>
      <c r="U218" s="1" t="s">
        <v>146</v>
      </c>
      <c r="V218" s="1" t="s">
        <v>147</v>
      </c>
      <c r="W218" s="1" t="s">
        <v>148</v>
      </c>
      <c r="X218" s="44">
        <v>5.27</v>
      </c>
      <c r="Y218" s="44">
        <v>0.34</v>
      </c>
      <c r="Z218" s="44">
        <v>0</v>
      </c>
      <c r="AA218" s="44">
        <v>0</v>
      </c>
      <c r="AB218" s="44">
        <v>0</v>
      </c>
      <c r="AC218" s="44">
        <v>150060</v>
      </c>
      <c r="AD218" s="45">
        <v>6214750</v>
      </c>
      <c r="AE218" s="45"/>
      <c r="AF218" s="46">
        <v>6214750</v>
      </c>
      <c r="AG218" s="55">
        <f t="shared" si="21"/>
        <v>6214750</v>
      </c>
      <c r="AH218" s="55">
        <f t="shared" si="22"/>
        <v>0</v>
      </c>
      <c r="AI218" s="55">
        <f t="shared" si="23"/>
        <v>0</v>
      </c>
      <c r="AJ218" s="55">
        <f t="shared" si="19"/>
        <v>0</v>
      </c>
    </row>
    <row r="219" spans="1:36" ht="15" customHeight="1">
      <c r="A219" s="1">
        <v>56</v>
      </c>
      <c r="B219" s="1" t="s">
        <v>454</v>
      </c>
      <c r="C219" s="1" t="s">
        <v>455</v>
      </c>
      <c r="D219" s="49" t="s">
        <v>252</v>
      </c>
      <c r="E219" s="1" t="s">
        <v>455</v>
      </c>
      <c r="F219" s="50" t="s">
        <v>658</v>
      </c>
      <c r="G219" s="50" t="s">
        <v>655</v>
      </c>
      <c r="H219" s="50" t="s">
        <v>656</v>
      </c>
      <c r="I219" s="50" t="s">
        <v>657</v>
      </c>
      <c r="J219" s="1" t="s">
        <v>183</v>
      </c>
      <c r="K219" s="1" t="s">
        <v>141</v>
      </c>
      <c r="L219" s="1">
        <v>1005002401</v>
      </c>
      <c r="M219" s="1" t="s">
        <v>90</v>
      </c>
      <c r="N219" s="1">
        <v>15</v>
      </c>
      <c r="O219" s="47" t="str">
        <f t="shared" si="20"/>
        <v>0-30</v>
      </c>
      <c r="P219" s="1" t="s">
        <v>184</v>
      </c>
      <c r="Q219" s="1">
        <v>1001027019</v>
      </c>
      <c r="R219" s="1" t="s">
        <v>463</v>
      </c>
      <c r="S219" s="1" t="s">
        <v>144</v>
      </c>
      <c r="T219" s="1" t="s">
        <v>145</v>
      </c>
      <c r="U219" s="1" t="s">
        <v>146</v>
      </c>
      <c r="V219" s="1" t="s">
        <v>147</v>
      </c>
      <c r="W219" s="1" t="s">
        <v>148</v>
      </c>
      <c r="X219" s="44">
        <v>5.34</v>
      </c>
      <c r="Y219" s="44">
        <v>0.33</v>
      </c>
      <c r="Z219" s="44">
        <v>0</v>
      </c>
      <c r="AA219" s="44">
        <v>0</v>
      </c>
      <c r="AB219" s="44">
        <v>0</v>
      </c>
      <c r="AC219" s="44">
        <v>124930</v>
      </c>
      <c r="AD219" s="45">
        <v>6246500</v>
      </c>
      <c r="AE219" s="45"/>
      <c r="AF219" s="46">
        <v>6246500</v>
      </c>
      <c r="AG219" s="55">
        <f t="shared" si="21"/>
        <v>6246500</v>
      </c>
      <c r="AH219" s="55">
        <f t="shared" si="22"/>
        <v>0</v>
      </c>
      <c r="AI219" s="55">
        <f t="shared" si="23"/>
        <v>0</v>
      </c>
      <c r="AJ219" s="55">
        <f t="shared" si="19"/>
        <v>0</v>
      </c>
    </row>
    <row r="220" spans="1:36" ht="15" customHeight="1">
      <c r="A220" s="1">
        <v>56</v>
      </c>
      <c r="B220" s="1" t="s">
        <v>454</v>
      </c>
      <c r="C220" s="1" t="s">
        <v>455</v>
      </c>
      <c r="D220" s="49" t="s">
        <v>252</v>
      </c>
      <c r="E220" s="1" t="s">
        <v>455</v>
      </c>
      <c r="F220" s="50" t="s">
        <v>658</v>
      </c>
      <c r="G220" s="50" t="s">
        <v>655</v>
      </c>
      <c r="H220" s="50" t="s">
        <v>656</v>
      </c>
      <c r="I220" s="50" t="s">
        <v>657</v>
      </c>
      <c r="J220" s="1" t="s">
        <v>183</v>
      </c>
      <c r="K220" s="1" t="s">
        <v>141</v>
      </c>
      <c r="L220" s="1">
        <v>1005002402</v>
      </c>
      <c r="M220" s="1" t="s">
        <v>90</v>
      </c>
      <c r="N220" s="1">
        <v>15</v>
      </c>
      <c r="O220" s="47" t="str">
        <f t="shared" si="20"/>
        <v>0-30</v>
      </c>
      <c r="P220" s="1" t="s">
        <v>184</v>
      </c>
      <c r="Q220" s="1">
        <v>1001027089</v>
      </c>
      <c r="R220" s="1" t="s">
        <v>464</v>
      </c>
      <c r="S220" s="1" t="s">
        <v>144</v>
      </c>
      <c r="T220" s="1" t="s">
        <v>145</v>
      </c>
      <c r="U220" s="1" t="s">
        <v>146</v>
      </c>
      <c r="V220" s="1" t="s">
        <v>147</v>
      </c>
      <c r="W220" s="1" t="s">
        <v>148</v>
      </c>
      <c r="X220" s="44">
        <v>5.33</v>
      </c>
      <c r="Y220" s="44">
        <v>0.33</v>
      </c>
      <c r="Z220" s="44">
        <v>0</v>
      </c>
      <c r="AA220" s="44">
        <v>0</v>
      </c>
      <c r="AB220" s="44">
        <v>0</v>
      </c>
      <c r="AC220" s="44">
        <v>74870</v>
      </c>
      <c r="AD220" s="45">
        <v>3313750</v>
      </c>
      <c r="AE220" s="45"/>
      <c r="AF220" s="46">
        <v>3313750</v>
      </c>
      <c r="AG220" s="55">
        <f t="shared" si="21"/>
        <v>3313750</v>
      </c>
      <c r="AH220" s="55">
        <f t="shared" si="22"/>
        <v>0</v>
      </c>
      <c r="AI220" s="55">
        <f t="shared" si="23"/>
        <v>0</v>
      </c>
      <c r="AJ220" s="55">
        <f t="shared" si="19"/>
        <v>0</v>
      </c>
    </row>
    <row r="221" spans="1:36" ht="15" customHeight="1">
      <c r="A221" s="1">
        <v>56</v>
      </c>
      <c r="B221" s="1" t="s">
        <v>454</v>
      </c>
      <c r="C221" s="1" t="s">
        <v>455</v>
      </c>
      <c r="D221" s="49" t="s">
        <v>252</v>
      </c>
      <c r="E221" s="1" t="s">
        <v>455</v>
      </c>
      <c r="F221" s="50" t="s">
        <v>658</v>
      </c>
      <c r="G221" s="50" t="s">
        <v>655</v>
      </c>
      <c r="H221" s="50" t="s">
        <v>656</v>
      </c>
      <c r="I221" s="50" t="s">
        <v>657</v>
      </c>
      <c r="J221" s="1" t="s">
        <v>183</v>
      </c>
      <c r="K221" s="1" t="s">
        <v>141</v>
      </c>
      <c r="L221" s="1">
        <v>1005002403</v>
      </c>
      <c r="M221" s="1" t="s">
        <v>90</v>
      </c>
      <c r="N221" s="1">
        <v>15</v>
      </c>
      <c r="O221" s="47" t="str">
        <f t="shared" si="20"/>
        <v>0-30</v>
      </c>
      <c r="P221" s="1" t="s">
        <v>184</v>
      </c>
      <c r="Q221" s="1">
        <v>1001027121</v>
      </c>
      <c r="R221" s="1" t="s">
        <v>465</v>
      </c>
      <c r="S221" s="1" t="s">
        <v>144</v>
      </c>
      <c r="T221" s="1" t="s">
        <v>145</v>
      </c>
      <c r="U221" s="1" t="s">
        <v>146</v>
      </c>
      <c r="V221" s="1" t="s">
        <v>147</v>
      </c>
      <c r="W221" s="1" t="s">
        <v>148</v>
      </c>
      <c r="X221" s="44">
        <v>5.46</v>
      </c>
      <c r="Y221" s="44">
        <v>0.33</v>
      </c>
      <c r="Z221" s="44">
        <v>0</v>
      </c>
      <c r="AA221" s="44">
        <v>0</v>
      </c>
      <c r="AB221" s="44">
        <v>0</v>
      </c>
      <c r="AC221" s="44">
        <v>149830</v>
      </c>
      <c r="AD221" s="45">
        <v>8228000</v>
      </c>
      <c r="AE221" s="45"/>
      <c r="AF221" s="46">
        <v>8228000</v>
      </c>
      <c r="AG221" s="55">
        <f t="shared" si="21"/>
        <v>8228000</v>
      </c>
      <c r="AH221" s="55">
        <f t="shared" si="22"/>
        <v>0</v>
      </c>
      <c r="AI221" s="55">
        <f t="shared" si="23"/>
        <v>0</v>
      </c>
      <c r="AJ221" s="55">
        <f t="shared" si="19"/>
        <v>0</v>
      </c>
    </row>
    <row r="222" spans="1:36" ht="15" customHeight="1">
      <c r="A222" s="1">
        <v>56</v>
      </c>
      <c r="B222" s="1" t="s">
        <v>454</v>
      </c>
      <c r="C222" s="1" t="s">
        <v>455</v>
      </c>
      <c r="D222" s="49" t="s">
        <v>252</v>
      </c>
      <c r="E222" s="1" t="s">
        <v>455</v>
      </c>
      <c r="F222" s="50" t="s">
        <v>658</v>
      </c>
      <c r="G222" s="50" t="s">
        <v>655</v>
      </c>
      <c r="H222" s="50" t="s">
        <v>656</v>
      </c>
      <c r="I222" s="50" t="s">
        <v>657</v>
      </c>
      <c r="J222" s="1" t="s">
        <v>183</v>
      </c>
      <c r="K222" s="1" t="s">
        <v>141</v>
      </c>
      <c r="L222" s="1">
        <v>1005002404</v>
      </c>
      <c r="M222" s="1" t="s">
        <v>90</v>
      </c>
      <c r="N222" s="1">
        <v>15</v>
      </c>
      <c r="O222" s="47" t="str">
        <f t="shared" si="20"/>
        <v>0-30</v>
      </c>
      <c r="P222" s="1" t="s">
        <v>184</v>
      </c>
      <c r="Q222" s="1">
        <v>1001027164</v>
      </c>
      <c r="R222" s="1" t="s">
        <v>466</v>
      </c>
      <c r="S222" s="1" t="s">
        <v>144</v>
      </c>
      <c r="T222" s="1" t="s">
        <v>145</v>
      </c>
      <c r="U222" s="1" t="s">
        <v>146</v>
      </c>
      <c r="V222" s="1" t="s">
        <v>147</v>
      </c>
      <c r="W222" s="1" t="s">
        <v>148</v>
      </c>
      <c r="X222" s="44">
        <v>5.29</v>
      </c>
      <c r="Y222" s="44">
        <v>0.33</v>
      </c>
      <c r="Z222" s="44">
        <v>0</v>
      </c>
      <c r="AA222" s="44">
        <v>0</v>
      </c>
      <c r="AB222" s="44">
        <v>0</v>
      </c>
      <c r="AC222" s="44">
        <v>125140</v>
      </c>
      <c r="AD222" s="45">
        <v>5080250</v>
      </c>
      <c r="AE222" s="45"/>
      <c r="AF222" s="46">
        <v>5080250</v>
      </c>
      <c r="AG222" s="55">
        <f t="shared" si="21"/>
        <v>5080250</v>
      </c>
      <c r="AH222" s="55">
        <f t="shared" si="22"/>
        <v>0</v>
      </c>
      <c r="AI222" s="55">
        <f t="shared" si="23"/>
        <v>0</v>
      </c>
      <c r="AJ222" s="55">
        <f t="shared" si="19"/>
        <v>0</v>
      </c>
    </row>
    <row r="223" spans="1:36" ht="15" customHeight="1">
      <c r="A223" s="1">
        <v>56</v>
      </c>
      <c r="B223" s="1" t="s">
        <v>454</v>
      </c>
      <c r="C223" s="1" t="s">
        <v>455</v>
      </c>
      <c r="D223" s="49" t="s">
        <v>252</v>
      </c>
      <c r="E223" s="1" t="s">
        <v>455</v>
      </c>
      <c r="F223" s="50" t="s">
        <v>658</v>
      </c>
      <c r="G223" s="50" t="s">
        <v>655</v>
      </c>
      <c r="H223" s="50" t="s">
        <v>656</v>
      </c>
      <c r="I223" s="50" t="s">
        <v>657</v>
      </c>
      <c r="J223" s="1" t="s">
        <v>183</v>
      </c>
      <c r="K223" s="1" t="s">
        <v>141</v>
      </c>
      <c r="L223" s="1">
        <v>1005002405</v>
      </c>
      <c r="M223" s="1" t="s">
        <v>90</v>
      </c>
      <c r="N223" s="1">
        <v>15</v>
      </c>
      <c r="O223" s="47" t="str">
        <f t="shared" si="20"/>
        <v>0-30</v>
      </c>
      <c r="P223" s="1" t="s">
        <v>184</v>
      </c>
      <c r="Q223" s="1">
        <v>1001027208</v>
      </c>
      <c r="R223" s="1" t="s">
        <v>467</v>
      </c>
      <c r="S223" s="1" t="s">
        <v>144</v>
      </c>
      <c r="T223" s="1" t="s">
        <v>145</v>
      </c>
      <c r="U223" s="1" t="s">
        <v>146</v>
      </c>
      <c r="V223" s="1" t="s">
        <v>147</v>
      </c>
      <c r="W223" s="1" t="s">
        <v>148</v>
      </c>
      <c r="X223" s="44">
        <v>5.34</v>
      </c>
      <c r="Y223" s="44">
        <v>0.33</v>
      </c>
      <c r="Z223" s="44">
        <v>0</v>
      </c>
      <c r="AA223" s="44">
        <v>0</v>
      </c>
      <c r="AB223" s="44">
        <v>0</v>
      </c>
      <c r="AC223" s="44">
        <v>75080</v>
      </c>
      <c r="AD223" s="45">
        <v>3754000</v>
      </c>
      <c r="AE223" s="45"/>
      <c r="AF223" s="46">
        <v>3754000</v>
      </c>
      <c r="AG223" s="55">
        <f t="shared" si="21"/>
        <v>3754000</v>
      </c>
      <c r="AH223" s="55">
        <f t="shared" si="22"/>
        <v>0</v>
      </c>
      <c r="AI223" s="55">
        <f t="shared" si="23"/>
        <v>0</v>
      </c>
      <c r="AJ223" s="55">
        <f t="shared" si="19"/>
        <v>0</v>
      </c>
    </row>
    <row r="224" spans="1:36" ht="15" customHeight="1">
      <c r="A224" s="1">
        <v>56</v>
      </c>
      <c r="B224" s="1" t="s">
        <v>454</v>
      </c>
      <c r="C224" s="1" t="s">
        <v>455</v>
      </c>
      <c r="D224" s="49" t="s">
        <v>252</v>
      </c>
      <c r="E224" s="1" t="s">
        <v>455</v>
      </c>
      <c r="F224" s="50" t="s">
        <v>658</v>
      </c>
      <c r="G224" s="50" t="s">
        <v>655</v>
      </c>
      <c r="H224" s="50" t="s">
        <v>656</v>
      </c>
      <c r="I224" s="50" t="s">
        <v>657</v>
      </c>
      <c r="J224" s="1" t="s">
        <v>183</v>
      </c>
      <c r="K224" s="1" t="s">
        <v>141</v>
      </c>
      <c r="L224" s="1">
        <v>1005002406</v>
      </c>
      <c r="M224" s="1" t="s">
        <v>90</v>
      </c>
      <c r="N224" s="1">
        <v>15</v>
      </c>
      <c r="O224" s="47" t="str">
        <f t="shared" si="20"/>
        <v>0-30</v>
      </c>
      <c r="P224" s="1" t="s">
        <v>184</v>
      </c>
      <c r="Q224" s="1">
        <v>1001027234</v>
      </c>
      <c r="R224" s="1" t="s">
        <v>468</v>
      </c>
      <c r="S224" s="1" t="s">
        <v>144</v>
      </c>
      <c r="T224" s="1" t="s">
        <v>145</v>
      </c>
      <c r="U224" s="1" t="s">
        <v>146</v>
      </c>
      <c r="V224" s="1" t="s">
        <v>147</v>
      </c>
      <c r="W224" s="1" t="s">
        <v>148</v>
      </c>
      <c r="X224" s="44">
        <v>5.32</v>
      </c>
      <c r="Y224" s="44">
        <v>0.32</v>
      </c>
      <c r="Z224" s="44">
        <v>0</v>
      </c>
      <c r="AA224" s="44">
        <v>0</v>
      </c>
      <c r="AB224" s="44">
        <v>0</v>
      </c>
      <c r="AC224" s="44">
        <v>124740</v>
      </c>
      <c r="AD224" s="45">
        <v>5816500</v>
      </c>
      <c r="AE224" s="45"/>
      <c r="AF224" s="46">
        <v>5816500</v>
      </c>
      <c r="AG224" s="55">
        <f t="shared" si="21"/>
        <v>5816500</v>
      </c>
      <c r="AH224" s="55">
        <f t="shared" si="22"/>
        <v>0</v>
      </c>
      <c r="AI224" s="55">
        <f t="shared" si="23"/>
        <v>0</v>
      </c>
      <c r="AJ224" s="55">
        <f t="shared" si="19"/>
        <v>0</v>
      </c>
    </row>
    <row r="225" spans="1:36" ht="15" customHeight="1">
      <c r="A225" s="1">
        <v>57</v>
      </c>
      <c r="B225" s="1" t="s">
        <v>469</v>
      </c>
      <c r="C225" s="1" t="s">
        <v>470</v>
      </c>
      <c r="D225" s="1" t="s">
        <v>471</v>
      </c>
      <c r="E225" s="1" t="s">
        <v>470</v>
      </c>
      <c r="F225" s="50" t="s">
        <v>670</v>
      </c>
      <c r="G225" s="50" t="s">
        <v>664</v>
      </c>
      <c r="H225" s="50" t="s">
        <v>656</v>
      </c>
      <c r="I225" s="50" t="s">
        <v>657</v>
      </c>
      <c r="J225" s="1" t="s">
        <v>170</v>
      </c>
      <c r="K225" s="1" t="s">
        <v>141</v>
      </c>
      <c r="L225" s="1">
        <v>1005002315</v>
      </c>
      <c r="M225" s="1" t="s">
        <v>10</v>
      </c>
      <c r="N225" s="1">
        <v>31</v>
      </c>
      <c r="O225" s="47" t="str">
        <f t="shared" si="20"/>
        <v>31-60</v>
      </c>
      <c r="P225" s="1" t="s">
        <v>171</v>
      </c>
      <c r="Q225" s="1">
        <v>1001022813</v>
      </c>
      <c r="R225" s="1" t="s">
        <v>472</v>
      </c>
      <c r="S225" s="1" t="s">
        <v>178</v>
      </c>
      <c r="T225" s="1" t="s">
        <v>179</v>
      </c>
      <c r="U225" s="1" t="s">
        <v>146</v>
      </c>
      <c r="V225" s="1" t="s">
        <v>147</v>
      </c>
      <c r="W225" s="1" t="s">
        <v>148</v>
      </c>
      <c r="X225" s="44">
        <v>0</v>
      </c>
      <c r="Y225" s="44">
        <v>20.82</v>
      </c>
      <c r="Z225" s="44">
        <v>0.21</v>
      </c>
      <c r="AA225" s="44">
        <v>0</v>
      </c>
      <c r="AB225" s="44">
        <v>0</v>
      </c>
      <c r="AC225" s="44">
        <v>3319.45</v>
      </c>
      <c r="AD225" s="45">
        <v>2954310</v>
      </c>
      <c r="AE225" s="45"/>
      <c r="AF225" s="46">
        <v>2954310</v>
      </c>
      <c r="AG225" s="55">
        <f t="shared" si="21"/>
        <v>0</v>
      </c>
      <c r="AH225" s="55">
        <f t="shared" si="22"/>
        <v>2954310</v>
      </c>
      <c r="AI225" s="55">
        <f t="shared" si="23"/>
        <v>0</v>
      </c>
      <c r="AJ225" s="55">
        <f t="shared" si="19"/>
        <v>0</v>
      </c>
    </row>
    <row r="226" spans="1:36" ht="15" customHeight="1">
      <c r="A226" s="1">
        <v>57</v>
      </c>
      <c r="B226" s="1" t="s">
        <v>469</v>
      </c>
      <c r="C226" s="1" t="s">
        <v>470</v>
      </c>
      <c r="D226" s="1" t="s">
        <v>471</v>
      </c>
      <c r="E226" s="1" t="s">
        <v>470</v>
      </c>
      <c r="F226" s="50" t="s">
        <v>670</v>
      </c>
      <c r="G226" s="50" t="s">
        <v>664</v>
      </c>
      <c r="H226" s="50" t="s">
        <v>656</v>
      </c>
      <c r="I226" s="50" t="s">
        <v>657</v>
      </c>
      <c r="J226" s="1" t="s">
        <v>170</v>
      </c>
      <c r="K226" s="1" t="s">
        <v>141</v>
      </c>
      <c r="L226" s="1">
        <v>1005002272</v>
      </c>
      <c r="M226" s="1" t="s">
        <v>43</v>
      </c>
      <c r="N226" s="1">
        <v>38</v>
      </c>
      <c r="O226" s="47" t="str">
        <f t="shared" si="20"/>
        <v>31-60</v>
      </c>
      <c r="P226" s="1" t="s">
        <v>226</v>
      </c>
      <c r="Q226" s="1">
        <v>1001023552</v>
      </c>
      <c r="R226" s="1" t="s">
        <v>473</v>
      </c>
      <c r="S226" s="1" t="s">
        <v>178</v>
      </c>
      <c r="T226" s="1" t="s">
        <v>179</v>
      </c>
      <c r="U226" s="1" t="s">
        <v>146</v>
      </c>
      <c r="V226" s="1" t="s">
        <v>147</v>
      </c>
      <c r="W226" s="1" t="s">
        <v>148</v>
      </c>
      <c r="X226" s="44">
        <v>0</v>
      </c>
      <c r="Y226" s="44">
        <v>21.91</v>
      </c>
      <c r="Z226" s="44">
        <v>0</v>
      </c>
      <c r="AA226" s="44">
        <v>0</v>
      </c>
      <c r="AB226" s="44">
        <v>0</v>
      </c>
      <c r="AC226" s="44">
        <v>3997.27</v>
      </c>
      <c r="AD226" s="45">
        <v>3637517</v>
      </c>
      <c r="AE226" s="45"/>
      <c r="AF226" s="46">
        <v>3637517</v>
      </c>
      <c r="AG226" s="55">
        <f t="shared" si="21"/>
        <v>0</v>
      </c>
      <c r="AH226" s="55">
        <f t="shared" si="22"/>
        <v>3637517</v>
      </c>
      <c r="AI226" s="55">
        <f t="shared" si="23"/>
        <v>0</v>
      </c>
      <c r="AJ226" s="55">
        <f t="shared" si="19"/>
        <v>0</v>
      </c>
    </row>
    <row r="227" spans="1:36" ht="15" customHeight="1">
      <c r="A227" s="1">
        <v>57</v>
      </c>
      <c r="B227" s="1" t="s">
        <v>469</v>
      </c>
      <c r="C227" s="1" t="s">
        <v>470</v>
      </c>
      <c r="D227" s="1" t="s">
        <v>471</v>
      </c>
      <c r="E227" s="1" t="s">
        <v>470</v>
      </c>
      <c r="F227" s="50" t="s">
        <v>670</v>
      </c>
      <c r="G227" s="50" t="s">
        <v>664</v>
      </c>
      <c r="H227" s="50" t="s">
        <v>656</v>
      </c>
      <c r="I227" s="50" t="s">
        <v>657</v>
      </c>
      <c r="J227" s="1" t="s">
        <v>170</v>
      </c>
      <c r="K227" s="1" t="s">
        <v>141</v>
      </c>
      <c r="L227" s="1">
        <v>1005002316</v>
      </c>
      <c r="M227" s="1" t="s">
        <v>10</v>
      </c>
      <c r="N227" s="1">
        <v>31</v>
      </c>
      <c r="O227" s="47" t="str">
        <f t="shared" si="20"/>
        <v>31-60</v>
      </c>
      <c r="P227" s="1" t="s">
        <v>226</v>
      </c>
      <c r="Q227" s="1">
        <v>1001023654</v>
      </c>
      <c r="R227" s="1" t="s">
        <v>474</v>
      </c>
      <c r="S227" s="1" t="s">
        <v>178</v>
      </c>
      <c r="T227" s="1" t="s">
        <v>179</v>
      </c>
      <c r="U227" s="1" t="s">
        <v>146</v>
      </c>
      <c r="V227" s="1" t="s">
        <v>147</v>
      </c>
      <c r="W227" s="1" t="s">
        <v>148</v>
      </c>
      <c r="X227" s="44">
        <v>0</v>
      </c>
      <c r="Y227" s="44">
        <v>20.79</v>
      </c>
      <c r="Z227" s="44">
        <v>0.32</v>
      </c>
      <c r="AA227" s="44">
        <v>0</v>
      </c>
      <c r="AB227" s="44">
        <v>0</v>
      </c>
      <c r="AC227" s="44">
        <v>5860.63</v>
      </c>
      <c r="AD227" s="45">
        <v>5333174</v>
      </c>
      <c r="AE227" s="45"/>
      <c r="AF227" s="46">
        <v>5333174</v>
      </c>
      <c r="AG227" s="55">
        <f t="shared" si="21"/>
        <v>0</v>
      </c>
      <c r="AH227" s="55">
        <f t="shared" si="22"/>
        <v>5333174</v>
      </c>
      <c r="AI227" s="55">
        <f t="shared" si="23"/>
        <v>0</v>
      </c>
      <c r="AJ227" s="55">
        <f t="shared" si="19"/>
        <v>0</v>
      </c>
    </row>
    <row r="228" spans="1:36" ht="15" customHeight="1">
      <c r="A228" s="1">
        <v>57</v>
      </c>
      <c r="B228" s="1" t="s">
        <v>469</v>
      </c>
      <c r="C228" s="1" t="s">
        <v>470</v>
      </c>
      <c r="D228" s="1" t="s">
        <v>471</v>
      </c>
      <c r="E228" s="1" t="s">
        <v>470</v>
      </c>
      <c r="F228" s="50" t="s">
        <v>670</v>
      </c>
      <c r="G228" s="50" t="s">
        <v>664</v>
      </c>
      <c r="H228" s="50" t="s">
        <v>656</v>
      </c>
      <c r="I228" s="50" t="s">
        <v>657</v>
      </c>
      <c r="J228" s="1" t="s">
        <v>170</v>
      </c>
      <c r="K228" s="1" t="s">
        <v>141</v>
      </c>
      <c r="L228" s="1">
        <v>1005002273</v>
      </c>
      <c r="M228" s="1" t="s">
        <v>43</v>
      </c>
      <c r="N228" s="1">
        <v>38</v>
      </c>
      <c r="O228" s="47" t="str">
        <f t="shared" si="20"/>
        <v>31-60</v>
      </c>
      <c r="P228" s="1" t="s">
        <v>171</v>
      </c>
      <c r="Q228" s="1">
        <v>1001024056</v>
      </c>
      <c r="R228" s="1" t="s">
        <v>475</v>
      </c>
      <c r="S228" s="1" t="s">
        <v>178</v>
      </c>
      <c r="T228" s="1" t="s">
        <v>179</v>
      </c>
      <c r="U228" s="1" t="s">
        <v>146</v>
      </c>
      <c r="V228" s="1" t="s">
        <v>147</v>
      </c>
      <c r="W228" s="1" t="s">
        <v>148</v>
      </c>
      <c r="X228" s="44">
        <v>0</v>
      </c>
      <c r="Y228" s="44">
        <v>21.05</v>
      </c>
      <c r="Z228" s="44">
        <v>1.1299999999999999</v>
      </c>
      <c r="AA228" s="44">
        <v>0</v>
      </c>
      <c r="AB228" s="44">
        <v>0</v>
      </c>
      <c r="AC228" s="44">
        <v>8115.91</v>
      </c>
      <c r="AD228" s="45">
        <v>7507219</v>
      </c>
      <c r="AE228" s="45"/>
      <c r="AF228" s="46">
        <v>7507219</v>
      </c>
      <c r="AG228" s="55">
        <f t="shared" si="21"/>
        <v>0</v>
      </c>
      <c r="AH228" s="55">
        <f t="shared" si="22"/>
        <v>7507219</v>
      </c>
      <c r="AI228" s="55">
        <f t="shared" si="23"/>
        <v>0</v>
      </c>
      <c r="AJ228" s="55">
        <f t="shared" si="19"/>
        <v>0</v>
      </c>
    </row>
    <row r="229" spans="1:36" ht="15" customHeight="1">
      <c r="A229" s="1">
        <v>57</v>
      </c>
      <c r="B229" s="1" t="s">
        <v>469</v>
      </c>
      <c r="C229" s="1" t="s">
        <v>470</v>
      </c>
      <c r="D229" s="1" t="s">
        <v>471</v>
      </c>
      <c r="E229" s="1" t="s">
        <v>470</v>
      </c>
      <c r="F229" s="50" t="s">
        <v>670</v>
      </c>
      <c r="G229" s="50" t="s">
        <v>664</v>
      </c>
      <c r="H229" s="50" t="s">
        <v>656</v>
      </c>
      <c r="I229" s="50" t="s">
        <v>657</v>
      </c>
      <c r="J229" s="1" t="s">
        <v>140</v>
      </c>
      <c r="K229" s="1" t="s">
        <v>141</v>
      </c>
      <c r="L229" s="1">
        <v>1365000209</v>
      </c>
      <c r="M229" s="1" t="s">
        <v>51</v>
      </c>
      <c r="N229" s="1">
        <v>43</v>
      </c>
      <c r="O229" s="47" t="str">
        <f t="shared" si="20"/>
        <v>31-60</v>
      </c>
      <c r="P229" s="1" t="s">
        <v>226</v>
      </c>
      <c r="Q229" s="1">
        <v>1361001778</v>
      </c>
      <c r="R229" s="1" t="s">
        <v>476</v>
      </c>
      <c r="S229" s="1" t="s">
        <v>178</v>
      </c>
      <c r="T229" s="1" t="s">
        <v>179</v>
      </c>
      <c r="U229" s="1" t="s">
        <v>146</v>
      </c>
      <c r="V229" s="1" t="s">
        <v>147</v>
      </c>
      <c r="W229" s="1" t="s">
        <v>228</v>
      </c>
      <c r="X229" s="44">
        <v>0</v>
      </c>
      <c r="Y229" s="44">
        <v>21.07</v>
      </c>
      <c r="Z229" s="44">
        <v>3.21</v>
      </c>
      <c r="AA229" s="44">
        <v>0</v>
      </c>
      <c r="AB229" s="44">
        <v>0</v>
      </c>
      <c r="AC229" s="44">
        <v>16447.46</v>
      </c>
      <c r="AD229" s="45">
        <v>15542849</v>
      </c>
      <c r="AE229" s="45"/>
      <c r="AF229" s="46">
        <v>15542849</v>
      </c>
      <c r="AG229" s="55">
        <f t="shared" si="21"/>
        <v>0</v>
      </c>
      <c r="AH229" s="55">
        <f t="shared" si="22"/>
        <v>15542849</v>
      </c>
      <c r="AI229" s="55">
        <f t="shared" si="23"/>
        <v>0</v>
      </c>
      <c r="AJ229" s="55">
        <f t="shared" si="19"/>
        <v>0</v>
      </c>
    </row>
    <row r="230" spans="1:36" ht="15" customHeight="1">
      <c r="A230" s="1">
        <v>57</v>
      </c>
      <c r="B230" s="1" t="s">
        <v>469</v>
      </c>
      <c r="C230" s="1" t="s">
        <v>470</v>
      </c>
      <c r="D230" s="1" t="s">
        <v>471</v>
      </c>
      <c r="E230" s="1" t="s">
        <v>470</v>
      </c>
      <c r="F230" s="50" t="s">
        <v>670</v>
      </c>
      <c r="G230" s="50" t="s">
        <v>664</v>
      </c>
      <c r="H230" s="50" t="s">
        <v>656</v>
      </c>
      <c r="I230" s="50" t="s">
        <v>657</v>
      </c>
      <c r="J230" s="1" t="s">
        <v>140</v>
      </c>
      <c r="K230" s="1" t="s">
        <v>141</v>
      </c>
      <c r="L230" s="1">
        <v>1365000211</v>
      </c>
      <c r="M230" s="1" t="s">
        <v>51</v>
      </c>
      <c r="N230" s="1">
        <v>43</v>
      </c>
      <c r="O230" s="47" t="str">
        <f t="shared" si="20"/>
        <v>31-60</v>
      </c>
      <c r="P230" s="1" t="s">
        <v>226</v>
      </c>
      <c r="Q230" s="1">
        <v>1361001832</v>
      </c>
      <c r="R230" s="1" t="s">
        <v>477</v>
      </c>
      <c r="S230" s="1" t="s">
        <v>178</v>
      </c>
      <c r="T230" s="1" t="s">
        <v>179</v>
      </c>
      <c r="U230" s="1" t="s">
        <v>146</v>
      </c>
      <c r="V230" s="1" t="s">
        <v>147</v>
      </c>
      <c r="W230" s="1" t="s">
        <v>228</v>
      </c>
      <c r="X230" s="44">
        <v>0</v>
      </c>
      <c r="Y230" s="44">
        <v>22.59</v>
      </c>
      <c r="Z230" s="44">
        <v>3.53</v>
      </c>
      <c r="AA230" s="44">
        <v>0</v>
      </c>
      <c r="AB230" s="44">
        <v>0</v>
      </c>
      <c r="AC230" s="44">
        <v>51295.040000000001</v>
      </c>
      <c r="AD230" s="45">
        <v>57450444</v>
      </c>
      <c r="AE230" s="45"/>
      <c r="AF230" s="46">
        <v>57450444</v>
      </c>
      <c r="AG230" s="55">
        <f t="shared" si="21"/>
        <v>0</v>
      </c>
      <c r="AH230" s="55">
        <f t="shared" si="22"/>
        <v>57450444</v>
      </c>
      <c r="AI230" s="55">
        <f t="shared" si="23"/>
        <v>0</v>
      </c>
      <c r="AJ230" s="55">
        <f t="shared" si="19"/>
        <v>0</v>
      </c>
    </row>
    <row r="231" spans="1:36" ht="15" customHeight="1">
      <c r="A231" s="1">
        <v>57</v>
      </c>
      <c r="B231" s="1" t="s">
        <v>469</v>
      </c>
      <c r="C231" s="1" t="s">
        <v>470</v>
      </c>
      <c r="D231" s="1" t="s">
        <v>471</v>
      </c>
      <c r="E231" s="1" t="s">
        <v>470</v>
      </c>
      <c r="F231" s="50" t="s">
        <v>670</v>
      </c>
      <c r="G231" s="50" t="s">
        <v>664</v>
      </c>
      <c r="H231" s="50" t="s">
        <v>656</v>
      </c>
      <c r="I231" s="50" t="s">
        <v>657</v>
      </c>
      <c r="J231" s="1" t="s">
        <v>140</v>
      </c>
      <c r="K231" s="1" t="s">
        <v>141</v>
      </c>
      <c r="L231" s="1">
        <v>1365000195</v>
      </c>
      <c r="M231" s="1" t="s">
        <v>8</v>
      </c>
      <c r="N231" s="1">
        <v>66</v>
      </c>
      <c r="O231" s="47" t="str">
        <f t="shared" si="20"/>
        <v>61-90</v>
      </c>
      <c r="P231" s="1" t="s">
        <v>226</v>
      </c>
      <c r="Q231" s="1">
        <v>1361001861</v>
      </c>
      <c r="R231" s="1" t="s">
        <v>478</v>
      </c>
      <c r="S231" s="1" t="s">
        <v>178</v>
      </c>
      <c r="T231" s="1" t="s">
        <v>179</v>
      </c>
      <c r="U231" s="1" t="s">
        <v>146</v>
      </c>
      <c r="V231" s="1" t="s">
        <v>147</v>
      </c>
      <c r="W231" s="1" t="s">
        <v>228</v>
      </c>
      <c r="X231" s="44">
        <v>0</v>
      </c>
      <c r="Y231" s="44">
        <v>21.81</v>
      </c>
      <c r="Z231" s="44">
        <v>3.25</v>
      </c>
      <c r="AA231" s="44">
        <v>0</v>
      </c>
      <c r="AB231" s="44">
        <v>0</v>
      </c>
      <c r="AC231" s="44">
        <v>40520.5</v>
      </c>
      <c r="AD231" s="45">
        <v>48624600</v>
      </c>
      <c r="AE231" s="45"/>
      <c r="AF231" s="46">
        <v>48624600</v>
      </c>
      <c r="AG231" s="55">
        <f t="shared" si="21"/>
        <v>0</v>
      </c>
      <c r="AH231" s="55">
        <f t="shared" si="22"/>
        <v>0</v>
      </c>
      <c r="AI231" s="55">
        <f t="shared" si="23"/>
        <v>48624600</v>
      </c>
      <c r="AJ231" s="55">
        <f t="shared" si="19"/>
        <v>0</v>
      </c>
    </row>
    <row r="232" spans="1:36" ht="15" customHeight="1">
      <c r="A232" s="1">
        <v>57</v>
      </c>
      <c r="B232" s="1" t="s">
        <v>469</v>
      </c>
      <c r="C232" s="1" t="s">
        <v>470</v>
      </c>
      <c r="D232" s="1" t="s">
        <v>471</v>
      </c>
      <c r="E232" s="1" t="s">
        <v>470</v>
      </c>
      <c r="F232" s="50" t="s">
        <v>670</v>
      </c>
      <c r="G232" s="50" t="s">
        <v>664</v>
      </c>
      <c r="H232" s="50" t="s">
        <v>656</v>
      </c>
      <c r="I232" s="50" t="s">
        <v>657</v>
      </c>
      <c r="J232" s="1" t="s">
        <v>140</v>
      </c>
      <c r="K232" s="1" t="s">
        <v>141</v>
      </c>
      <c r="L232" s="1">
        <v>1365000214</v>
      </c>
      <c r="M232" s="1" t="s">
        <v>43</v>
      </c>
      <c r="N232" s="1">
        <v>38</v>
      </c>
      <c r="O232" s="47" t="str">
        <f t="shared" si="20"/>
        <v>31-60</v>
      </c>
      <c r="P232" s="1" t="s">
        <v>226</v>
      </c>
      <c r="Q232" s="1">
        <v>1361001892</v>
      </c>
      <c r="R232" s="1" t="s">
        <v>479</v>
      </c>
      <c r="S232" s="1" t="s">
        <v>178</v>
      </c>
      <c r="T232" s="1" t="s">
        <v>179</v>
      </c>
      <c r="U232" s="1" t="s">
        <v>146</v>
      </c>
      <c r="V232" s="1" t="s">
        <v>147</v>
      </c>
      <c r="W232" s="1" t="s">
        <v>228</v>
      </c>
      <c r="X232" s="44">
        <v>0</v>
      </c>
      <c r="Y232" s="44">
        <v>20</v>
      </c>
      <c r="Z232" s="44">
        <v>3.33</v>
      </c>
      <c r="AA232" s="44">
        <v>0</v>
      </c>
      <c r="AB232" s="44">
        <v>0</v>
      </c>
      <c r="AC232" s="44">
        <v>41043.14</v>
      </c>
      <c r="AD232" s="45">
        <v>48430905</v>
      </c>
      <c r="AE232" s="45"/>
      <c r="AF232" s="46">
        <v>48430905</v>
      </c>
      <c r="AG232" s="55">
        <f t="shared" si="21"/>
        <v>0</v>
      </c>
      <c r="AH232" s="55">
        <f t="shared" si="22"/>
        <v>48430905</v>
      </c>
      <c r="AI232" s="55">
        <f t="shared" si="23"/>
        <v>0</v>
      </c>
      <c r="AJ232" s="55">
        <f t="shared" si="19"/>
        <v>0</v>
      </c>
    </row>
    <row r="233" spans="1:36" ht="15" customHeight="1">
      <c r="A233" s="1">
        <v>57</v>
      </c>
      <c r="B233" s="1" t="s">
        <v>469</v>
      </c>
      <c r="C233" s="1" t="s">
        <v>470</v>
      </c>
      <c r="D233" s="1" t="s">
        <v>471</v>
      </c>
      <c r="E233" s="1" t="s">
        <v>470</v>
      </c>
      <c r="F233" s="50" t="s">
        <v>670</v>
      </c>
      <c r="G233" s="50" t="s">
        <v>664</v>
      </c>
      <c r="H233" s="50" t="s">
        <v>656</v>
      </c>
      <c r="I233" s="50" t="s">
        <v>657</v>
      </c>
      <c r="J233" s="1" t="s">
        <v>140</v>
      </c>
      <c r="K233" s="1" t="s">
        <v>141</v>
      </c>
      <c r="L233" s="1">
        <v>1365000210</v>
      </c>
      <c r="M233" s="1" t="s">
        <v>51</v>
      </c>
      <c r="N233" s="1">
        <v>43</v>
      </c>
      <c r="O233" s="47" t="str">
        <f t="shared" si="20"/>
        <v>31-60</v>
      </c>
      <c r="P233" s="1" t="s">
        <v>226</v>
      </c>
      <c r="Q233" s="1">
        <v>1361001920</v>
      </c>
      <c r="R233" s="1" t="s">
        <v>480</v>
      </c>
      <c r="S233" s="1" t="s">
        <v>178</v>
      </c>
      <c r="T233" s="1" t="s">
        <v>179</v>
      </c>
      <c r="U233" s="1" t="s">
        <v>146</v>
      </c>
      <c r="V233" s="1" t="s">
        <v>147</v>
      </c>
      <c r="W233" s="1" t="s">
        <v>228</v>
      </c>
      <c r="X233" s="44">
        <v>0</v>
      </c>
      <c r="Y233" s="44">
        <v>20.38</v>
      </c>
      <c r="Z233" s="44">
        <v>3.41</v>
      </c>
      <c r="AA233" s="44">
        <v>0</v>
      </c>
      <c r="AB233" s="44">
        <v>0</v>
      </c>
      <c r="AC233" s="44">
        <v>56998.5</v>
      </c>
      <c r="AD233" s="45">
        <v>67258231</v>
      </c>
      <c r="AE233" s="45"/>
      <c r="AF233" s="46">
        <v>67258231</v>
      </c>
      <c r="AG233" s="55">
        <f t="shared" si="21"/>
        <v>0</v>
      </c>
      <c r="AH233" s="55">
        <f t="shared" si="22"/>
        <v>67258231</v>
      </c>
      <c r="AI233" s="55">
        <f t="shared" si="23"/>
        <v>0</v>
      </c>
      <c r="AJ233" s="55">
        <f t="shared" si="19"/>
        <v>0</v>
      </c>
    </row>
    <row r="234" spans="1:36" ht="15" customHeight="1">
      <c r="A234" s="1">
        <v>57</v>
      </c>
      <c r="B234" s="1" t="s">
        <v>469</v>
      </c>
      <c r="C234" s="1" t="s">
        <v>470</v>
      </c>
      <c r="D234" s="1" t="s">
        <v>471</v>
      </c>
      <c r="E234" s="1" t="s">
        <v>470</v>
      </c>
      <c r="F234" s="50" t="s">
        <v>670</v>
      </c>
      <c r="G234" s="50" t="s">
        <v>664</v>
      </c>
      <c r="H234" s="50" t="s">
        <v>656</v>
      </c>
      <c r="I234" s="50" t="s">
        <v>657</v>
      </c>
      <c r="J234" s="1" t="s">
        <v>170</v>
      </c>
      <c r="K234" s="1" t="s">
        <v>141</v>
      </c>
      <c r="L234" s="1">
        <v>1005002275</v>
      </c>
      <c r="M234" s="1" t="s">
        <v>43</v>
      </c>
      <c r="N234" s="1">
        <v>38</v>
      </c>
      <c r="O234" s="47" t="str">
        <f t="shared" si="20"/>
        <v>31-60</v>
      </c>
      <c r="P234" s="1" t="s">
        <v>226</v>
      </c>
      <c r="Q234" s="1">
        <v>1001026073</v>
      </c>
      <c r="R234" s="1" t="s">
        <v>481</v>
      </c>
      <c r="S234" s="1" t="s">
        <v>178</v>
      </c>
      <c r="T234" s="1" t="s">
        <v>179</v>
      </c>
      <c r="U234" s="1" t="s">
        <v>146</v>
      </c>
      <c r="V234" s="1" t="s">
        <v>147</v>
      </c>
      <c r="W234" s="1" t="s">
        <v>148</v>
      </c>
      <c r="X234" s="44">
        <v>0</v>
      </c>
      <c r="Y234" s="44">
        <v>20.65</v>
      </c>
      <c r="Z234" s="44">
        <v>1.08</v>
      </c>
      <c r="AA234" s="44">
        <v>0</v>
      </c>
      <c r="AB234" s="44">
        <v>0</v>
      </c>
      <c r="AC234" s="44">
        <v>10593.85</v>
      </c>
      <c r="AD234" s="45">
        <v>11017604</v>
      </c>
      <c r="AE234" s="45"/>
      <c r="AF234" s="46">
        <v>11017604</v>
      </c>
      <c r="AG234" s="55">
        <f t="shared" si="21"/>
        <v>0</v>
      </c>
      <c r="AH234" s="55">
        <f t="shared" si="22"/>
        <v>11017604</v>
      </c>
      <c r="AI234" s="55">
        <f t="shared" si="23"/>
        <v>0</v>
      </c>
      <c r="AJ234" s="55">
        <f t="shared" si="19"/>
        <v>0</v>
      </c>
    </row>
    <row r="235" spans="1:36" ht="15" customHeight="1">
      <c r="A235" s="1">
        <v>58</v>
      </c>
      <c r="B235" s="1" t="s">
        <v>482</v>
      </c>
      <c r="C235" s="1" t="s">
        <v>483</v>
      </c>
      <c r="D235" s="1" t="s">
        <v>471</v>
      </c>
      <c r="E235" s="1" t="s">
        <v>483</v>
      </c>
      <c r="F235" s="50" t="s">
        <v>670</v>
      </c>
      <c r="G235" s="50" t="s">
        <v>664</v>
      </c>
      <c r="H235" s="50" t="s">
        <v>656</v>
      </c>
      <c r="I235" s="50" t="s">
        <v>657</v>
      </c>
      <c r="J235" s="1" t="s">
        <v>170</v>
      </c>
      <c r="K235" s="1" t="s">
        <v>141</v>
      </c>
      <c r="L235" s="1">
        <v>1005002317</v>
      </c>
      <c r="M235" s="1" t="s">
        <v>10</v>
      </c>
      <c r="N235" s="1">
        <v>31</v>
      </c>
      <c r="O235" s="47" t="str">
        <f t="shared" si="20"/>
        <v>31-60</v>
      </c>
      <c r="P235" s="1" t="s">
        <v>171</v>
      </c>
      <c r="Q235" s="1">
        <v>1001022811</v>
      </c>
      <c r="R235" s="1" t="s">
        <v>484</v>
      </c>
      <c r="S235" s="1" t="s">
        <v>178</v>
      </c>
      <c r="T235" s="1" t="s">
        <v>179</v>
      </c>
      <c r="U235" s="1" t="s">
        <v>146</v>
      </c>
      <c r="V235" s="1" t="s">
        <v>147</v>
      </c>
      <c r="W235" s="1" t="s">
        <v>148</v>
      </c>
      <c r="X235" s="44">
        <v>0</v>
      </c>
      <c r="Y235" s="44">
        <v>20.89</v>
      </c>
      <c r="Z235" s="44">
        <v>0.19</v>
      </c>
      <c r="AA235" s="44">
        <v>0</v>
      </c>
      <c r="AB235" s="44">
        <v>0</v>
      </c>
      <c r="AC235" s="44">
        <v>4285.67</v>
      </c>
      <c r="AD235" s="45">
        <v>3299967</v>
      </c>
      <c r="AE235" s="45"/>
      <c r="AF235" s="46">
        <v>3299967</v>
      </c>
      <c r="AG235" s="55">
        <f t="shared" si="21"/>
        <v>0</v>
      </c>
      <c r="AH235" s="55">
        <f t="shared" si="22"/>
        <v>3299967</v>
      </c>
      <c r="AI235" s="55">
        <f t="shared" si="23"/>
        <v>0</v>
      </c>
      <c r="AJ235" s="55">
        <f t="shared" si="19"/>
        <v>0</v>
      </c>
    </row>
    <row r="236" spans="1:36" ht="15" customHeight="1">
      <c r="A236" s="1">
        <v>58</v>
      </c>
      <c r="B236" s="1" t="s">
        <v>482</v>
      </c>
      <c r="C236" s="1" t="s">
        <v>483</v>
      </c>
      <c r="D236" s="1" t="s">
        <v>471</v>
      </c>
      <c r="E236" s="1" t="s">
        <v>483</v>
      </c>
      <c r="F236" s="50" t="s">
        <v>670</v>
      </c>
      <c r="G236" s="50" t="s">
        <v>664</v>
      </c>
      <c r="H236" s="50" t="s">
        <v>656</v>
      </c>
      <c r="I236" s="50" t="s">
        <v>657</v>
      </c>
      <c r="J236" s="1" t="s">
        <v>170</v>
      </c>
      <c r="K236" s="1" t="s">
        <v>141</v>
      </c>
      <c r="L236" s="1">
        <v>1005002278</v>
      </c>
      <c r="M236" s="1" t="s">
        <v>43</v>
      </c>
      <c r="N236" s="1">
        <v>38</v>
      </c>
      <c r="O236" s="47" t="str">
        <f t="shared" si="20"/>
        <v>31-60</v>
      </c>
      <c r="P236" s="1" t="s">
        <v>171</v>
      </c>
      <c r="Q236" s="1">
        <v>1001026072</v>
      </c>
      <c r="R236" s="1" t="s">
        <v>485</v>
      </c>
      <c r="S236" s="1" t="s">
        <v>178</v>
      </c>
      <c r="T236" s="1" t="s">
        <v>179</v>
      </c>
      <c r="U236" s="1" t="s">
        <v>146</v>
      </c>
      <c r="V236" s="1" t="s">
        <v>147</v>
      </c>
      <c r="W236" s="1" t="s">
        <v>148</v>
      </c>
      <c r="X236" s="44">
        <v>0</v>
      </c>
      <c r="Y236" s="44">
        <v>20.57</v>
      </c>
      <c r="Z236" s="44">
        <v>2.33</v>
      </c>
      <c r="AA236" s="44">
        <v>0</v>
      </c>
      <c r="AB236" s="44">
        <v>0</v>
      </c>
      <c r="AC236" s="44">
        <v>21368.45</v>
      </c>
      <c r="AD236" s="45">
        <v>22864243</v>
      </c>
      <c r="AE236" s="45"/>
      <c r="AF236" s="46">
        <v>22864243</v>
      </c>
      <c r="AG236" s="55">
        <f t="shared" si="21"/>
        <v>0</v>
      </c>
      <c r="AH236" s="55">
        <f t="shared" si="22"/>
        <v>22864243</v>
      </c>
      <c r="AI236" s="55">
        <f t="shared" si="23"/>
        <v>0</v>
      </c>
      <c r="AJ236" s="55">
        <f t="shared" si="19"/>
        <v>0</v>
      </c>
    </row>
    <row r="237" spans="1:36" ht="15" customHeight="1">
      <c r="A237" s="1">
        <v>59</v>
      </c>
      <c r="B237" s="1" t="s">
        <v>486</v>
      </c>
      <c r="C237" s="1" t="s">
        <v>487</v>
      </c>
      <c r="D237" s="49" t="s">
        <v>252</v>
      </c>
      <c r="E237" s="1" t="s">
        <v>487</v>
      </c>
      <c r="F237" s="50" t="s">
        <v>658</v>
      </c>
      <c r="G237" s="50" t="s">
        <v>655</v>
      </c>
      <c r="H237" s="50" t="s">
        <v>656</v>
      </c>
      <c r="I237" s="50" t="s">
        <v>657</v>
      </c>
      <c r="J237" s="1" t="s">
        <v>183</v>
      </c>
      <c r="K237" s="1" t="s">
        <v>141</v>
      </c>
      <c r="L237" s="1">
        <v>1005002428</v>
      </c>
      <c r="M237" s="1" t="s">
        <v>11</v>
      </c>
      <c r="N237" s="1">
        <v>14</v>
      </c>
      <c r="O237" s="47" t="str">
        <f t="shared" si="20"/>
        <v>0-30</v>
      </c>
      <c r="P237" s="1" t="s">
        <v>184</v>
      </c>
      <c r="Q237" s="1">
        <v>1001027615</v>
      </c>
      <c r="R237" s="1" t="s">
        <v>488</v>
      </c>
      <c r="S237" s="1" t="s">
        <v>144</v>
      </c>
      <c r="T237" s="1" t="s">
        <v>145</v>
      </c>
      <c r="U237" s="1" t="s">
        <v>146</v>
      </c>
      <c r="V237" s="1" t="s">
        <v>147</v>
      </c>
      <c r="W237" s="1" t="s">
        <v>148</v>
      </c>
      <c r="X237" s="44">
        <v>5.16</v>
      </c>
      <c r="Y237" s="44">
        <v>0.33</v>
      </c>
      <c r="Z237" s="44">
        <v>0</v>
      </c>
      <c r="AA237" s="44">
        <v>0</v>
      </c>
      <c r="AB237" s="44">
        <v>0</v>
      </c>
      <c r="AC237" s="44">
        <v>17260</v>
      </c>
      <c r="AD237" s="45">
        <v>431500</v>
      </c>
      <c r="AE237" s="45"/>
      <c r="AF237" s="46">
        <v>431500</v>
      </c>
      <c r="AG237" s="55">
        <f t="shared" si="21"/>
        <v>431500</v>
      </c>
      <c r="AH237" s="55">
        <f t="shared" si="22"/>
        <v>0</v>
      </c>
      <c r="AI237" s="55">
        <f t="shared" si="23"/>
        <v>0</v>
      </c>
      <c r="AJ237" s="55">
        <f t="shared" si="19"/>
        <v>0</v>
      </c>
    </row>
    <row r="238" spans="1:36" ht="15" customHeight="1">
      <c r="A238" s="1">
        <v>59</v>
      </c>
      <c r="B238" s="1" t="s">
        <v>486</v>
      </c>
      <c r="C238" s="1" t="s">
        <v>487</v>
      </c>
      <c r="D238" s="49" t="s">
        <v>252</v>
      </c>
      <c r="E238" s="1" t="s">
        <v>487</v>
      </c>
      <c r="F238" s="50" t="s">
        <v>658</v>
      </c>
      <c r="G238" s="50" t="s">
        <v>655</v>
      </c>
      <c r="H238" s="50" t="s">
        <v>656</v>
      </c>
      <c r="I238" s="50" t="s">
        <v>657</v>
      </c>
      <c r="J238" s="1" t="s">
        <v>183</v>
      </c>
      <c r="K238" s="1" t="s">
        <v>141</v>
      </c>
      <c r="L238" s="1">
        <v>1005002429</v>
      </c>
      <c r="M238" s="1" t="s">
        <v>11</v>
      </c>
      <c r="N238" s="1">
        <v>14</v>
      </c>
      <c r="O238" s="47" t="str">
        <f t="shared" si="20"/>
        <v>0-30</v>
      </c>
      <c r="P238" s="1" t="s">
        <v>184</v>
      </c>
      <c r="Q238" s="1">
        <v>1001027665</v>
      </c>
      <c r="R238" s="1" t="s">
        <v>489</v>
      </c>
      <c r="S238" s="1" t="s">
        <v>144</v>
      </c>
      <c r="T238" s="1" t="s">
        <v>145</v>
      </c>
      <c r="U238" s="1" t="s">
        <v>146</v>
      </c>
      <c r="V238" s="1" t="s">
        <v>147</v>
      </c>
      <c r="W238" s="1" t="s">
        <v>148</v>
      </c>
      <c r="X238" s="44">
        <v>5.12</v>
      </c>
      <c r="Y238" s="44">
        <v>0.32</v>
      </c>
      <c r="Z238" s="44">
        <v>0</v>
      </c>
      <c r="AA238" s="44">
        <v>0</v>
      </c>
      <c r="AB238" s="44">
        <v>0</v>
      </c>
      <c r="AC238" s="44">
        <v>116370</v>
      </c>
      <c r="AD238" s="45">
        <v>2909250</v>
      </c>
      <c r="AE238" s="45"/>
      <c r="AF238" s="46">
        <v>2909250</v>
      </c>
      <c r="AG238" s="55">
        <f t="shared" si="21"/>
        <v>2909250</v>
      </c>
      <c r="AH238" s="55">
        <f t="shared" si="22"/>
        <v>0</v>
      </c>
      <c r="AI238" s="55">
        <f t="shared" si="23"/>
        <v>0</v>
      </c>
      <c r="AJ238" s="55">
        <f t="shared" si="19"/>
        <v>0</v>
      </c>
    </row>
    <row r="239" spans="1:36" ht="15" customHeight="1">
      <c r="A239" s="1">
        <v>59</v>
      </c>
      <c r="B239" s="1" t="s">
        <v>486</v>
      </c>
      <c r="C239" s="1" t="s">
        <v>487</v>
      </c>
      <c r="D239" s="49" t="s">
        <v>252</v>
      </c>
      <c r="E239" s="1" t="s">
        <v>487</v>
      </c>
      <c r="F239" s="50" t="s">
        <v>658</v>
      </c>
      <c r="G239" s="50" t="s">
        <v>655</v>
      </c>
      <c r="H239" s="50" t="s">
        <v>656</v>
      </c>
      <c r="I239" s="50" t="s">
        <v>657</v>
      </c>
      <c r="J239" s="1" t="s">
        <v>183</v>
      </c>
      <c r="K239" s="1" t="s">
        <v>141</v>
      </c>
      <c r="L239" s="1">
        <v>1005002430</v>
      </c>
      <c r="M239" s="1" t="s">
        <v>11</v>
      </c>
      <c r="N239" s="1">
        <v>14</v>
      </c>
      <c r="O239" s="47" t="str">
        <f t="shared" si="20"/>
        <v>0-30</v>
      </c>
      <c r="P239" s="1" t="s">
        <v>184</v>
      </c>
      <c r="Q239" s="1">
        <v>1001027669</v>
      </c>
      <c r="R239" s="1" t="s">
        <v>490</v>
      </c>
      <c r="S239" s="1" t="s">
        <v>144</v>
      </c>
      <c r="T239" s="1" t="s">
        <v>145</v>
      </c>
      <c r="U239" s="1" t="s">
        <v>146</v>
      </c>
      <c r="V239" s="1" t="s">
        <v>147</v>
      </c>
      <c r="W239" s="1" t="s">
        <v>148</v>
      </c>
      <c r="X239" s="44">
        <v>5.0999999999999996</v>
      </c>
      <c r="Y239" s="44">
        <v>0.32</v>
      </c>
      <c r="Z239" s="44">
        <v>0</v>
      </c>
      <c r="AA239" s="44">
        <v>0</v>
      </c>
      <c r="AB239" s="44">
        <v>0</v>
      </c>
      <c r="AC239" s="44">
        <v>125320</v>
      </c>
      <c r="AD239" s="45">
        <v>3133000</v>
      </c>
      <c r="AE239" s="45"/>
      <c r="AF239" s="46">
        <v>3133000</v>
      </c>
      <c r="AG239" s="55">
        <f t="shared" si="21"/>
        <v>3133000</v>
      </c>
      <c r="AH239" s="55">
        <f t="shared" si="22"/>
        <v>0</v>
      </c>
      <c r="AI239" s="55">
        <f t="shared" si="23"/>
        <v>0</v>
      </c>
      <c r="AJ239" s="55">
        <f t="shared" si="19"/>
        <v>0</v>
      </c>
    </row>
    <row r="240" spans="1:36" ht="15" customHeight="1">
      <c r="A240" s="1">
        <v>59</v>
      </c>
      <c r="B240" s="1" t="s">
        <v>486</v>
      </c>
      <c r="C240" s="1" t="s">
        <v>487</v>
      </c>
      <c r="D240" s="49" t="s">
        <v>252</v>
      </c>
      <c r="E240" s="1" t="s">
        <v>487</v>
      </c>
      <c r="F240" s="50" t="s">
        <v>658</v>
      </c>
      <c r="G240" s="50" t="s">
        <v>655</v>
      </c>
      <c r="H240" s="50" t="s">
        <v>656</v>
      </c>
      <c r="I240" s="50" t="s">
        <v>657</v>
      </c>
      <c r="J240" s="1" t="s">
        <v>183</v>
      </c>
      <c r="K240" s="1" t="s">
        <v>141</v>
      </c>
      <c r="L240" s="1">
        <v>1005002431</v>
      </c>
      <c r="M240" s="1" t="s">
        <v>11</v>
      </c>
      <c r="N240" s="1">
        <v>14</v>
      </c>
      <c r="O240" s="47" t="str">
        <f t="shared" si="20"/>
        <v>0-30</v>
      </c>
      <c r="P240" s="1" t="s">
        <v>184</v>
      </c>
      <c r="Q240" s="1">
        <v>1001027704</v>
      </c>
      <c r="R240" s="1" t="s">
        <v>491</v>
      </c>
      <c r="S240" s="1" t="s">
        <v>144</v>
      </c>
      <c r="T240" s="1" t="s">
        <v>145</v>
      </c>
      <c r="U240" s="1" t="s">
        <v>146</v>
      </c>
      <c r="V240" s="1" t="s">
        <v>147</v>
      </c>
      <c r="W240" s="1" t="s">
        <v>148</v>
      </c>
      <c r="X240" s="44">
        <v>5.07</v>
      </c>
      <c r="Y240" s="44">
        <v>0.32</v>
      </c>
      <c r="Z240" s="44">
        <v>0</v>
      </c>
      <c r="AA240" s="44">
        <v>0</v>
      </c>
      <c r="AB240" s="44">
        <v>0</v>
      </c>
      <c r="AC240" s="44">
        <v>146570</v>
      </c>
      <c r="AD240" s="45">
        <v>3664250</v>
      </c>
      <c r="AE240" s="45"/>
      <c r="AF240" s="46">
        <v>3664250</v>
      </c>
      <c r="AG240" s="55">
        <f t="shared" si="21"/>
        <v>3664250</v>
      </c>
      <c r="AH240" s="55">
        <f t="shared" si="22"/>
        <v>0</v>
      </c>
      <c r="AI240" s="55">
        <f t="shared" si="23"/>
        <v>0</v>
      </c>
      <c r="AJ240" s="55">
        <f t="shared" si="19"/>
        <v>0</v>
      </c>
    </row>
    <row r="241" spans="1:36" ht="15" customHeight="1">
      <c r="A241" s="1">
        <v>59</v>
      </c>
      <c r="B241" s="1" t="s">
        <v>486</v>
      </c>
      <c r="C241" s="1" t="s">
        <v>487</v>
      </c>
      <c r="D241" s="49" t="s">
        <v>252</v>
      </c>
      <c r="E241" s="1" t="s">
        <v>487</v>
      </c>
      <c r="F241" s="50" t="s">
        <v>658</v>
      </c>
      <c r="G241" s="50" t="s">
        <v>655</v>
      </c>
      <c r="H241" s="50" t="s">
        <v>656</v>
      </c>
      <c r="I241" s="50" t="s">
        <v>657</v>
      </c>
      <c r="J241" s="1" t="s">
        <v>183</v>
      </c>
      <c r="K241" s="1" t="s">
        <v>141</v>
      </c>
      <c r="L241" s="1">
        <v>1005002432</v>
      </c>
      <c r="M241" s="1" t="s">
        <v>11</v>
      </c>
      <c r="N241" s="1">
        <v>14</v>
      </c>
      <c r="O241" s="47" t="str">
        <f t="shared" si="20"/>
        <v>0-30</v>
      </c>
      <c r="P241" s="1" t="s">
        <v>184</v>
      </c>
      <c r="Q241" s="1">
        <v>1001027731</v>
      </c>
      <c r="R241" s="1" t="s">
        <v>492</v>
      </c>
      <c r="S241" s="1" t="s">
        <v>144</v>
      </c>
      <c r="T241" s="1" t="s">
        <v>145</v>
      </c>
      <c r="U241" s="1" t="s">
        <v>146</v>
      </c>
      <c r="V241" s="1" t="s">
        <v>147</v>
      </c>
      <c r="W241" s="1" t="s">
        <v>148</v>
      </c>
      <c r="X241" s="44">
        <v>5.04</v>
      </c>
      <c r="Y241" s="44">
        <v>0.35</v>
      </c>
      <c r="Z241" s="44">
        <v>0</v>
      </c>
      <c r="AA241" s="44">
        <v>0</v>
      </c>
      <c r="AB241" s="44">
        <v>0</v>
      </c>
      <c r="AC241" s="44">
        <v>55540</v>
      </c>
      <c r="AD241" s="45">
        <v>1388500</v>
      </c>
      <c r="AE241" s="45"/>
      <c r="AF241" s="46">
        <v>1388500</v>
      </c>
      <c r="AG241" s="55">
        <f t="shared" si="21"/>
        <v>1388500</v>
      </c>
      <c r="AH241" s="55">
        <f t="shared" si="22"/>
        <v>0</v>
      </c>
      <c r="AI241" s="55">
        <f t="shared" si="23"/>
        <v>0</v>
      </c>
      <c r="AJ241" s="55">
        <f t="shared" si="19"/>
        <v>0</v>
      </c>
    </row>
    <row r="242" spans="1:36" ht="15" customHeight="1">
      <c r="A242" s="1">
        <v>59</v>
      </c>
      <c r="B242" s="1" t="s">
        <v>486</v>
      </c>
      <c r="C242" s="1" t="s">
        <v>487</v>
      </c>
      <c r="D242" s="49" t="s">
        <v>252</v>
      </c>
      <c r="E242" s="1" t="s">
        <v>487</v>
      </c>
      <c r="F242" s="50" t="s">
        <v>658</v>
      </c>
      <c r="G242" s="50" t="s">
        <v>655</v>
      </c>
      <c r="H242" s="50" t="s">
        <v>656</v>
      </c>
      <c r="I242" s="50" t="s">
        <v>657</v>
      </c>
      <c r="J242" s="1" t="s">
        <v>183</v>
      </c>
      <c r="K242" s="1" t="s">
        <v>141</v>
      </c>
      <c r="L242" s="1">
        <v>1005002433</v>
      </c>
      <c r="M242" s="1" t="s">
        <v>11</v>
      </c>
      <c r="N242" s="1">
        <v>14</v>
      </c>
      <c r="O242" s="47" t="str">
        <f t="shared" si="20"/>
        <v>0-30</v>
      </c>
      <c r="P242" s="1" t="s">
        <v>184</v>
      </c>
      <c r="Q242" s="1">
        <v>1001027760</v>
      </c>
      <c r="R242" s="1" t="s">
        <v>493</v>
      </c>
      <c r="S242" s="1" t="s">
        <v>144</v>
      </c>
      <c r="T242" s="1" t="s">
        <v>145</v>
      </c>
      <c r="U242" s="1" t="s">
        <v>146</v>
      </c>
      <c r="V242" s="1" t="s">
        <v>147</v>
      </c>
      <c r="W242" s="1" t="s">
        <v>148</v>
      </c>
      <c r="X242" s="44">
        <v>5.05</v>
      </c>
      <c r="Y242" s="44">
        <v>0.35</v>
      </c>
      <c r="Z242" s="44">
        <v>0</v>
      </c>
      <c r="AA242" s="44">
        <v>0</v>
      </c>
      <c r="AB242" s="44">
        <v>0</v>
      </c>
      <c r="AC242" s="44">
        <v>101690</v>
      </c>
      <c r="AD242" s="45">
        <v>2542250</v>
      </c>
      <c r="AE242" s="45"/>
      <c r="AF242" s="46">
        <v>2542250</v>
      </c>
      <c r="AG242" s="55">
        <f t="shared" si="21"/>
        <v>2542250</v>
      </c>
      <c r="AH242" s="55">
        <f t="shared" si="22"/>
        <v>0</v>
      </c>
      <c r="AI242" s="55">
        <f t="shared" si="23"/>
        <v>0</v>
      </c>
      <c r="AJ242" s="55">
        <f t="shared" si="19"/>
        <v>0</v>
      </c>
    </row>
    <row r="243" spans="1:36" ht="15" customHeight="1">
      <c r="A243" s="1">
        <v>59</v>
      </c>
      <c r="B243" s="1" t="s">
        <v>486</v>
      </c>
      <c r="C243" s="1" t="s">
        <v>487</v>
      </c>
      <c r="D243" s="49" t="s">
        <v>252</v>
      </c>
      <c r="E243" s="1" t="s">
        <v>487</v>
      </c>
      <c r="F243" s="50" t="s">
        <v>658</v>
      </c>
      <c r="G243" s="50" t="s">
        <v>655</v>
      </c>
      <c r="H243" s="50" t="s">
        <v>656</v>
      </c>
      <c r="I243" s="50" t="s">
        <v>657</v>
      </c>
      <c r="J243" s="1" t="s">
        <v>183</v>
      </c>
      <c r="K243" s="1" t="s">
        <v>141</v>
      </c>
      <c r="L243" s="1">
        <v>1005002434</v>
      </c>
      <c r="M243" s="1" t="s">
        <v>11</v>
      </c>
      <c r="N243" s="1">
        <v>14</v>
      </c>
      <c r="O243" s="47" t="str">
        <f t="shared" si="20"/>
        <v>0-30</v>
      </c>
      <c r="P243" s="1" t="s">
        <v>184</v>
      </c>
      <c r="Q243" s="1">
        <v>1001027814</v>
      </c>
      <c r="R243" s="1" t="s">
        <v>494</v>
      </c>
      <c r="S243" s="1" t="s">
        <v>144</v>
      </c>
      <c r="T243" s="1" t="s">
        <v>145</v>
      </c>
      <c r="U243" s="1" t="s">
        <v>146</v>
      </c>
      <c r="V243" s="1" t="s">
        <v>147</v>
      </c>
      <c r="W243" s="1" t="s">
        <v>148</v>
      </c>
      <c r="X243" s="44">
        <v>5.04</v>
      </c>
      <c r="Y243" s="44">
        <v>0.31</v>
      </c>
      <c r="Z243" s="44">
        <v>0</v>
      </c>
      <c r="AA243" s="44">
        <v>0</v>
      </c>
      <c r="AB243" s="44">
        <v>0</v>
      </c>
      <c r="AC243" s="44">
        <v>250100</v>
      </c>
      <c r="AD243" s="45">
        <v>6252500</v>
      </c>
      <c r="AE243" s="45"/>
      <c r="AF243" s="46">
        <v>6252500</v>
      </c>
      <c r="AG243" s="55">
        <f t="shared" si="21"/>
        <v>6252500</v>
      </c>
      <c r="AH243" s="55">
        <f t="shared" si="22"/>
        <v>0</v>
      </c>
      <c r="AI243" s="55">
        <f t="shared" si="23"/>
        <v>0</v>
      </c>
      <c r="AJ243" s="55">
        <f t="shared" si="19"/>
        <v>0</v>
      </c>
    </row>
    <row r="244" spans="1:36" ht="15" customHeight="1">
      <c r="A244" s="1">
        <v>60</v>
      </c>
      <c r="B244" s="1" t="s">
        <v>495</v>
      </c>
      <c r="C244" s="1" t="s">
        <v>496</v>
      </c>
      <c r="D244" s="1" t="s">
        <v>497</v>
      </c>
      <c r="E244" s="1" t="s">
        <v>496</v>
      </c>
      <c r="F244" s="50" t="s">
        <v>658</v>
      </c>
      <c r="G244" s="50" t="s">
        <v>655</v>
      </c>
      <c r="H244" s="50" t="s">
        <v>656</v>
      </c>
      <c r="I244" s="50" t="s">
        <v>657</v>
      </c>
      <c r="J244" s="1" t="s">
        <v>153</v>
      </c>
      <c r="K244" s="1" t="s">
        <v>141</v>
      </c>
      <c r="L244" s="1">
        <v>1005000823</v>
      </c>
      <c r="M244" s="1" t="s">
        <v>91</v>
      </c>
      <c r="N244" s="1">
        <v>268</v>
      </c>
      <c r="O244" s="47" t="str">
        <f t="shared" si="20"/>
        <v>&gt; 91 Days</v>
      </c>
      <c r="P244" s="1" t="s">
        <v>142</v>
      </c>
      <c r="Q244" s="1">
        <v>1001022698</v>
      </c>
      <c r="R244" s="1" t="s">
        <v>498</v>
      </c>
      <c r="S244" s="1" t="s">
        <v>144</v>
      </c>
      <c r="T244" s="1" t="s">
        <v>145</v>
      </c>
      <c r="U244" s="1" t="s">
        <v>146</v>
      </c>
      <c r="V244" s="1" t="s">
        <v>147</v>
      </c>
      <c r="W244" s="1" t="s">
        <v>148</v>
      </c>
      <c r="X244" s="44">
        <v>5.0199999999999996</v>
      </c>
      <c r="Y244" s="44">
        <v>0.74</v>
      </c>
      <c r="Z244" s="44">
        <v>0</v>
      </c>
      <c r="AA244" s="44">
        <v>0</v>
      </c>
      <c r="AB244" s="44">
        <v>0</v>
      </c>
      <c r="AC244" s="44">
        <v>8240</v>
      </c>
      <c r="AD244" s="45">
        <v>824000</v>
      </c>
      <c r="AE244" s="45"/>
      <c r="AF244" s="46">
        <v>824000</v>
      </c>
      <c r="AG244" s="55">
        <f t="shared" si="21"/>
        <v>0</v>
      </c>
      <c r="AH244" s="55">
        <f t="shared" si="22"/>
        <v>0</v>
      </c>
      <c r="AI244" s="55">
        <f t="shared" si="23"/>
        <v>0</v>
      </c>
      <c r="AJ244" s="55">
        <f t="shared" si="19"/>
        <v>824000</v>
      </c>
    </row>
    <row r="245" spans="1:36" ht="15" customHeight="1">
      <c r="A245" s="1">
        <v>62</v>
      </c>
      <c r="B245" s="1" t="s">
        <v>499</v>
      </c>
      <c r="C245" s="1" t="s">
        <v>500</v>
      </c>
      <c r="D245" s="1" t="s">
        <v>501</v>
      </c>
      <c r="E245" s="1" t="s">
        <v>500</v>
      </c>
      <c r="F245" s="50" t="s">
        <v>670</v>
      </c>
      <c r="G245" s="50" t="s">
        <v>664</v>
      </c>
      <c r="H245" s="50" t="s">
        <v>656</v>
      </c>
      <c r="I245" s="50" t="s">
        <v>657</v>
      </c>
      <c r="J245" s="1" t="s">
        <v>170</v>
      </c>
      <c r="K245" s="1" t="s">
        <v>141</v>
      </c>
      <c r="L245" s="1">
        <v>1005000917</v>
      </c>
      <c r="M245" s="1" t="s">
        <v>92</v>
      </c>
      <c r="N245" s="1">
        <v>255</v>
      </c>
      <c r="O245" s="47" t="str">
        <f t="shared" si="20"/>
        <v>&gt; 91 Days</v>
      </c>
      <c r="P245" s="1" t="s">
        <v>171</v>
      </c>
      <c r="Q245" s="1">
        <v>1001022412</v>
      </c>
      <c r="R245" s="1" t="s">
        <v>502</v>
      </c>
      <c r="S245" s="1" t="s">
        <v>178</v>
      </c>
      <c r="T245" s="1" t="s">
        <v>179</v>
      </c>
      <c r="U245" s="1" t="s">
        <v>146</v>
      </c>
      <c r="V245" s="1" t="s">
        <v>147</v>
      </c>
      <c r="W245" s="1" t="s">
        <v>148</v>
      </c>
      <c r="X245" s="44">
        <v>0</v>
      </c>
      <c r="Y245" s="44">
        <v>21.1</v>
      </c>
      <c r="Z245" s="44">
        <v>0.77</v>
      </c>
      <c r="AA245" s="44">
        <v>0</v>
      </c>
      <c r="AB245" s="44">
        <v>0</v>
      </c>
      <c r="AC245" s="44">
        <v>5469.47</v>
      </c>
      <c r="AD245" s="45">
        <v>5606209</v>
      </c>
      <c r="AE245" s="45"/>
      <c r="AF245" s="46">
        <v>5606209</v>
      </c>
      <c r="AG245" s="55">
        <f t="shared" si="21"/>
        <v>0</v>
      </c>
      <c r="AH245" s="55">
        <f t="shared" si="22"/>
        <v>0</v>
      </c>
      <c r="AI245" s="55">
        <f t="shared" si="23"/>
        <v>0</v>
      </c>
      <c r="AJ245" s="55">
        <f t="shared" si="19"/>
        <v>5606209</v>
      </c>
    </row>
    <row r="246" spans="1:36" ht="15" customHeight="1">
      <c r="A246" s="1">
        <v>62</v>
      </c>
      <c r="B246" s="1" t="s">
        <v>499</v>
      </c>
      <c r="C246" s="1" t="s">
        <v>500</v>
      </c>
      <c r="D246" s="1" t="s">
        <v>501</v>
      </c>
      <c r="E246" s="1" t="s">
        <v>500</v>
      </c>
      <c r="F246" s="50" t="s">
        <v>670</v>
      </c>
      <c r="G246" s="50" t="s">
        <v>664</v>
      </c>
      <c r="H246" s="50" t="s">
        <v>656</v>
      </c>
      <c r="I246" s="50" t="s">
        <v>657</v>
      </c>
      <c r="J246" s="1" t="s">
        <v>170</v>
      </c>
      <c r="K246" s="1" t="s">
        <v>141</v>
      </c>
      <c r="L246" s="1">
        <v>1005001151</v>
      </c>
      <c r="M246" s="1" t="s">
        <v>93</v>
      </c>
      <c r="N246" s="1">
        <v>217</v>
      </c>
      <c r="O246" s="47" t="str">
        <f t="shared" si="20"/>
        <v>&gt; 91 Days</v>
      </c>
      <c r="P246" s="1" t="s">
        <v>171</v>
      </c>
      <c r="Q246" s="1">
        <v>1001023281</v>
      </c>
      <c r="R246" s="1" t="s">
        <v>503</v>
      </c>
      <c r="S246" s="1" t="s">
        <v>178</v>
      </c>
      <c r="T246" s="1" t="s">
        <v>179</v>
      </c>
      <c r="U246" s="1" t="s">
        <v>146</v>
      </c>
      <c r="V246" s="1" t="s">
        <v>147</v>
      </c>
      <c r="W246" s="1" t="s">
        <v>148</v>
      </c>
      <c r="X246" s="44">
        <v>0</v>
      </c>
      <c r="Y246" s="44">
        <v>22.04</v>
      </c>
      <c r="Z246" s="44">
        <v>0.88</v>
      </c>
      <c r="AA246" s="44">
        <v>0</v>
      </c>
      <c r="AB246" s="44">
        <v>0</v>
      </c>
      <c r="AC246" s="44">
        <v>3300.22</v>
      </c>
      <c r="AD246" s="45">
        <v>3382726</v>
      </c>
      <c r="AE246" s="45"/>
      <c r="AF246" s="46">
        <v>3382726</v>
      </c>
      <c r="AG246" s="55">
        <f t="shared" si="21"/>
        <v>0</v>
      </c>
      <c r="AH246" s="55">
        <f t="shared" si="22"/>
        <v>0</v>
      </c>
      <c r="AI246" s="55">
        <f t="shared" si="23"/>
        <v>0</v>
      </c>
      <c r="AJ246" s="55">
        <f t="shared" si="19"/>
        <v>3382726</v>
      </c>
    </row>
    <row r="247" spans="1:36" ht="15" customHeight="1">
      <c r="A247" s="1">
        <v>62</v>
      </c>
      <c r="B247" s="1" t="s">
        <v>499</v>
      </c>
      <c r="C247" s="1" t="s">
        <v>500</v>
      </c>
      <c r="D247" s="1" t="s">
        <v>501</v>
      </c>
      <c r="E247" s="1" t="s">
        <v>500</v>
      </c>
      <c r="F247" s="50" t="s">
        <v>670</v>
      </c>
      <c r="G247" s="50" t="s">
        <v>664</v>
      </c>
      <c r="H247" s="50" t="s">
        <v>656</v>
      </c>
      <c r="I247" s="50" t="s">
        <v>657</v>
      </c>
      <c r="J247" s="1" t="s">
        <v>170</v>
      </c>
      <c r="K247" s="1" t="s">
        <v>141</v>
      </c>
      <c r="L247" s="1">
        <v>1005002156</v>
      </c>
      <c r="M247" s="1" t="s">
        <v>62</v>
      </c>
      <c r="N247" s="1">
        <v>52</v>
      </c>
      <c r="O247" s="47" t="str">
        <f t="shared" si="20"/>
        <v>31-60</v>
      </c>
      <c r="P247" s="1" t="s">
        <v>171</v>
      </c>
      <c r="Q247" s="1">
        <v>1001026447</v>
      </c>
      <c r="R247" s="1" t="s">
        <v>504</v>
      </c>
      <c r="S247" s="1" t="s">
        <v>178</v>
      </c>
      <c r="T247" s="1" t="s">
        <v>179</v>
      </c>
      <c r="U247" s="1" t="s">
        <v>146</v>
      </c>
      <c r="V247" s="1" t="s">
        <v>147</v>
      </c>
      <c r="W247" s="1" t="s">
        <v>148</v>
      </c>
      <c r="X247" s="44">
        <v>0</v>
      </c>
      <c r="Y247" s="44">
        <v>20.61</v>
      </c>
      <c r="Z247" s="44">
        <v>0.81</v>
      </c>
      <c r="AA247" s="44">
        <v>0</v>
      </c>
      <c r="AB247" s="44">
        <v>0</v>
      </c>
      <c r="AC247" s="44">
        <v>2415.41</v>
      </c>
      <c r="AD247" s="45">
        <v>2850183</v>
      </c>
      <c r="AE247" s="45"/>
      <c r="AF247" s="46">
        <v>2850183</v>
      </c>
      <c r="AG247" s="55">
        <f t="shared" si="21"/>
        <v>0</v>
      </c>
      <c r="AH247" s="55">
        <f t="shared" si="22"/>
        <v>2850183</v>
      </c>
      <c r="AI247" s="55">
        <f t="shared" si="23"/>
        <v>0</v>
      </c>
      <c r="AJ247" s="55">
        <f t="shared" si="19"/>
        <v>0</v>
      </c>
    </row>
    <row r="248" spans="1:36" ht="15" customHeight="1">
      <c r="A248" s="1">
        <v>62</v>
      </c>
      <c r="B248" s="1" t="s">
        <v>499</v>
      </c>
      <c r="C248" s="1" t="s">
        <v>500</v>
      </c>
      <c r="D248" s="1" t="s">
        <v>501</v>
      </c>
      <c r="E248" s="1" t="s">
        <v>500</v>
      </c>
      <c r="F248" s="50" t="s">
        <v>670</v>
      </c>
      <c r="G248" s="50" t="s">
        <v>664</v>
      </c>
      <c r="H248" s="50" t="s">
        <v>656</v>
      </c>
      <c r="I248" s="50" t="s">
        <v>657</v>
      </c>
      <c r="J248" s="1" t="s">
        <v>170</v>
      </c>
      <c r="K248" s="1" t="s">
        <v>141</v>
      </c>
      <c r="L248" s="1">
        <v>1005002283</v>
      </c>
      <c r="M248" s="1" t="s">
        <v>40</v>
      </c>
      <c r="N248" s="1">
        <v>37</v>
      </c>
      <c r="O248" s="47" t="str">
        <f t="shared" si="20"/>
        <v>31-60</v>
      </c>
      <c r="P248" s="1" t="s">
        <v>171</v>
      </c>
      <c r="Q248" s="1">
        <v>1001027240</v>
      </c>
      <c r="R248" s="1" t="s">
        <v>505</v>
      </c>
      <c r="S248" s="1" t="s">
        <v>178</v>
      </c>
      <c r="T248" s="1" t="s">
        <v>179</v>
      </c>
      <c r="U248" s="1" t="s">
        <v>146</v>
      </c>
      <c r="V248" s="1" t="s">
        <v>147</v>
      </c>
      <c r="W248" s="1" t="s">
        <v>148</v>
      </c>
      <c r="X248" s="44">
        <v>0</v>
      </c>
      <c r="Y248" s="44">
        <v>20.68</v>
      </c>
      <c r="Z248" s="44">
        <v>0.83</v>
      </c>
      <c r="AA248" s="44">
        <v>0</v>
      </c>
      <c r="AB248" s="44">
        <v>0</v>
      </c>
      <c r="AC248" s="44">
        <v>2027.14</v>
      </c>
      <c r="AD248" s="45">
        <v>1976464</v>
      </c>
      <c r="AE248" s="45"/>
      <c r="AF248" s="46">
        <v>1976464</v>
      </c>
      <c r="AG248" s="55">
        <f t="shared" si="21"/>
        <v>0</v>
      </c>
      <c r="AH248" s="55">
        <f t="shared" si="22"/>
        <v>1976464</v>
      </c>
      <c r="AI248" s="55">
        <f t="shared" si="23"/>
        <v>0</v>
      </c>
      <c r="AJ248" s="55">
        <f t="shared" si="19"/>
        <v>0</v>
      </c>
    </row>
    <row r="249" spans="1:36" ht="15" customHeight="1">
      <c r="A249" s="1">
        <v>63</v>
      </c>
      <c r="B249" s="1" t="s">
        <v>506</v>
      </c>
      <c r="C249" s="1" t="s">
        <v>507</v>
      </c>
      <c r="D249" s="1" t="s">
        <v>217</v>
      </c>
      <c r="E249" s="1" t="s">
        <v>507</v>
      </c>
      <c r="F249" s="50" t="s">
        <v>662</v>
      </c>
      <c r="G249" s="50" t="s">
        <v>659</v>
      </c>
      <c r="H249" s="50" t="s">
        <v>656</v>
      </c>
      <c r="I249" s="50" t="s">
        <v>657</v>
      </c>
      <c r="J249" s="1" t="s">
        <v>170</v>
      </c>
      <c r="K249" s="1" t="s">
        <v>141</v>
      </c>
      <c r="L249" s="1">
        <v>1005002392</v>
      </c>
      <c r="M249" s="1" t="s">
        <v>90</v>
      </c>
      <c r="N249" s="1">
        <v>15</v>
      </c>
      <c r="O249" s="47" t="str">
        <f t="shared" si="20"/>
        <v>0-30</v>
      </c>
      <c r="P249" s="1" t="s">
        <v>171</v>
      </c>
      <c r="Q249" s="1">
        <v>1001026185</v>
      </c>
      <c r="R249" s="1" t="s">
        <v>508</v>
      </c>
      <c r="S249" s="1" t="s">
        <v>178</v>
      </c>
      <c r="T249" s="1" t="s">
        <v>179</v>
      </c>
      <c r="U249" s="1" t="s">
        <v>146</v>
      </c>
      <c r="V249" s="1" t="s">
        <v>147</v>
      </c>
      <c r="W249" s="1" t="s">
        <v>148</v>
      </c>
      <c r="X249" s="44">
        <v>0</v>
      </c>
      <c r="Y249" s="44">
        <v>20.56</v>
      </c>
      <c r="Z249" s="44">
        <v>0.83</v>
      </c>
      <c r="AA249" s="44">
        <v>0</v>
      </c>
      <c r="AB249" s="44">
        <v>0</v>
      </c>
      <c r="AC249" s="44">
        <v>3687.36</v>
      </c>
      <c r="AD249" s="45">
        <v>4793568</v>
      </c>
      <c r="AE249" s="45"/>
      <c r="AF249" s="46">
        <v>4793568</v>
      </c>
      <c r="AG249" s="55">
        <f t="shared" si="21"/>
        <v>4793568</v>
      </c>
      <c r="AH249" s="55">
        <f t="shared" si="22"/>
        <v>0</v>
      </c>
      <c r="AI249" s="55">
        <f t="shared" si="23"/>
        <v>0</v>
      </c>
      <c r="AJ249" s="55">
        <f t="shared" si="19"/>
        <v>0</v>
      </c>
    </row>
    <row r="250" spans="1:36" ht="15" customHeight="1">
      <c r="A250" s="1">
        <v>64</v>
      </c>
      <c r="B250" s="1" t="s">
        <v>509</v>
      </c>
      <c r="C250" s="1" t="s">
        <v>510</v>
      </c>
      <c r="D250" s="1" t="s">
        <v>511</v>
      </c>
      <c r="E250" s="1" t="s">
        <v>510</v>
      </c>
      <c r="F250" s="50" t="s">
        <v>658</v>
      </c>
      <c r="G250" s="50" t="s">
        <v>655</v>
      </c>
      <c r="H250" s="50" t="s">
        <v>656</v>
      </c>
      <c r="I250" s="50" t="s">
        <v>657</v>
      </c>
      <c r="J250" s="1" t="s">
        <v>140</v>
      </c>
      <c r="K250" s="1" t="s">
        <v>141</v>
      </c>
      <c r="L250" s="1">
        <v>1005002206</v>
      </c>
      <c r="M250" s="1" t="s">
        <v>89</v>
      </c>
      <c r="N250" s="1">
        <v>44</v>
      </c>
      <c r="O250" s="47" t="str">
        <f t="shared" si="20"/>
        <v>31-60</v>
      </c>
      <c r="P250" s="1" t="s">
        <v>142</v>
      </c>
      <c r="Q250" s="1">
        <v>1001025798</v>
      </c>
      <c r="R250" s="1" t="s">
        <v>512</v>
      </c>
      <c r="S250" s="1" t="s">
        <v>334</v>
      </c>
      <c r="T250" s="1" t="s">
        <v>297</v>
      </c>
      <c r="U250" s="1" t="s">
        <v>146</v>
      </c>
      <c r="V250" s="1" t="s">
        <v>147</v>
      </c>
      <c r="W250" s="1" t="s">
        <v>148</v>
      </c>
      <c r="X250" s="44">
        <v>25.31</v>
      </c>
      <c r="Y250" s="44">
        <v>1.06</v>
      </c>
      <c r="Z250" s="44">
        <v>0</v>
      </c>
      <c r="AA250" s="44">
        <v>0</v>
      </c>
      <c r="AB250" s="44">
        <v>0</v>
      </c>
      <c r="AC250" s="44">
        <v>1053.19</v>
      </c>
      <c r="AD250" s="45">
        <v>12427642</v>
      </c>
      <c r="AE250" s="45"/>
      <c r="AF250" s="46">
        <v>12427642</v>
      </c>
      <c r="AG250" s="55">
        <f t="shared" si="21"/>
        <v>0</v>
      </c>
      <c r="AH250" s="55">
        <f t="shared" si="22"/>
        <v>12427642</v>
      </c>
      <c r="AI250" s="55">
        <f t="shared" si="23"/>
        <v>0</v>
      </c>
      <c r="AJ250" s="55">
        <f t="shared" si="19"/>
        <v>0</v>
      </c>
    </row>
    <row r="251" spans="1:36" ht="15" customHeight="1">
      <c r="A251" s="1">
        <v>64</v>
      </c>
      <c r="B251" s="1" t="s">
        <v>509</v>
      </c>
      <c r="C251" s="1" t="s">
        <v>510</v>
      </c>
      <c r="D251" s="1" t="s">
        <v>511</v>
      </c>
      <c r="E251" s="1" t="s">
        <v>510</v>
      </c>
      <c r="F251" s="50" t="s">
        <v>658</v>
      </c>
      <c r="G251" s="50" t="s">
        <v>655</v>
      </c>
      <c r="H251" s="50" t="s">
        <v>656</v>
      </c>
      <c r="I251" s="50" t="s">
        <v>657</v>
      </c>
      <c r="J251" s="1" t="s">
        <v>140</v>
      </c>
      <c r="K251" s="1" t="s">
        <v>141</v>
      </c>
      <c r="L251" s="1">
        <v>1005002208</v>
      </c>
      <c r="M251" s="1" t="s">
        <v>89</v>
      </c>
      <c r="N251" s="1">
        <v>44</v>
      </c>
      <c r="O251" s="47" t="str">
        <f t="shared" si="20"/>
        <v>31-60</v>
      </c>
      <c r="P251" s="1" t="s">
        <v>142</v>
      </c>
      <c r="Q251" s="1">
        <v>1001025798</v>
      </c>
      <c r="R251" s="1" t="s">
        <v>512</v>
      </c>
      <c r="S251" s="1" t="s">
        <v>334</v>
      </c>
      <c r="T251" s="1" t="s">
        <v>297</v>
      </c>
      <c r="U251" s="1" t="s">
        <v>146</v>
      </c>
      <c r="V251" s="1" t="s">
        <v>147</v>
      </c>
      <c r="W251" s="1" t="s">
        <v>148</v>
      </c>
      <c r="X251" s="44">
        <v>16.57</v>
      </c>
      <c r="Y251" s="44">
        <v>1.51</v>
      </c>
      <c r="Z251" s="44">
        <v>0</v>
      </c>
      <c r="AA251" s="44">
        <v>0</v>
      </c>
      <c r="AB251" s="44">
        <v>0</v>
      </c>
      <c r="AC251" s="44">
        <v>0.82</v>
      </c>
      <c r="AD251" s="45">
        <v>9676</v>
      </c>
      <c r="AE251" s="45"/>
      <c r="AF251" s="46">
        <v>9676</v>
      </c>
      <c r="AG251" s="55">
        <f t="shared" si="21"/>
        <v>0</v>
      </c>
      <c r="AH251" s="55">
        <f t="shared" si="22"/>
        <v>9676</v>
      </c>
      <c r="AI251" s="55">
        <f t="shared" si="23"/>
        <v>0</v>
      </c>
      <c r="AJ251" s="55">
        <f t="shared" si="19"/>
        <v>0</v>
      </c>
    </row>
    <row r="252" spans="1:36" ht="15" customHeight="1">
      <c r="A252" s="1">
        <v>64</v>
      </c>
      <c r="B252" s="1" t="s">
        <v>509</v>
      </c>
      <c r="C252" s="1" t="s">
        <v>510</v>
      </c>
      <c r="D252" s="1" t="s">
        <v>511</v>
      </c>
      <c r="E252" s="1" t="s">
        <v>510</v>
      </c>
      <c r="F252" s="50" t="s">
        <v>658</v>
      </c>
      <c r="G252" s="50" t="s">
        <v>655</v>
      </c>
      <c r="H252" s="50" t="s">
        <v>656</v>
      </c>
      <c r="I252" s="50" t="s">
        <v>657</v>
      </c>
      <c r="J252" s="1" t="s">
        <v>140</v>
      </c>
      <c r="K252" s="1" t="s">
        <v>141</v>
      </c>
      <c r="L252" s="1">
        <v>1005002279</v>
      </c>
      <c r="M252" s="1" t="s">
        <v>43</v>
      </c>
      <c r="N252" s="1">
        <v>38</v>
      </c>
      <c r="O252" s="47" t="str">
        <f t="shared" si="20"/>
        <v>31-60</v>
      </c>
      <c r="P252" s="1" t="s">
        <v>142</v>
      </c>
      <c r="Q252" s="1">
        <v>1001026010</v>
      </c>
      <c r="R252" s="1" t="s">
        <v>513</v>
      </c>
      <c r="S252" s="1" t="s">
        <v>334</v>
      </c>
      <c r="T252" s="1" t="s">
        <v>297</v>
      </c>
      <c r="U252" s="1" t="s">
        <v>146</v>
      </c>
      <c r="V252" s="1" t="s">
        <v>147</v>
      </c>
      <c r="W252" s="1" t="s">
        <v>148</v>
      </c>
      <c r="X252" s="44">
        <v>28.62</v>
      </c>
      <c r="Y252" s="44">
        <v>1.24</v>
      </c>
      <c r="Z252" s="44">
        <v>0</v>
      </c>
      <c r="AA252" s="44">
        <v>0</v>
      </c>
      <c r="AB252" s="44">
        <v>0</v>
      </c>
      <c r="AC252" s="44">
        <v>18237.63</v>
      </c>
      <c r="AD252" s="45">
        <v>213380271</v>
      </c>
      <c r="AE252" s="45"/>
      <c r="AF252" s="46">
        <v>213380271</v>
      </c>
      <c r="AG252" s="55">
        <f t="shared" si="21"/>
        <v>0</v>
      </c>
      <c r="AH252" s="55">
        <f t="shared" si="22"/>
        <v>213380271</v>
      </c>
      <c r="AI252" s="55">
        <f t="shared" si="23"/>
        <v>0</v>
      </c>
      <c r="AJ252" s="55">
        <f t="shared" si="19"/>
        <v>0</v>
      </c>
    </row>
    <row r="253" spans="1:36" ht="15" customHeight="1">
      <c r="A253" s="1">
        <v>64</v>
      </c>
      <c r="B253" s="1" t="s">
        <v>509</v>
      </c>
      <c r="C253" s="1" t="s">
        <v>510</v>
      </c>
      <c r="D253" s="1" t="s">
        <v>511</v>
      </c>
      <c r="E253" s="1" t="s">
        <v>510</v>
      </c>
      <c r="F253" s="50" t="s">
        <v>658</v>
      </c>
      <c r="G253" s="50" t="s">
        <v>655</v>
      </c>
      <c r="H253" s="50" t="s">
        <v>656</v>
      </c>
      <c r="I253" s="50" t="s">
        <v>657</v>
      </c>
      <c r="J253" s="1" t="s">
        <v>140</v>
      </c>
      <c r="K253" s="1" t="s">
        <v>141</v>
      </c>
      <c r="L253" s="1">
        <v>1005002280</v>
      </c>
      <c r="M253" s="1" t="s">
        <v>43</v>
      </c>
      <c r="N253" s="1">
        <v>38</v>
      </c>
      <c r="O253" s="47" t="str">
        <f t="shared" si="20"/>
        <v>31-60</v>
      </c>
      <c r="P253" s="1" t="s">
        <v>142</v>
      </c>
      <c r="Q253" s="1">
        <v>1001026010</v>
      </c>
      <c r="R253" s="1" t="s">
        <v>513</v>
      </c>
      <c r="S253" s="1" t="s">
        <v>334</v>
      </c>
      <c r="T253" s="1" t="s">
        <v>297</v>
      </c>
      <c r="U253" s="1" t="s">
        <v>146</v>
      </c>
      <c r="V253" s="1" t="s">
        <v>147</v>
      </c>
      <c r="W253" s="1" t="s">
        <v>148</v>
      </c>
      <c r="X253" s="44">
        <v>35.58</v>
      </c>
      <c r="Y253" s="44">
        <v>2.38</v>
      </c>
      <c r="Z253" s="44">
        <v>0</v>
      </c>
      <c r="AA253" s="44">
        <v>0</v>
      </c>
      <c r="AB253" s="44">
        <v>0</v>
      </c>
      <c r="AC253" s="44">
        <v>348.65</v>
      </c>
      <c r="AD253" s="45">
        <v>4079205</v>
      </c>
      <c r="AE253" s="45"/>
      <c r="AF253" s="46">
        <v>4079205</v>
      </c>
      <c r="AG253" s="55">
        <f t="shared" si="21"/>
        <v>0</v>
      </c>
      <c r="AH253" s="55">
        <f t="shared" si="22"/>
        <v>4079205</v>
      </c>
      <c r="AI253" s="55">
        <f t="shared" si="23"/>
        <v>0</v>
      </c>
      <c r="AJ253" s="55">
        <f t="shared" si="19"/>
        <v>0</v>
      </c>
    </row>
    <row r="254" spans="1:36" ht="15" customHeight="1">
      <c r="A254" s="1">
        <v>64</v>
      </c>
      <c r="B254" s="1" t="s">
        <v>509</v>
      </c>
      <c r="C254" s="1" t="s">
        <v>510</v>
      </c>
      <c r="D254" s="1" t="s">
        <v>511</v>
      </c>
      <c r="E254" s="1" t="s">
        <v>510</v>
      </c>
      <c r="F254" s="50" t="s">
        <v>658</v>
      </c>
      <c r="G254" s="50" t="s">
        <v>655</v>
      </c>
      <c r="H254" s="50" t="s">
        <v>656</v>
      </c>
      <c r="I254" s="50" t="s">
        <v>657</v>
      </c>
      <c r="J254" s="1" t="s">
        <v>140</v>
      </c>
      <c r="K254" s="1" t="s">
        <v>141</v>
      </c>
      <c r="L254" s="1">
        <v>1005002324</v>
      </c>
      <c r="M254" s="1" t="s">
        <v>10</v>
      </c>
      <c r="N254" s="1">
        <v>31</v>
      </c>
      <c r="O254" s="47" t="str">
        <f t="shared" si="20"/>
        <v>31-60</v>
      </c>
      <c r="P254" s="1" t="s">
        <v>142</v>
      </c>
      <c r="Q254" s="1">
        <v>1001026976</v>
      </c>
      <c r="R254" s="1" t="s">
        <v>514</v>
      </c>
      <c r="S254" s="1" t="s">
        <v>334</v>
      </c>
      <c r="T254" s="1" t="s">
        <v>297</v>
      </c>
      <c r="U254" s="1" t="s">
        <v>146</v>
      </c>
      <c r="V254" s="1" t="s">
        <v>147</v>
      </c>
      <c r="W254" s="1" t="s">
        <v>148</v>
      </c>
      <c r="X254" s="44">
        <v>27</v>
      </c>
      <c r="Y254" s="44">
        <v>1.86</v>
      </c>
      <c r="Z254" s="44">
        <v>0</v>
      </c>
      <c r="AA254" s="44">
        <v>0</v>
      </c>
      <c r="AB254" s="44">
        <v>0</v>
      </c>
      <c r="AC254" s="44">
        <v>91.57</v>
      </c>
      <c r="AD254" s="45">
        <v>1069262</v>
      </c>
      <c r="AE254" s="45"/>
      <c r="AF254" s="46">
        <v>1069262</v>
      </c>
      <c r="AG254" s="55">
        <f t="shared" si="21"/>
        <v>0</v>
      </c>
      <c r="AH254" s="55">
        <f t="shared" si="22"/>
        <v>1069262</v>
      </c>
      <c r="AI254" s="55">
        <f t="shared" si="23"/>
        <v>0</v>
      </c>
      <c r="AJ254" s="55">
        <f t="shared" si="19"/>
        <v>0</v>
      </c>
    </row>
    <row r="255" spans="1:36" ht="15" customHeight="1">
      <c r="A255" s="1">
        <v>64</v>
      </c>
      <c r="B255" s="1" t="s">
        <v>509</v>
      </c>
      <c r="C255" s="1" t="s">
        <v>510</v>
      </c>
      <c r="D255" s="1" t="s">
        <v>511</v>
      </c>
      <c r="E255" s="1" t="s">
        <v>510</v>
      </c>
      <c r="F255" s="50" t="s">
        <v>658</v>
      </c>
      <c r="G255" s="50" t="s">
        <v>655</v>
      </c>
      <c r="H255" s="50" t="s">
        <v>656</v>
      </c>
      <c r="I255" s="50" t="s">
        <v>657</v>
      </c>
      <c r="J255" s="1" t="s">
        <v>140</v>
      </c>
      <c r="K255" s="1" t="s">
        <v>141</v>
      </c>
      <c r="L255" s="1">
        <v>1005002325</v>
      </c>
      <c r="M255" s="1" t="s">
        <v>10</v>
      </c>
      <c r="N255" s="1">
        <v>31</v>
      </c>
      <c r="O255" s="47" t="str">
        <f t="shared" si="20"/>
        <v>31-60</v>
      </c>
      <c r="P255" s="1" t="s">
        <v>142</v>
      </c>
      <c r="Q255" s="1">
        <v>1001026976</v>
      </c>
      <c r="R255" s="1" t="s">
        <v>514</v>
      </c>
      <c r="S255" s="1" t="s">
        <v>334</v>
      </c>
      <c r="T255" s="1" t="s">
        <v>297</v>
      </c>
      <c r="U255" s="1" t="s">
        <v>146</v>
      </c>
      <c r="V255" s="1" t="s">
        <v>147</v>
      </c>
      <c r="W255" s="1" t="s">
        <v>148</v>
      </c>
      <c r="X255" s="44">
        <v>27.66</v>
      </c>
      <c r="Y255" s="44">
        <v>1.25</v>
      </c>
      <c r="Z255" s="44">
        <v>0</v>
      </c>
      <c r="AA255" s="44">
        <v>0</v>
      </c>
      <c r="AB255" s="44">
        <v>0</v>
      </c>
      <c r="AC255" s="44">
        <v>7487.28</v>
      </c>
      <c r="AD255" s="45">
        <v>87428970</v>
      </c>
      <c r="AE255" s="45"/>
      <c r="AF255" s="46">
        <v>87428970</v>
      </c>
      <c r="AG255" s="55">
        <f t="shared" si="21"/>
        <v>0</v>
      </c>
      <c r="AH255" s="55">
        <f t="shared" si="22"/>
        <v>87428970</v>
      </c>
      <c r="AI255" s="55">
        <f t="shared" si="23"/>
        <v>0</v>
      </c>
      <c r="AJ255" s="55">
        <f t="shared" si="19"/>
        <v>0</v>
      </c>
    </row>
    <row r="256" spans="1:36" ht="15" customHeight="1">
      <c r="A256" s="1">
        <v>64</v>
      </c>
      <c r="B256" s="1" t="s">
        <v>509</v>
      </c>
      <c r="C256" s="1" t="s">
        <v>510</v>
      </c>
      <c r="D256" s="1" t="s">
        <v>511</v>
      </c>
      <c r="E256" s="1" t="s">
        <v>510</v>
      </c>
      <c r="F256" s="50" t="s">
        <v>658</v>
      </c>
      <c r="G256" s="50" t="s">
        <v>655</v>
      </c>
      <c r="H256" s="50" t="s">
        <v>656</v>
      </c>
      <c r="I256" s="50" t="s">
        <v>657</v>
      </c>
      <c r="J256" s="1" t="s">
        <v>140</v>
      </c>
      <c r="K256" s="1" t="s">
        <v>141</v>
      </c>
      <c r="L256" s="1">
        <v>1005002472</v>
      </c>
      <c r="M256" s="1" t="s">
        <v>28</v>
      </c>
      <c r="N256" s="1">
        <v>8</v>
      </c>
      <c r="O256" s="47" t="str">
        <f t="shared" si="20"/>
        <v>0-30</v>
      </c>
      <c r="P256" s="1" t="s">
        <v>142</v>
      </c>
      <c r="Q256" s="1">
        <v>1001027520</v>
      </c>
      <c r="R256" s="1" t="s">
        <v>515</v>
      </c>
      <c r="S256" s="1" t="s">
        <v>351</v>
      </c>
      <c r="T256" s="1" t="s">
        <v>352</v>
      </c>
      <c r="U256" s="1" t="s">
        <v>146</v>
      </c>
      <c r="V256" s="1" t="s">
        <v>147</v>
      </c>
      <c r="W256" s="1" t="s">
        <v>148</v>
      </c>
      <c r="X256" s="44">
        <v>6.87</v>
      </c>
      <c r="Y256" s="44">
        <v>6.98</v>
      </c>
      <c r="Z256" s="44">
        <v>8.76</v>
      </c>
      <c r="AA256" s="44">
        <v>0</v>
      </c>
      <c r="AB256" s="44">
        <v>0</v>
      </c>
      <c r="AC256" s="44">
        <v>909.09</v>
      </c>
      <c r="AD256" s="45">
        <v>10727262</v>
      </c>
      <c r="AE256" s="45"/>
      <c r="AF256" s="46">
        <v>10727262</v>
      </c>
      <c r="AG256" s="55">
        <f t="shared" si="21"/>
        <v>10727262</v>
      </c>
      <c r="AH256" s="55">
        <f t="shared" si="22"/>
        <v>0</v>
      </c>
      <c r="AI256" s="55">
        <f t="shared" si="23"/>
        <v>0</v>
      </c>
      <c r="AJ256" s="55">
        <f t="shared" si="19"/>
        <v>0</v>
      </c>
    </row>
    <row r="257" spans="1:36" ht="15" customHeight="1">
      <c r="A257" s="1">
        <v>64</v>
      </c>
      <c r="B257" s="1" t="s">
        <v>509</v>
      </c>
      <c r="C257" s="1" t="s">
        <v>510</v>
      </c>
      <c r="D257" s="1" t="s">
        <v>511</v>
      </c>
      <c r="E257" s="1" t="s">
        <v>510</v>
      </c>
      <c r="F257" s="50" t="s">
        <v>658</v>
      </c>
      <c r="G257" s="50" t="s">
        <v>655</v>
      </c>
      <c r="H257" s="50" t="s">
        <v>656</v>
      </c>
      <c r="I257" s="50" t="s">
        <v>657</v>
      </c>
      <c r="J257" s="1" t="s">
        <v>140</v>
      </c>
      <c r="K257" s="1" t="s">
        <v>141</v>
      </c>
      <c r="L257" s="1">
        <v>1005002474</v>
      </c>
      <c r="M257" s="1" t="s">
        <v>28</v>
      </c>
      <c r="N257" s="1">
        <v>8</v>
      </c>
      <c r="O257" s="47" t="str">
        <f t="shared" si="20"/>
        <v>0-30</v>
      </c>
      <c r="P257" s="1" t="s">
        <v>142</v>
      </c>
      <c r="Q257" s="1">
        <v>1001027520</v>
      </c>
      <c r="R257" s="1" t="s">
        <v>515</v>
      </c>
      <c r="S257" s="1" t="s">
        <v>351</v>
      </c>
      <c r="T257" s="1" t="s">
        <v>352</v>
      </c>
      <c r="U257" s="1" t="s">
        <v>146</v>
      </c>
      <c r="V257" s="1" t="s">
        <v>147</v>
      </c>
      <c r="W257" s="1" t="s">
        <v>148</v>
      </c>
      <c r="X257" s="44">
        <v>6.25</v>
      </c>
      <c r="Y257" s="44">
        <v>7.39</v>
      </c>
      <c r="Z257" s="44">
        <v>8.49</v>
      </c>
      <c r="AA257" s="44">
        <v>0</v>
      </c>
      <c r="AB257" s="44">
        <v>0</v>
      </c>
      <c r="AC257" s="44">
        <v>238.75</v>
      </c>
      <c r="AD257" s="45">
        <v>2817250</v>
      </c>
      <c r="AE257" s="45"/>
      <c r="AF257" s="46">
        <v>2817250</v>
      </c>
      <c r="AG257" s="55">
        <f t="shared" si="21"/>
        <v>2817250</v>
      </c>
      <c r="AH257" s="55">
        <f t="shared" si="22"/>
        <v>0</v>
      </c>
      <c r="AI257" s="55">
        <f t="shared" si="23"/>
        <v>0</v>
      </c>
      <c r="AJ257" s="55">
        <f t="shared" si="19"/>
        <v>0</v>
      </c>
    </row>
    <row r="258" spans="1:36" ht="15" customHeight="1">
      <c r="A258" s="1">
        <v>65</v>
      </c>
      <c r="B258" s="1" t="s">
        <v>516</v>
      </c>
      <c r="C258" s="1" t="s">
        <v>517</v>
      </c>
      <c r="D258" s="1" t="s">
        <v>252</v>
      </c>
      <c r="E258" s="1" t="s">
        <v>517</v>
      </c>
      <c r="F258" s="50" t="s">
        <v>658</v>
      </c>
      <c r="G258" s="50" t="s">
        <v>655</v>
      </c>
      <c r="H258" s="50" t="s">
        <v>656</v>
      </c>
      <c r="I258" s="50" t="s">
        <v>657</v>
      </c>
      <c r="J258" s="1" t="s">
        <v>140</v>
      </c>
      <c r="K258" s="1" t="s">
        <v>141</v>
      </c>
      <c r="L258" s="1">
        <v>1005002228</v>
      </c>
      <c r="M258" s="1" t="s">
        <v>51</v>
      </c>
      <c r="N258" s="1">
        <v>43</v>
      </c>
      <c r="O258" s="47" t="str">
        <f t="shared" si="20"/>
        <v>31-60</v>
      </c>
      <c r="P258" s="1" t="s">
        <v>142</v>
      </c>
      <c r="Q258" s="1">
        <v>1001027200</v>
      </c>
      <c r="R258" s="1" t="s">
        <v>518</v>
      </c>
      <c r="S258" s="1" t="s">
        <v>144</v>
      </c>
      <c r="T258" s="1" t="s">
        <v>145</v>
      </c>
      <c r="U258" s="1" t="s">
        <v>146</v>
      </c>
      <c r="V258" s="1" t="s">
        <v>147</v>
      </c>
      <c r="W258" s="1" t="s">
        <v>148</v>
      </c>
      <c r="X258" s="44">
        <v>5.23</v>
      </c>
      <c r="Y258" s="44">
        <v>0.28000000000000003</v>
      </c>
      <c r="Z258" s="44">
        <v>0</v>
      </c>
      <c r="AA258" s="44">
        <v>0</v>
      </c>
      <c r="AB258" s="44">
        <v>0</v>
      </c>
      <c r="AC258" s="44">
        <v>30030</v>
      </c>
      <c r="AD258" s="45">
        <v>1245000</v>
      </c>
      <c r="AE258" s="45"/>
      <c r="AF258" s="46">
        <v>1245000</v>
      </c>
      <c r="AG258" s="55">
        <f t="shared" si="21"/>
        <v>0</v>
      </c>
      <c r="AH258" s="55">
        <f t="shared" si="22"/>
        <v>1245000</v>
      </c>
      <c r="AI258" s="55">
        <f t="shared" si="23"/>
        <v>0</v>
      </c>
      <c r="AJ258" s="55">
        <f t="shared" si="19"/>
        <v>0</v>
      </c>
    </row>
    <row r="259" spans="1:36" ht="15" customHeight="1">
      <c r="A259" s="1">
        <v>65</v>
      </c>
      <c r="B259" s="1" t="s">
        <v>516</v>
      </c>
      <c r="C259" s="1" t="s">
        <v>517</v>
      </c>
      <c r="D259" s="1" t="s">
        <v>252</v>
      </c>
      <c r="E259" s="1" t="s">
        <v>517</v>
      </c>
      <c r="F259" s="50" t="s">
        <v>658</v>
      </c>
      <c r="G259" s="50" t="s">
        <v>655</v>
      </c>
      <c r="H259" s="50" t="s">
        <v>656</v>
      </c>
      <c r="I259" s="50" t="s">
        <v>657</v>
      </c>
      <c r="J259" s="1" t="s">
        <v>140</v>
      </c>
      <c r="K259" s="1" t="s">
        <v>141</v>
      </c>
      <c r="L259" s="1">
        <v>1005002229</v>
      </c>
      <c r="M259" s="1" t="s">
        <v>51</v>
      </c>
      <c r="N259" s="1">
        <v>43</v>
      </c>
      <c r="O259" s="47" t="str">
        <f t="shared" si="20"/>
        <v>31-60</v>
      </c>
      <c r="P259" s="1" t="s">
        <v>142</v>
      </c>
      <c r="Q259" s="1">
        <v>1001027173</v>
      </c>
      <c r="R259" s="1" t="s">
        <v>519</v>
      </c>
      <c r="S259" s="1" t="s">
        <v>144</v>
      </c>
      <c r="T259" s="1" t="s">
        <v>145</v>
      </c>
      <c r="U259" s="1" t="s">
        <v>146</v>
      </c>
      <c r="V259" s="1" t="s">
        <v>147</v>
      </c>
      <c r="W259" s="1" t="s">
        <v>148</v>
      </c>
      <c r="X259" s="44">
        <v>5.21</v>
      </c>
      <c r="Y259" s="44">
        <v>0.35</v>
      </c>
      <c r="Z259" s="44">
        <v>0</v>
      </c>
      <c r="AA259" s="44">
        <v>0</v>
      </c>
      <c r="AB259" s="44">
        <v>0</v>
      </c>
      <c r="AC259" s="44">
        <v>17970</v>
      </c>
      <c r="AD259" s="45">
        <v>449250</v>
      </c>
      <c r="AE259" s="45"/>
      <c r="AF259" s="46">
        <v>449250</v>
      </c>
      <c r="AG259" s="55">
        <f t="shared" si="21"/>
        <v>0</v>
      </c>
      <c r="AH259" s="55">
        <f t="shared" si="22"/>
        <v>449250</v>
      </c>
      <c r="AI259" s="55">
        <f t="shared" si="23"/>
        <v>0</v>
      </c>
      <c r="AJ259" s="55">
        <f t="shared" si="19"/>
        <v>0</v>
      </c>
    </row>
    <row r="260" spans="1:36" ht="15" customHeight="1">
      <c r="A260" s="1">
        <v>65</v>
      </c>
      <c r="B260" s="1" t="s">
        <v>516</v>
      </c>
      <c r="C260" s="1" t="s">
        <v>517</v>
      </c>
      <c r="D260" s="1" t="s">
        <v>252</v>
      </c>
      <c r="E260" s="1" t="s">
        <v>517</v>
      </c>
      <c r="F260" s="50" t="s">
        <v>658</v>
      </c>
      <c r="G260" s="50" t="s">
        <v>655</v>
      </c>
      <c r="H260" s="50" t="s">
        <v>656</v>
      </c>
      <c r="I260" s="50" t="s">
        <v>657</v>
      </c>
      <c r="J260" s="1" t="s">
        <v>140</v>
      </c>
      <c r="K260" s="1" t="s">
        <v>141</v>
      </c>
      <c r="L260" s="1">
        <v>1005002298</v>
      </c>
      <c r="M260" s="1" t="s">
        <v>65</v>
      </c>
      <c r="N260" s="1">
        <v>35</v>
      </c>
      <c r="O260" s="47" t="str">
        <f t="shared" si="20"/>
        <v>31-60</v>
      </c>
      <c r="P260" s="1" t="s">
        <v>142</v>
      </c>
      <c r="Q260" s="1">
        <v>1001027405</v>
      </c>
      <c r="R260" s="1" t="s">
        <v>520</v>
      </c>
      <c r="S260" s="1" t="s">
        <v>144</v>
      </c>
      <c r="T260" s="1" t="s">
        <v>145</v>
      </c>
      <c r="U260" s="1" t="s">
        <v>146</v>
      </c>
      <c r="V260" s="1" t="s">
        <v>147</v>
      </c>
      <c r="W260" s="1" t="s">
        <v>148</v>
      </c>
      <c r="X260" s="44">
        <v>5.17</v>
      </c>
      <c r="Y260" s="44">
        <v>0.28000000000000003</v>
      </c>
      <c r="Z260" s="44">
        <v>0</v>
      </c>
      <c r="AA260" s="44">
        <v>0</v>
      </c>
      <c r="AB260" s="44">
        <v>0</v>
      </c>
      <c r="AC260" s="44">
        <v>58052</v>
      </c>
      <c r="AD260" s="45">
        <v>1753350</v>
      </c>
      <c r="AE260" s="45"/>
      <c r="AF260" s="46">
        <v>1753350</v>
      </c>
      <c r="AG260" s="55">
        <f t="shared" si="21"/>
        <v>0</v>
      </c>
      <c r="AH260" s="55">
        <f t="shared" si="22"/>
        <v>1753350</v>
      </c>
      <c r="AI260" s="55">
        <f t="shared" si="23"/>
        <v>0</v>
      </c>
      <c r="AJ260" s="55">
        <f t="shared" si="19"/>
        <v>0</v>
      </c>
    </row>
    <row r="261" spans="1:36" ht="15" customHeight="1">
      <c r="A261" s="1">
        <v>65</v>
      </c>
      <c r="B261" s="1" t="s">
        <v>516</v>
      </c>
      <c r="C261" s="1" t="s">
        <v>517</v>
      </c>
      <c r="D261" s="1" t="s">
        <v>252</v>
      </c>
      <c r="E261" s="1" t="s">
        <v>517</v>
      </c>
      <c r="F261" s="50" t="s">
        <v>658</v>
      </c>
      <c r="G261" s="50" t="s">
        <v>655</v>
      </c>
      <c r="H261" s="50" t="s">
        <v>656</v>
      </c>
      <c r="I261" s="50" t="s">
        <v>657</v>
      </c>
      <c r="J261" s="1" t="s">
        <v>140</v>
      </c>
      <c r="K261" s="1" t="s">
        <v>141</v>
      </c>
      <c r="L261" s="1">
        <v>1005002299</v>
      </c>
      <c r="M261" s="1" t="s">
        <v>65</v>
      </c>
      <c r="N261" s="1">
        <v>35</v>
      </c>
      <c r="O261" s="47" t="str">
        <f t="shared" si="20"/>
        <v>31-60</v>
      </c>
      <c r="P261" s="1" t="s">
        <v>142</v>
      </c>
      <c r="Q261" s="1">
        <v>1001027291</v>
      </c>
      <c r="R261" s="1" t="s">
        <v>521</v>
      </c>
      <c r="S261" s="1" t="s">
        <v>144</v>
      </c>
      <c r="T261" s="1" t="s">
        <v>145</v>
      </c>
      <c r="U261" s="1" t="s">
        <v>146</v>
      </c>
      <c r="V261" s="1" t="s">
        <v>147</v>
      </c>
      <c r="W261" s="1" t="s">
        <v>148</v>
      </c>
      <c r="X261" s="44">
        <v>5.2</v>
      </c>
      <c r="Y261" s="44">
        <v>0.27</v>
      </c>
      <c r="Z261" s="44">
        <v>0</v>
      </c>
      <c r="AA261" s="44">
        <v>0</v>
      </c>
      <c r="AB261" s="44">
        <v>0</v>
      </c>
      <c r="AC261" s="44">
        <v>502408</v>
      </c>
      <c r="AD261" s="45">
        <v>16772650</v>
      </c>
      <c r="AE261" s="45"/>
      <c r="AF261" s="46">
        <v>16772650</v>
      </c>
      <c r="AG261" s="55">
        <f t="shared" si="21"/>
        <v>0</v>
      </c>
      <c r="AH261" s="55">
        <f t="shared" si="22"/>
        <v>16772650</v>
      </c>
      <c r="AI261" s="55">
        <f t="shared" si="23"/>
        <v>0</v>
      </c>
      <c r="AJ261" s="55">
        <f t="shared" si="19"/>
        <v>0</v>
      </c>
    </row>
    <row r="262" spans="1:36" ht="15" customHeight="1">
      <c r="A262" s="1">
        <v>65</v>
      </c>
      <c r="B262" s="1" t="s">
        <v>516</v>
      </c>
      <c r="C262" s="1" t="s">
        <v>517</v>
      </c>
      <c r="D262" s="1" t="s">
        <v>252</v>
      </c>
      <c r="E262" s="1" t="s">
        <v>517</v>
      </c>
      <c r="F262" s="50" t="s">
        <v>658</v>
      </c>
      <c r="G262" s="50" t="s">
        <v>655</v>
      </c>
      <c r="H262" s="50" t="s">
        <v>656</v>
      </c>
      <c r="I262" s="50" t="s">
        <v>657</v>
      </c>
      <c r="J262" s="1" t="s">
        <v>153</v>
      </c>
      <c r="K262" s="1" t="s">
        <v>141</v>
      </c>
      <c r="L262" s="1">
        <v>1005002306</v>
      </c>
      <c r="M262" s="1" t="s">
        <v>66</v>
      </c>
      <c r="N262" s="1">
        <v>32</v>
      </c>
      <c r="O262" s="47" t="str">
        <f t="shared" si="20"/>
        <v>31-60</v>
      </c>
      <c r="P262" s="1" t="s">
        <v>142</v>
      </c>
      <c r="Q262" s="1">
        <v>1001027252</v>
      </c>
      <c r="R262" s="1" t="s">
        <v>522</v>
      </c>
      <c r="S262" s="1" t="s">
        <v>144</v>
      </c>
      <c r="T262" s="1" t="s">
        <v>145</v>
      </c>
      <c r="U262" s="1" t="s">
        <v>146</v>
      </c>
      <c r="V262" s="1" t="s">
        <v>147</v>
      </c>
      <c r="W262" s="1" t="s">
        <v>148</v>
      </c>
      <c r="X262" s="44">
        <v>5.33</v>
      </c>
      <c r="Y262" s="44">
        <v>0.28000000000000003</v>
      </c>
      <c r="Z262" s="44">
        <v>0</v>
      </c>
      <c r="AA262" s="44">
        <v>0</v>
      </c>
      <c r="AB262" s="44">
        <v>0</v>
      </c>
      <c r="AC262" s="44">
        <v>16240</v>
      </c>
      <c r="AD262" s="45">
        <v>812000</v>
      </c>
      <c r="AE262" s="45"/>
      <c r="AF262" s="46">
        <v>812000</v>
      </c>
      <c r="AG262" s="55">
        <f t="shared" si="21"/>
        <v>0</v>
      </c>
      <c r="AH262" s="55">
        <f t="shared" si="22"/>
        <v>812000</v>
      </c>
      <c r="AI262" s="55">
        <f t="shared" si="23"/>
        <v>0</v>
      </c>
      <c r="AJ262" s="55">
        <f t="shared" si="19"/>
        <v>0</v>
      </c>
    </row>
    <row r="263" spans="1:36" ht="15" customHeight="1">
      <c r="A263" s="1">
        <v>65</v>
      </c>
      <c r="B263" s="1" t="s">
        <v>516</v>
      </c>
      <c r="C263" s="1" t="s">
        <v>517</v>
      </c>
      <c r="D263" s="1" t="s">
        <v>252</v>
      </c>
      <c r="E263" s="1" t="s">
        <v>517</v>
      </c>
      <c r="F263" s="50" t="s">
        <v>658</v>
      </c>
      <c r="G263" s="50" t="s">
        <v>655</v>
      </c>
      <c r="H263" s="50" t="s">
        <v>656</v>
      </c>
      <c r="I263" s="50" t="s">
        <v>657</v>
      </c>
      <c r="J263" s="1" t="s">
        <v>153</v>
      </c>
      <c r="K263" s="1" t="s">
        <v>141</v>
      </c>
      <c r="L263" s="1">
        <v>1005002307</v>
      </c>
      <c r="M263" s="1" t="s">
        <v>66</v>
      </c>
      <c r="N263" s="1">
        <v>32</v>
      </c>
      <c r="O263" s="47" t="str">
        <f t="shared" si="20"/>
        <v>31-60</v>
      </c>
      <c r="P263" s="1" t="s">
        <v>142</v>
      </c>
      <c r="Q263" s="1">
        <v>1001027469</v>
      </c>
      <c r="R263" s="1" t="s">
        <v>523</v>
      </c>
      <c r="S263" s="1" t="s">
        <v>144</v>
      </c>
      <c r="T263" s="1" t="s">
        <v>145</v>
      </c>
      <c r="U263" s="1" t="s">
        <v>146</v>
      </c>
      <c r="V263" s="1" t="s">
        <v>147</v>
      </c>
      <c r="W263" s="1" t="s">
        <v>148</v>
      </c>
      <c r="X263" s="44">
        <v>5.0599999999999996</v>
      </c>
      <c r="Y263" s="44">
        <v>0.27</v>
      </c>
      <c r="Z263" s="44">
        <v>0</v>
      </c>
      <c r="AA263" s="44">
        <v>0</v>
      </c>
      <c r="AB263" s="44">
        <v>0</v>
      </c>
      <c r="AC263" s="44">
        <v>36090</v>
      </c>
      <c r="AD263" s="45">
        <v>902250</v>
      </c>
      <c r="AE263" s="45"/>
      <c r="AF263" s="46">
        <v>902250</v>
      </c>
      <c r="AG263" s="55">
        <f t="shared" si="21"/>
        <v>0</v>
      </c>
      <c r="AH263" s="55">
        <f t="shared" si="22"/>
        <v>902250</v>
      </c>
      <c r="AI263" s="55">
        <f t="shared" si="23"/>
        <v>0</v>
      </c>
      <c r="AJ263" s="55">
        <f t="shared" si="19"/>
        <v>0</v>
      </c>
    </row>
    <row r="264" spans="1:36" ht="15" customHeight="1">
      <c r="A264" s="1">
        <v>65</v>
      </c>
      <c r="B264" s="1" t="s">
        <v>516</v>
      </c>
      <c r="C264" s="1" t="s">
        <v>517</v>
      </c>
      <c r="D264" s="1" t="s">
        <v>252</v>
      </c>
      <c r="E264" s="1" t="s">
        <v>517</v>
      </c>
      <c r="F264" s="50" t="s">
        <v>658</v>
      </c>
      <c r="G264" s="50" t="s">
        <v>655</v>
      </c>
      <c r="H264" s="50" t="s">
        <v>656</v>
      </c>
      <c r="I264" s="50" t="s">
        <v>657</v>
      </c>
      <c r="J264" s="1" t="s">
        <v>140</v>
      </c>
      <c r="K264" s="1" t="s">
        <v>141</v>
      </c>
      <c r="L264" s="1">
        <v>1005002454</v>
      </c>
      <c r="M264" s="1" t="s">
        <v>9</v>
      </c>
      <c r="N264" s="1">
        <v>9</v>
      </c>
      <c r="O264" s="47" t="str">
        <f t="shared" si="20"/>
        <v>0-30</v>
      </c>
      <c r="P264" s="1" t="s">
        <v>142</v>
      </c>
      <c r="Q264" s="1">
        <v>1001027748</v>
      </c>
      <c r="R264" s="1" t="s">
        <v>524</v>
      </c>
      <c r="S264" s="1" t="s">
        <v>144</v>
      </c>
      <c r="T264" s="1" t="s">
        <v>145</v>
      </c>
      <c r="U264" s="1" t="s">
        <v>146</v>
      </c>
      <c r="V264" s="1" t="s">
        <v>147</v>
      </c>
      <c r="W264" s="1" t="s">
        <v>148</v>
      </c>
      <c r="X264" s="44">
        <v>4.38</v>
      </c>
      <c r="Y264" s="44">
        <v>0.86</v>
      </c>
      <c r="Z264" s="44">
        <v>0</v>
      </c>
      <c r="AA264" s="44">
        <v>0</v>
      </c>
      <c r="AB264" s="44">
        <v>0</v>
      </c>
      <c r="AC264" s="44">
        <v>27.18</v>
      </c>
      <c r="AD264" s="45">
        <v>401585</v>
      </c>
      <c r="AE264" s="45"/>
      <c r="AF264" s="46">
        <v>401585</v>
      </c>
      <c r="AG264" s="55">
        <f t="shared" si="21"/>
        <v>401585</v>
      </c>
      <c r="AH264" s="55">
        <f t="shared" si="22"/>
        <v>0</v>
      </c>
      <c r="AI264" s="55">
        <f t="shared" si="23"/>
        <v>0</v>
      </c>
      <c r="AJ264" s="55">
        <f t="shared" si="19"/>
        <v>0</v>
      </c>
    </row>
    <row r="265" spans="1:36" ht="15" customHeight="1">
      <c r="A265" s="1">
        <v>65</v>
      </c>
      <c r="B265" s="1" t="s">
        <v>516</v>
      </c>
      <c r="C265" s="1" t="s">
        <v>517</v>
      </c>
      <c r="D265" s="1" t="s">
        <v>252</v>
      </c>
      <c r="E265" s="1" t="s">
        <v>517</v>
      </c>
      <c r="F265" s="50" t="s">
        <v>658</v>
      </c>
      <c r="G265" s="50" t="s">
        <v>655</v>
      </c>
      <c r="H265" s="50" t="s">
        <v>656</v>
      </c>
      <c r="I265" s="50" t="s">
        <v>657</v>
      </c>
      <c r="J265" s="1" t="s">
        <v>140</v>
      </c>
      <c r="K265" s="1" t="s">
        <v>141</v>
      </c>
      <c r="L265" s="1">
        <v>1005002455</v>
      </c>
      <c r="M265" s="1" t="s">
        <v>9</v>
      </c>
      <c r="N265" s="1">
        <v>9</v>
      </c>
      <c r="O265" s="47" t="str">
        <f t="shared" si="20"/>
        <v>0-30</v>
      </c>
      <c r="P265" s="1" t="s">
        <v>142</v>
      </c>
      <c r="Q265" s="1">
        <v>1001027843</v>
      </c>
      <c r="R265" s="1" t="s">
        <v>525</v>
      </c>
      <c r="S265" s="1" t="s">
        <v>144</v>
      </c>
      <c r="T265" s="1" t="s">
        <v>145</v>
      </c>
      <c r="U265" s="1" t="s">
        <v>146</v>
      </c>
      <c r="V265" s="1" t="s">
        <v>147</v>
      </c>
      <c r="W265" s="1" t="s">
        <v>148</v>
      </c>
      <c r="X265" s="44">
        <v>4.5999999999999996</v>
      </c>
      <c r="Y265" s="44">
        <v>0.61</v>
      </c>
      <c r="Z265" s="44">
        <v>0</v>
      </c>
      <c r="AA265" s="44">
        <v>0</v>
      </c>
      <c r="AB265" s="44">
        <v>0</v>
      </c>
      <c r="AC265" s="44">
        <v>11.2</v>
      </c>
      <c r="AD265" s="45">
        <v>163240</v>
      </c>
      <c r="AE265" s="45"/>
      <c r="AF265" s="46">
        <v>163240</v>
      </c>
      <c r="AG265" s="55">
        <f t="shared" si="21"/>
        <v>163240</v>
      </c>
      <c r="AH265" s="55">
        <f t="shared" si="22"/>
        <v>0</v>
      </c>
      <c r="AI265" s="55">
        <f t="shared" si="23"/>
        <v>0</v>
      </c>
      <c r="AJ265" s="55">
        <f t="shared" si="19"/>
        <v>0</v>
      </c>
    </row>
    <row r="266" spans="1:36" ht="15" customHeight="1">
      <c r="A266" s="1">
        <v>66</v>
      </c>
      <c r="B266" s="1" t="s">
        <v>526</v>
      </c>
      <c r="C266" s="1" t="s">
        <v>527</v>
      </c>
      <c r="D266" s="1" t="s">
        <v>501</v>
      </c>
      <c r="E266" s="1" t="s">
        <v>527</v>
      </c>
      <c r="F266" s="50" t="s">
        <v>670</v>
      </c>
      <c r="G266" s="50" t="s">
        <v>664</v>
      </c>
      <c r="H266" s="50" t="s">
        <v>656</v>
      </c>
      <c r="I266" s="50" t="s">
        <v>657</v>
      </c>
      <c r="J266" s="1" t="s">
        <v>170</v>
      </c>
      <c r="K266" s="1" t="s">
        <v>141</v>
      </c>
      <c r="L266" s="1">
        <v>1005000923</v>
      </c>
      <c r="M266" s="1" t="s">
        <v>94</v>
      </c>
      <c r="N266" s="1">
        <v>254</v>
      </c>
      <c r="O266" s="47" t="str">
        <f t="shared" si="20"/>
        <v>&gt; 91 Days</v>
      </c>
      <c r="P266" s="1" t="s">
        <v>171</v>
      </c>
      <c r="Q266" s="1">
        <v>1001022755</v>
      </c>
      <c r="R266" s="1" t="s">
        <v>528</v>
      </c>
      <c r="S266" s="1" t="s">
        <v>178</v>
      </c>
      <c r="T266" s="1" t="s">
        <v>179</v>
      </c>
      <c r="U266" s="1" t="s">
        <v>146</v>
      </c>
      <c r="V266" s="1" t="s">
        <v>147</v>
      </c>
      <c r="W266" s="1" t="s">
        <v>148</v>
      </c>
      <c r="X266" s="44">
        <v>0</v>
      </c>
      <c r="Y266" s="44">
        <v>20.82</v>
      </c>
      <c r="Z266" s="44">
        <v>0.89</v>
      </c>
      <c r="AA266" s="44">
        <v>0</v>
      </c>
      <c r="AB266" s="44">
        <v>0</v>
      </c>
      <c r="AC266" s="44">
        <v>2885.6</v>
      </c>
      <c r="AD266" s="45">
        <v>2885600</v>
      </c>
      <c r="AE266" s="45"/>
      <c r="AF266" s="46">
        <v>2885600</v>
      </c>
      <c r="AG266" s="55">
        <f t="shared" ref="AG266:AG286" si="24">IF($O266="0-30",$AF266,0)</f>
        <v>0</v>
      </c>
      <c r="AH266" s="55">
        <f t="shared" ref="AH266:AH286" si="25">IF($O266="31-60",$AF266,0)</f>
        <v>0</v>
      </c>
      <c r="AI266" s="55">
        <f t="shared" ref="AI266:AI286" si="26">IF($O266="61-90",$AF266,0)</f>
        <v>0</v>
      </c>
      <c r="AJ266" s="55">
        <f t="shared" ref="AJ266:AJ291" si="27">IF($O266="&gt; 91 Days",$AF266,0)</f>
        <v>2885600</v>
      </c>
    </row>
    <row r="267" spans="1:36" ht="15" customHeight="1">
      <c r="A267" s="1">
        <v>66</v>
      </c>
      <c r="B267" s="1" t="s">
        <v>526</v>
      </c>
      <c r="C267" s="1" t="s">
        <v>527</v>
      </c>
      <c r="D267" s="1" t="s">
        <v>501</v>
      </c>
      <c r="E267" s="1" t="s">
        <v>527</v>
      </c>
      <c r="F267" s="50" t="s">
        <v>670</v>
      </c>
      <c r="G267" s="50" t="s">
        <v>664</v>
      </c>
      <c r="H267" s="50" t="s">
        <v>656</v>
      </c>
      <c r="I267" s="50" t="s">
        <v>657</v>
      </c>
      <c r="J267" s="1" t="s">
        <v>170</v>
      </c>
      <c r="K267" s="1" t="s">
        <v>141</v>
      </c>
      <c r="L267" s="1">
        <v>1005001373</v>
      </c>
      <c r="M267" s="1" t="s">
        <v>95</v>
      </c>
      <c r="N267" s="1">
        <v>175</v>
      </c>
      <c r="O267" s="47" t="str">
        <f t="shared" si="20"/>
        <v>&gt; 91 Days</v>
      </c>
      <c r="P267" s="1" t="s">
        <v>171</v>
      </c>
      <c r="Q267" s="1">
        <v>1001024214</v>
      </c>
      <c r="R267" s="1" t="s">
        <v>529</v>
      </c>
      <c r="S267" s="1" t="s">
        <v>178</v>
      </c>
      <c r="T267" s="1" t="s">
        <v>179</v>
      </c>
      <c r="U267" s="1" t="s">
        <v>146</v>
      </c>
      <c r="V267" s="1" t="s">
        <v>147</v>
      </c>
      <c r="W267" s="1" t="s">
        <v>148</v>
      </c>
      <c r="X267" s="44">
        <v>0</v>
      </c>
      <c r="Y267" s="44">
        <v>20.8</v>
      </c>
      <c r="Z267" s="44">
        <v>0.83</v>
      </c>
      <c r="AA267" s="44">
        <v>0</v>
      </c>
      <c r="AB267" s="44">
        <v>0</v>
      </c>
      <c r="AC267" s="44">
        <v>3236.65</v>
      </c>
      <c r="AD267" s="45">
        <v>3527949</v>
      </c>
      <c r="AE267" s="45"/>
      <c r="AF267" s="46">
        <v>3527949</v>
      </c>
      <c r="AG267" s="55">
        <f t="shared" si="24"/>
        <v>0</v>
      </c>
      <c r="AH267" s="55">
        <f t="shared" si="25"/>
        <v>0</v>
      </c>
      <c r="AI267" s="55">
        <f t="shared" si="26"/>
        <v>0</v>
      </c>
      <c r="AJ267" s="55">
        <f t="shared" si="27"/>
        <v>3527949</v>
      </c>
    </row>
    <row r="268" spans="1:36" ht="15" customHeight="1">
      <c r="A268" s="1">
        <v>66</v>
      </c>
      <c r="B268" s="1" t="s">
        <v>526</v>
      </c>
      <c r="C268" s="1" t="s">
        <v>527</v>
      </c>
      <c r="D268" s="1" t="s">
        <v>501</v>
      </c>
      <c r="E268" s="1" t="s">
        <v>527</v>
      </c>
      <c r="F268" s="50" t="s">
        <v>670</v>
      </c>
      <c r="G268" s="50" t="s">
        <v>664</v>
      </c>
      <c r="H268" s="50" t="s">
        <v>656</v>
      </c>
      <c r="I268" s="50" t="s">
        <v>657</v>
      </c>
      <c r="J268" s="1" t="s">
        <v>170</v>
      </c>
      <c r="K268" s="1" t="s">
        <v>141</v>
      </c>
      <c r="L268" s="1">
        <v>1005002284</v>
      </c>
      <c r="M268" s="1" t="s">
        <v>40</v>
      </c>
      <c r="N268" s="1">
        <v>37</v>
      </c>
      <c r="O268" s="47" t="str">
        <f t="shared" ref="O268:O287" si="28">VLOOKUP(N268,$M$1:$N$4,2,TRUE)</f>
        <v>31-60</v>
      </c>
      <c r="P268" s="1" t="s">
        <v>171</v>
      </c>
      <c r="Q268" s="1">
        <v>1001027243</v>
      </c>
      <c r="R268" s="1" t="s">
        <v>530</v>
      </c>
      <c r="S268" s="1" t="s">
        <v>178</v>
      </c>
      <c r="T268" s="1" t="s">
        <v>179</v>
      </c>
      <c r="U268" s="1" t="s">
        <v>146</v>
      </c>
      <c r="V268" s="1" t="s">
        <v>147</v>
      </c>
      <c r="W268" s="1" t="s">
        <v>148</v>
      </c>
      <c r="X268" s="44">
        <v>0</v>
      </c>
      <c r="Y268" s="44">
        <v>20.55</v>
      </c>
      <c r="Z268" s="44">
        <v>0.81</v>
      </c>
      <c r="AA268" s="44">
        <v>0</v>
      </c>
      <c r="AB268" s="44">
        <v>0</v>
      </c>
      <c r="AC268" s="44">
        <v>1453.66</v>
      </c>
      <c r="AD268" s="45">
        <v>1417320</v>
      </c>
      <c r="AE268" s="45"/>
      <c r="AF268" s="46">
        <v>1417320</v>
      </c>
      <c r="AG268" s="55">
        <f t="shared" si="24"/>
        <v>0</v>
      </c>
      <c r="AH268" s="55">
        <f t="shared" si="25"/>
        <v>1417320</v>
      </c>
      <c r="AI268" s="55">
        <f t="shared" si="26"/>
        <v>0</v>
      </c>
      <c r="AJ268" s="55">
        <f t="shared" si="27"/>
        <v>0</v>
      </c>
    </row>
    <row r="269" spans="1:36" ht="15" customHeight="1">
      <c r="A269" s="1">
        <v>68</v>
      </c>
      <c r="B269" s="1" t="s">
        <v>533</v>
      </c>
      <c r="C269" s="1" t="s">
        <v>534</v>
      </c>
      <c r="D269" s="1" t="s">
        <v>535</v>
      </c>
      <c r="E269" s="1" t="s">
        <v>534</v>
      </c>
      <c r="F269" s="51" t="s">
        <v>683</v>
      </c>
      <c r="G269" s="51" t="s">
        <v>659</v>
      </c>
      <c r="H269" s="50" t="s">
        <v>684</v>
      </c>
      <c r="I269" s="50" t="s">
        <v>685</v>
      </c>
      <c r="J269" s="1" t="s">
        <v>140</v>
      </c>
      <c r="K269" s="1" t="s">
        <v>141</v>
      </c>
      <c r="L269" s="1">
        <v>1005001937</v>
      </c>
      <c r="M269" s="1" t="s">
        <v>96</v>
      </c>
      <c r="N269" s="1">
        <v>87</v>
      </c>
      <c r="O269" s="47" t="str">
        <f t="shared" si="28"/>
        <v>61-90</v>
      </c>
      <c r="P269" s="1" t="s">
        <v>142</v>
      </c>
      <c r="Q269" s="1">
        <v>1001022187</v>
      </c>
      <c r="R269" s="1">
        <v>1242000000618</v>
      </c>
      <c r="S269" s="1" t="s">
        <v>334</v>
      </c>
      <c r="T269" s="1" t="s">
        <v>297</v>
      </c>
      <c r="U269" s="1" t="s">
        <v>146</v>
      </c>
      <c r="V269" s="1" t="s">
        <v>147</v>
      </c>
      <c r="W269" s="1" t="s">
        <v>148</v>
      </c>
      <c r="X269" s="44">
        <v>12.68</v>
      </c>
      <c r="Y269" s="44">
        <v>1.38</v>
      </c>
      <c r="Z269" s="44">
        <v>0</v>
      </c>
      <c r="AA269" s="44">
        <v>0</v>
      </c>
      <c r="AB269" s="44">
        <v>0</v>
      </c>
      <c r="AC269" s="44">
        <v>17758</v>
      </c>
      <c r="AD269" s="45">
        <v>913300</v>
      </c>
      <c r="AE269" s="45"/>
      <c r="AF269" s="46">
        <v>913300</v>
      </c>
      <c r="AG269" s="55">
        <f t="shared" si="24"/>
        <v>0</v>
      </c>
      <c r="AH269" s="55">
        <f t="shared" si="25"/>
        <v>0</v>
      </c>
      <c r="AI269" s="55">
        <f t="shared" si="26"/>
        <v>913300</v>
      </c>
      <c r="AJ269" s="55">
        <f t="shared" si="27"/>
        <v>0</v>
      </c>
    </row>
    <row r="270" spans="1:36" ht="15" customHeight="1">
      <c r="A270" s="1">
        <v>68</v>
      </c>
      <c r="B270" s="1" t="s">
        <v>533</v>
      </c>
      <c r="C270" s="1" t="s">
        <v>534</v>
      </c>
      <c r="D270" s="1" t="s">
        <v>535</v>
      </c>
      <c r="E270" s="1" t="s">
        <v>534</v>
      </c>
      <c r="F270" s="51" t="s">
        <v>683</v>
      </c>
      <c r="G270" s="51" t="s">
        <v>659</v>
      </c>
      <c r="H270" s="50" t="s">
        <v>684</v>
      </c>
      <c r="I270" s="50" t="s">
        <v>685</v>
      </c>
      <c r="J270" s="1" t="s">
        <v>140</v>
      </c>
      <c r="K270" s="1" t="s">
        <v>141</v>
      </c>
      <c r="L270" s="1">
        <v>1005001938</v>
      </c>
      <c r="M270" s="1" t="s">
        <v>96</v>
      </c>
      <c r="N270" s="1">
        <v>87</v>
      </c>
      <c r="O270" s="47" t="str">
        <f t="shared" si="28"/>
        <v>61-90</v>
      </c>
      <c r="P270" s="1" t="s">
        <v>142</v>
      </c>
      <c r="Q270" s="1">
        <v>1001022187</v>
      </c>
      <c r="R270" s="1">
        <v>1242000000618</v>
      </c>
      <c r="S270" s="1" t="s">
        <v>334</v>
      </c>
      <c r="T270" s="1" t="s">
        <v>297</v>
      </c>
      <c r="U270" s="1" t="s">
        <v>146</v>
      </c>
      <c r="V270" s="1" t="s">
        <v>147</v>
      </c>
      <c r="W270" s="1" t="s">
        <v>148</v>
      </c>
      <c r="X270" s="44">
        <v>12.8</v>
      </c>
      <c r="Y270" s="44">
        <v>1.92</v>
      </c>
      <c r="Z270" s="44">
        <v>0</v>
      </c>
      <c r="AA270" s="44">
        <v>0</v>
      </c>
      <c r="AB270" s="44">
        <v>0</v>
      </c>
      <c r="AC270" s="44">
        <v>79.209999999999994</v>
      </c>
      <c r="AD270" s="45">
        <v>1073296</v>
      </c>
      <c r="AE270" s="45"/>
      <c r="AF270" s="46">
        <v>1073296</v>
      </c>
      <c r="AG270" s="55">
        <f t="shared" si="24"/>
        <v>0</v>
      </c>
      <c r="AH270" s="55">
        <f t="shared" si="25"/>
        <v>0</v>
      </c>
      <c r="AI270" s="55">
        <f t="shared" si="26"/>
        <v>1073296</v>
      </c>
      <c r="AJ270" s="55">
        <f t="shared" si="27"/>
        <v>0</v>
      </c>
    </row>
    <row r="271" spans="1:36" ht="15" customHeight="1">
      <c r="A271" s="1">
        <v>68</v>
      </c>
      <c r="B271" s="1" t="s">
        <v>533</v>
      </c>
      <c r="C271" s="1" t="s">
        <v>534</v>
      </c>
      <c r="D271" s="1" t="s">
        <v>535</v>
      </c>
      <c r="E271" s="1" t="s">
        <v>534</v>
      </c>
      <c r="F271" s="51" t="s">
        <v>683</v>
      </c>
      <c r="G271" s="51" t="s">
        <v>659</v>
      </c>
      <c r="H271" s="50" t="s">
        <v>684</v>
      </c>
      <c r="I271" s="50" t="s">
        <v>685</v>
      </c>
      <c r="J271" s="1" t="s">
        <v>140</v>
      </c>
      <c r="K271" s="1" t="s">
        <v>141</v>
      </c>
      <c r="L271" s="1">
        <v>1005002376</v>
      </c>
      <c r="M271" s="1" t="s">
        <v>31</v>
      </c>
      <c r="N271" s="1">
        <v>18</v>
      </c>
      <c r="O271" s="47" t="str">
        <f t="shared" si="28"/>
        <v>0-30</v>
      </c>
      <c r="P271" s="1" t="s">
        <v>142</v>
      </c>
      <c r="Q271" s="1">
        <v>1001023659</v>
      </c>
      <c r="R271" s="1">
        <v>1242000000642</v>
      </c>
      <c r="S271" s="1" t="s">
        <v>144</v>
      </c>
      <c r="T271" s="1" t="s">
        <v>145</v>
      </c>
      <c r="U271" s="1" t="s">
        <v>146</v>
      </c>
      <c r="V271" s="1" t="s">
        <v>147</v>
      </c>
      <c r="W271" s="1" t="s">
        <v>148</v>
      </c>
      <c r="X271" s="44">
        <v>5.56</v>
      </c>
      <c r="Y271" s="44">
        <v>0.32</v>
      </c>
      <c r="Z271" s="44">
        <v>0</v>
      </c>
      <c r="AA271" s="44">
        <v>0</v>
      </c>
      <c r="AB271" s="44">
        <v>0</v>
      </c>
      <c r="AC271" s="44">
        <v>376590</v>
      </c>
      <c r="AD271" s="45">
        <v>64851000</v>
      </c>
      <c r="AE271" s="45"/>
      <c r="AF271" s="46">
        <v>64851000</v>
      </c>
      <c r="AG271" s="55">
        <f t="shared" si="24"/>
        <v>64851000</v>
      </c>
      <c r="AH271" s="55">
        <f t="shared" si="25"/>
        <v>0</v>
      </c>
      <c r="AI271" s="55">
        <f t="shared" si="26"/>
        <v>0</v>
      </c>
      <c r="AJ271" s="55">
        <f t="shared" si="27"/>
        <v>0</v>
      </c>
    </row>
    <row r="272" spans="1:36" ht="15" customHeight="1">
      <c r="A272" s="1">
        <v>68</v>
      </c>
      <c r="B272" s="1" t="s">
        <v>533</v>
      </c>
      <c r="C272" s="1" t="s">
        <v>534</v>
      </c>
      <c r="D272" s="1" t="s">
        <v>535</v>
      </c>
      <c r="E272" s="1" t="s">
        <v>534</v>
      </c>
      <c r="F272" s="51" t="s">
        <v>683</v>
      </c>
      <c r="G272" s="51" t="s">
        <v>659</v>
      </c>
      <c r="H272" s="50" t="s">
        <v>684</v>
      </c>
      <c r="I272" s="50" t="s">
        <v>685</v>
      </c>
      <c r="J272" s="1" t="s">
        <v>140</v>
      </c>
      <c r="K272" s="1" t="s">
        <v>141</v>
      </c>
      <c r="L272" s="1">
        <v>1005002377</v>
      </c>
      <c r="M272" s="1" t="s">
        <v>31</v>
      </c>
      <c r="N272" s="1">
        <v>18</v>
      </c>
      <c r="O272" s="47" t="str">
        <f t="shared" si="28"/>
        <v>0-30</v>
      </c>
      <c r="P272" s="1" t="s">
        <v>142</v>
      </c>
      <c r="Q272" s="1">
        <v>1001026498</v>
      </c>
      <c r="R272" s="1">
        <v>1242000000699</v>
      </c>
      <c r="S272" s="1" t="s">
        <v>144</v>
      </c>
      <c r="T272" s="1" t="s">
        <v>145</v>
      </c>
      <c r="U272" s="1" t="s">
        <v>146</v>
      </c>
      <c r="V272" s="1" t="s">
        <v>147</v>
      </c>
      <c r="W272" s="1" t="s">
        <v>148</v>
      </c>
      <c r="X272" s="44">
        <v>5.63</v>
      </c>
      <c r="Y272" s="44">
        <v>0.33</v>
      </c>
      <c r="Z272" s="44">
        <v>0</v>
      </c>
      <c r="AA272" s="44">
        <v>0</v>
      </c>
      <c r="AB272" s="44">
        <v>0</v>
      </c>
      <c r="AC272" s="44">
        <v>500000</v>
      </c>
      <c r="AD272" s="45">
        <v>86626000</v>
      </c>
      <c r="AE272" s="45"/>
      <c r="AF272" s="46">
        <v>86626000</v>
      </c>
      <c r="AG272" s="55">
        <f t="shared" si="24"/>
        <v>86626000</v>
      </c>
      <c r="AH272" s="55">
        <f t="shared" si="25"/>
        <v>0</v>
      </c>
      <c r="AI272" s="55">
        <f t="shared" si="26"/>
        <v>0</v>
      </c>
      <c r="AJ272" s="55">
        <f t="shared" si="27"/>
        <v>0</v>
      </c>
    </row>
    <row r="273" spans="1:36" ht="15" customHeight="1">
      <c r="A273" s="1">
        <v>68</v>
      </c>
      <c r="B273" s="1" t="s">
        <v>533</v>
      </c>
      <c r="C273" s="1" t="s">
        <v>534</v>
      </c>
      <c r="D273" s="1" t="s">
        <v>535</v>
      </c>
      <c r="E273" s="1" t="s">
        <v>534</v>
      </c>
      <c r="F273" s="51" t="s">
        <v>683</v>
      </c>
      <c r="G273" s="51" t="s">
        <v>659</v>
      </c>
      <c r="H273" s="50" t="s">
        <v>684</v>
      </c>
      <c r="I273" s="50" t="s">
        <v>685</v>
      </c>
      <c r="J273" s="1" t="s">
        <v>153</v>
      </c>
      <c r="K273" s="1" t="s">
        <v>141</v>
      </c>
      <c r="L273" s="1">
        <v>1005002364</v>
      </c>
      <c r="M273" s="1" t="s">
        <v>97</v>
      </c>
      <c r="N273" s="1">
        <v>24</v>
      </c>
      <c r="O273" s="47" t="str">
        <f t="shared" si="28"/>
        <v>0-30</v>
      </c>
      <c r="P273" s="1" t="s">
        <v>142</v>
      </c>
      <c r="Q273" s="1">
        <v>1001026592</v>
      </c>
      <c r="R273" s="1">
        <v>1242000000701</v>
      </c>
      <c r="S273" s="1" t="s">
        <v>351</v>
      </c>
      <c r="T273" s="1" t="s">
        <v>352</v>
      </c>
      <c r="U273" s="1" t="s">
        <v>146</v>
      </c>
      <c r="V273" s="1" t="s">
        <v>147</v>
      </c>
      <c r="W273" s="1" t="s">
        <v>148</v>
      </c>
      <c r="X273" s="44">
        <v>3.48</v>
      </c>
      <c r="Y273" s="44">
        <v>7.55</v>
      </c>
      <c r="Z273" s="44">
        <v>9.18</v>
      </c>
      <c r="AA273" s="44">
        <v>0</v>
      </c>
      <c r="AB273" s="44">
        <v>0</v>
      </c>
      <c r="AC273" s="44">
        <v>679.07</v>
      </c>
      <c r="AD273" s="45">
        <v>7289819</v>
      </c>
      <c r="AE273" s="45"/>
      <c r="AF273" s="46">
        <v>7289819</v>
      </c>
      <c r="AG273" s="55">
        <f t="shared" si="24"/>
        <v>7289819</v>
      </c>
      <c r="AH273" s="55">
        <f t="shared" si="25"/>
        <v>0</v>
      </c>
      <c r="AI273" s="55">
        <f t="shared" si="26"/>
        <v>0</v>
      </c>
      <c r="AJ273" s="55">
        <f t="shared" si="27"/>
        <v>0</v>
      </c>
    </row>
    <row r="274" spans="1:36" ht="15" customHeight="1">
      <c r="A274" s="1">
        <v>68</v>
      </c>
      <c r="B274" s="1" t="s">
        <v>533</v>
      </c>
      <c r="C274" s="1" t="s">
        <v>534</v>
      </c>
      <c r="D274" s="1" t="s">
        <v>535</v>
      </c>
      <c r="E274" s="1" t="s">
        <v>534</v>
      </c>
      <c r="F274" s="51" t="s">
        <v>683</v>
      </c>
      <c r="G274" s="51" t="s">
        <v>659</v>
      </c>
      <c r="H274" s="50" t="s">
        <v>684</v>
      </c>
      <c r="I274" s="50" t="s">
        <v>685</v>
      </c>
      <c r="J274" s="1" t="s">
        <v>153</v>
      </c>
      <c r="K274" s="1" t="s">
        <v>141</v>
      </c>
      <c r="L274" s="1">
        <v>1005002365</v>
      </c>
      <c r="M274" s="1" t="s">
        <v>97</v>
      </c>
      <c r="N274" s="1">
        <v>24</v>
      </c>
      <c r="O274" s="47" t="str">
        <f t="shared" si="28"/>
        <v>0-30</v>
      </c>
      <c r="P274" s="1" t="s">
        <v>142</v>
      </c>
      <c r="Q274" s="1">
        <v>1001026787</v>
      </c>
      <c r="R274" s="1">
        <v>1242000000704</v>
      </c>
      <c r="S274" s="1" t="s">
        <v>351</v>
      </c>
      <c r="T274" s="1" t="s">
        <v>352</v>
      </c>
      <c r="U274" s="1" t="s">
        <v>146</v>
      </c>
      <c r="V274" s="1" t="s">
        <v>147</v>
      </c>
      <c r="W274" s="1" t="s">
        <v>148</v>
      </c>
      <c r="X274" s="44">
        <v>3.12</v>
      </c>
      <c r="Y274" s="44">
        <v>7.69</v>
      </c>
      <c r="Z274" s="44">
        <v>8.74</v>
      </c>
      <c r="AA274" s="44">
        <v>0</v>
      </c>
      <c r="AB274" s="44">
        <v>0</v>
      </c>
      <c r="AC274" s="44">
        <v>241.75</v>
      </c>
      <c r="AD274" s="45">
        <v>2630240</v>
      </c>
      <c r="AE274" s="45"/>
      <c r="AF274" s="46">
        <v>2630240</v>
      </c>
      <c r="AG274" s="55">
        <f t="shared" si="24"/>
        <v>2630240</v>
      </c>
      <c r="AH274" s="55">
        <f t="shared" si="25"/>
        <v>0</v>
      </c>
      <c r="AI274" s="55">
        <f t="shared" si="26"/>
        <v>0</v>
      </c>
      <c r="AJ274" s="55">
        <f t="shared" si="27"/>
        <v>0</v>
      </c>
    </row>
    <row r="275" spans="1:36" ht="15" customHeight="1">
      <c r="A275" s="1">
        <v>69</v>
      </c>
      <c r="B275" s="1" t="s">
        <v>536</v>
      </c>
      <c r="C275" s="1" t="s">
        <v>537</v>
      </c>
      <c r="D275" s="1" t="s">
        <v>535</v>
      </c>
      <c r="E275" s="1" t="s">
        <v>539</v>
      </c>
      <c r="F275" s="51" t="s">
        <v>683</v>
      </c>
      <c r="G275" s="51" t="s">
        <v>659</v>
      </c>
      <c r="H275" s="50" t="s">
        <v>684</v>
      </c>
      <c r="I275" s="50" t="s">
        <v>685</v>
      </c>
      <c r="J275" s="1" t="s">
        <v>140</v>
      </c>
      <c r="K275" s="1" t="s">
        <v>141</v>
      </c>
      <c r="L275" s="1">
        <v>1005001939</v>
      </c>
      <c r="M275" s="1" t="s">
        <v>96</v>
      </c>
      <c r="N275" s="1">
        <v>87</v>
      </c>
      <c r="O275" s="47" t="str">
        <f t="shared" si="28"/>
        <v>61-90</v>
      </c>
      <c r="P275" s="1" t="s">
        <v>142</v>
      </c>
      <c r="Q275" s="1">
        <v>1001025419</v>
      </c>
      <c r="R275" s="1">
        <v>1232000000689</v>
      </c>
      <c r="S275" s="1" t="s">
        <v>334</v>
      </c>
      <c r="T275" s="1" t="s">
        <v>297</v>
      </c>
      <c r="U275" s="1" t="s">
        <v>146</v>
      </c>
      <c r="V275" s="1" t="s">
        <v>147</v>
      </c>
      <c r="W275" s="1" t="s">
        <v>148</v>
      </c>
      <c r="X275" s="44">
        <v>12.45</v>
      </c>
      <c r="Y275" s="44">
        <v>0.65</v>
      </c>
      <c r="Z275" s="44">
        <v>0</v>
      </c>
      <c r="AA275" s="44">
        <v>0</v>
      </c>
      <c r="AB275" s="44">
        <v>0</v>
      </c>
      <c r="AC275" s="44">
        <v>48000</v>
      </c>
      <c r="AD275" s="45">
        <v>2400000</v>
      </c>
      <c r="AE275" s="45"/>
      <c r="AF275" s="46">
        <v>2400000</v>
      </c>
      <c r="AG275" s="55">
        <f t="shared" si="24"/>
        <v>0</v>
      </c>
      <c r="AH275" s="55">
        <f t="shared" si="25"/>
        <v>0</v>
      </c>
      <c r="AI275" s="55">
        <f t="shared" si="26"/>
        <v>2400000</v>
      </c>
      <c r="AJ275" s="55">
        <f t="shared" si="27"/>
        <v>0</v>
      </c>
    </row>
    <row r="276" spans="1:36" ht="15" customHeight="1">
      <c r="A276" s="1">
        <v>69</v>
      </c>
      <c r="B276" s="1" t="s">
        <v>536</v>
      </c>
      <c r="C276" s="1" t="s">
        <v>537</v>
      </c>
      <c r="D276" s="1" t="s">
        <v>535</v>
      </c>
      <c r="E276" s="1" t="s">
        <v>539</v>
      </c>
      <c r="F276" s="51" t="s">
        <v>683</v>
      </c>
      <c r="G276" s="51" t="s">
        <v>659</v>
      </c>
      <c r="H276" s="50" t="s">
        <v>684</v>
      </c>
      <c r="I276" s="50" t="s">
        <v>685</v>
      </c>
      <c r="J276" s="1" t="s">
        <v>140</v>
      </c>
      <c r="K276" s="1" t="s">
        <v>141</v>
      </c>
      <c r="L276" s="1">
        <v>1005001941</v>
      </c>
      <c r="M276" s="1" t="s">
        <v>100</v>
      </c>
      <c r="N276" s="1">
        <v>86</v>
      </c>
      <c r="O276" s="47" t="str">
        <f t="shared" si="28"/>
        <v>61-90</v>
      </c>
      <c r="P276" s="1" t="s">
        <v>142</v>
      </c>
      <c r="Q276" s="1">
        <v>1001025479</v>
      </c>
      <c r="R276" s="1">
        <v>1232000000692</v>
      </c>
      <c r="S276" s="1" t="s">
        <v>334</v>
      </c>
      <c r="T276" s="1" t="s">
        <v>297</v>
      </c>
      <c r="U276" s="1" t="s">
        <v>146</v>
      </c>
      <c r="V276" s="1" t="s">
        <v>147</v>
      </c>
      <c r="W276" s="1" t="s">
        <v>148</v>
      </c>
      <c r="X276" s="44">
        <v>12.12</v>
      </c>
      <c r="Y276" s="44">
        <v>0.47</v>
      </c>
      <c r="Z276" s="44">
        <v>0</v>
      </c>
      <c r="AA276" s="44">
        <v>0</v>
      </c>
      <c r="AB276" s="44">
        <v>0</v>
      </c>
      <c r="AC276" s="44">
        <v>5020</v>
      </c>
      <c r="AD276" s="45">
        <v>251000</v>
      </c>
      <c r="AE276" s="45"/>
      <c r="AF276" s="46">
        <v>251000</v>
      </c>
      <c r="AG276" s="55">
        <f t="shared" si="24"/>
        <v>0</v>
      </c>
      <c r="AH276" s="55">
        <f t="shared" si="25"/>
        <v>0</v>
      </c>
      <c r="AI276" s="55">
        <f t="shared" si="26"/>
        <v>251000</v>
      </c>
      <c r="AJ276" s="55">
        <f t="shared" si="27"/>
        <v>0</v>
      </c>
    </row>
    <row r="277" spans="1:36" ht="15" customHeight="1">
      <c r="A277" s="1">
        <v>69</v>
      </c>
      <c r="B277" s="1" t="s">
        <v>536</v>
      </c>
      <c r="C277" s="1" t="s">
        <v>537</v>
      </c>
      <c r="D277" s="1" t="s">
        <v>535</v>
      </c>
      <c r="E277" s="1" t="s">
        <v>537</v>
      </c>
      <c r="F277" s="51" t="s">
        <v>683</v>
      </c>
      <c r="G277" s="51" t="s">
        <v>659</v>
      </c>
      <c r="H277" s="50" t="s">
        <v>684</v>
      </c>
      <c r="I277" s="50" t="s">
        <v>685</v>
      </c>
      <c r="J277" s="1" t="s">
        <v>153</v>
      </c>
      <c r="K277" s="1" t="s">
        <v>141</v>
      </c>
      <c r="L277" s="1">
        <v>1005002362</v>
      </c>
      <c r="M277" s="1" t="s">
        <v>97</v>
      </c>
      <c r="N277" s="1">
        <v>24</v>
      </c>
      <c r="O277" s="47" t="str">
        <f t="shared" si="28"/>
        <v>0-30</v>
      </c>
      <c r="P277" s="1" t="s">
        <v>142</v>
      </c>
      <c r="Q277" s="1">
        <v>1001027221</v>
      </c>
      <c r="R277" s="1">
        <v>1232000000731</v>
      </c>
      <c r="S277" s="1" t="s">
        <v>351</v>
      </c>
      <c r="T277" s="1" t="s">
        <v>352</v>
      </c>
      <c r="U277" s="1" t="s">
        <v>146</v>
      </c>
      <c r="V277" s="1" t="s">
        <v>147</v>
      </c>
      <c r="W277" s="1" t="s">
        <v>148</v>
      </c>
      <c r="X277" s="44">
        <v>3.32</v>
      </c>
      <c r="Y277" s="44">
        <v>9.24</v>
      </c>
      <c r="Z277" s="44">
        <v>7.81</v>
      </c>
      <c r="AA277" s="44">
        <v>0</v>
      </c>
      <c r="AB277" s="44">
        <v>0</v>
      </c>
      <c r="AC277" s="44">
        <v>1540.27</v>
      </c>
      <c r="AD277" s="45">
        <v>17763933</v>
      </c>
      <c r="AE277" s="45"/>
      <c r="AF277" s="46">
        <v>17763933</v>
      </c>
      <c r="AG277" s="55">
        <f t="shared" si="24"/>
        <v>17763933</v>
      </c>
      <c r="AH277" s="55">
        <f t="shared" si="25"/>
        <v>0</v>
      </c>
      <c r="AI277" s="55">
        <f t="shared" si="26"/>
        <v>0</v>
      </c>
      <c r="AJ277" s="55">
        <f t="shared" si="27"/>
        <v>0</v>
      </c>
    </row>
    <row r="278" spans="1:36" ht="15" customHeight="1">
      <c r="A278" s="1">
        <v>69</v>
      </c>
      <c r="B278" s="1" t="s">
        <v>536</v>
      </c>
      <c r="C278" s="1" t="s">
        <v>537</v>
      </c>
      <c r="D278" s="1" t="s">
        <v>535</v>
      </c>
      <c r="E278" s="1" t="s">
        <v>537</v>
      </c>
      <c r="F278" s="51" t="s">
        <v>683</v>
      </c>
      <c r="G278" s="51" t="s">
        <v>659</v>
      </c>
      <c r="H278" s="50" t="s">
        <v>684</v>
      </c>
      <c r="I278" s="50" t="s">
        <v>685</v>
      </c>
      <c r="J278" s="1" t="s">
        <v>153</v>
      </c>
      <c r="K278" s="1" t="s">
        <v>141</v>
      </c>
      <c r="L278" s="1">
        <v>1005002363</v>
      </c>
      <c r="M278" s="1" t="s">
        <v>97</v>
      </c>
      <c r="N278" s="1">
        <v>24</v>
      </c>
      <c r="O278" s="47" t="str">
        <f t="shared" si="28"/>
        <v>0-30</v>
      </c>
      <c r="P278" s="1" t="s">
        <v>142</v>
      </c>
      <c r="Q278" s="1">
        <v>1001027372</v>
      </c>
      <c r="R278" s="1">
        <v>1232000000733</v>
      </c>
      <c r="S278" s="1" t="s">
        <v>351</v>
      </c>
      <c r="T278" s="1" t="s">
        <v>352</v>
      </c>
      <c r="U278" s="1" t="s">
        <v>146</v>
      </c>
      <c r="V278" s="1" t="s">
        <v>147</v>
      </c>
      <c r="W278" s="1" t="s">
        <v>148</v>
      </c>
      <c r="X278" s="44">
        <v>2.83</v>
      </c>
      <c r="Y278" s="44">
        <v>9.2100000000000009</v>
      </c>
      <c r="Z278" s="44">
        <v>7.88</v>
      </c>
      <c r="AA278" s="44">
        <v>0</v>
      </c>
      <c r="AB278" s="44">
        <v>0</v>
      </c>
      <c r="AC278" s="44">
        <v>1426.26</v>
      </c>
      <c r="AD278" s="45">
        <v>16808473</v>
      </c>
      <c r="AE278" s="45"/>
      <c r="AF278" s="46">
        <v>16808473</v>
      </c>
      <c r="AG278" s="55">
        <f t="shared" si="24"/>
        <v>16808473</v>
      </c>
      <c r="AH278" s="55">
        <f t="shared" si="25"/>
        <v>0</v>
      </c>
      <c r="AI278" s="55">
        <f t="shared" si="26"/>
        <v>0</v>
      </c>
      <c r="AJ278" s="55">
        <f t="shared" si="27"/>
        <v>0</v>
      </c>
    </row>
    <row r="279" spans="1:36" ht="15" customHeight="1">
      <c r="A279" s="1">
        <v>70</v>
      </c>
      <c r="B279" s="1" t="s">
        <v>540</v>
      </c>
      <c r="C279" s="1" t="s">
        <v>541</v>
      </c>
      <c r="D279" s="1" t="s">
        <v>535</v>
      </c>
      <c r="E279" s="1" t="s">
        <v>541</v>
      </c>
      <c r="F279" s="51" t="s">
        <v>683</v>
      </c>
      <c r="G279" s="51" t="s">
        <v>659</v>
      </c>
      <c r="H279" s="50" t="s">
        <v>684</v>
      </c>
      <c r="I279" s="50" t="s">
        <v>685</v>
      </c>
      <c r="J279" s="1" t="s">
        <v>140</v>
      </c>
      <c r="K279" s="1" t="s">
        <v>141</v>
      </c>
      <c r="L279" s="1">
        <v>1365000216</v>
      </c>
      <c r="M279" s="1" t="s">
        <v>41</v>
      </c>
      <c r="N279" s="1">
        <v>36</v>
      </c>
      <c r="O279" s="47" t="str">
        <f t="shared" si="28"/>
        <v>31-60</v>
      </c>
      <c r="P279" s="1" t="s">
        <v>542</v>
      </c>
      <c r="Q279" s="1">
        <v>1361001964</v>
      </c>
      <c r="R279" s="1">
        <v>1092000002275</v>
      </c>
      <c r="S279" s="1" t="s">
        <v>178</v>
      </c>
      <c r="T279" s="1" t="s">
        <v>179</v>
      </c>
      <c r="U279" s="1" t="s">
        <v>146</v>
      </c>
      <c r="V279" s="1" t="s">
        <v>147</v>
      </c>
      <c r="W279" s="1" t="s">
        <v>228</v>
      </c>
      <c r="X279" s="44">
        <v>0</v>
      </c>
      <c r="Y279" s="44">
        <v>20.53</v>
      </c>
      <c r="Z279" s="44">
        <v>0.53</v>
      </c>
      <c r="AA279" s="44">
        <v>0</v>
      </c>
      <c r="AB279" s="44">
        <v>0</v>
      </c>
      <c r="AC279" s="44">
        <v>213.62</v>
      </c>
      <c r="AD279" s="45">
        <v>217679</v>
      </c>
      <c r="AE279" s="45"/>
      <c r="AF279" s="46">
        <v>217679</v>
      </c>
      <c r="AG279" s="55">
        <f t="shared" si="24"/>
        <v>0</v>
      </c>
      <c r="AH279" s="55">
        <f t="shared" si="25"/>
        <v>217679</v>
      </c>
      <c r="AI279" s="55">
        <f t="shared" si="26"/>
        <v>0</v>
      </c>
      <c r="AJ279" s="55">
        <f t="shared" si="27"/>
        <v>0</v>
      </c>
    </row>
    <row r="280" spans="1:36" ht="15" customHeight="1">
      <c r="A280" s="1">
        <v>70</v>
      </c>
      <c r="B280" s="1" t="s">
        <v>540</v>
      </c>
      <c r="C280" s="1" t="s">
        <v>541</v>
      </c>
      <c r="D280" s="1" t="s">
        <v>535</v>
      </c>
      <c r="E280" s="1" t="s">
        <v>541</v>
      </c>
      <c r="F280" s="51" t="s">
        <v>683</v>
      </c>
      <c r="G280" s="51" t="s">
        <v>659</v>
      </c>
      <c r="H280" s="50" t="s">
        <v>684</v>
      </c>
      <c r="I280" s="50" t="s">
        <v>685</v>
      </c>
      <c r="J280" s="1" t="s">
        <v>140</v>
      </c>
      <c r="K280" s="1" t="s">
        <v>141</v>
      </c>
      <c r="L280" s="1">
        <v>1365000217</v>
      </c>
      <c r="M280" s="1" t="s">
        <v>41</v>
      </c>
      <c r="N280" s="1">
        <v>36</v>
      </c>
      <c r="O280" s="47" t="str">
        <f t="shared" si="28"/>
        <v>31-60</v>
      </c>
      <c r="P280" s="1" t="s">
        <v>542</v>
      </c>
      <c r="Q280" s="1">
        <v>1361001965</v>
      </c>
      <c r="R280" s="1">
        <v>1092000002276</v>
      </c>
      <c r="S280" s="1" t="s">
        <v>178</v>
      </c>
      <c r="T280" s="1" t="s">
        <v>179</v>
      </c>
      <c r="U280" s="1" t="s">
        <v>146</v>
      </c>
      <c r="V280" s="1" t="s">
        <v>147</v>
      </c>
      <c r="W280" s="1" t="s">
        <v>228</v>
      </c>
      <c r="X280" s="44">
        <v>0</v>
      </c>
      <c r="Y280" s="44">
        <v>20.51</v>
      </c>
      <c r="Z280" s="44">
        <v>0.54</v>
      </c>
      <c r="AA280" s="44">
        <v>0</v>
      </c>
      <c r="AB280" s="44">
        <v>0</v>
      </c>
      <c r="AC280" s="44">
        <v>170.39</v>
      </c>
      <c r="AD280" s="45">
        <v>173627</v>
      </c>
      <c r="AE280" s="45"/>
      <c r="AF280" s="46">
        <v>173627</v>
      </c>
      <c r="AG280" s="55">
        <f t="shared" si="24"/>
        <v>0</v>
      </c>
      <c r="AH280" s="55">
        <f t="shared" si="25"/>
        <v>173627</v>
      </c>
      <c r="AI280" s="55">
        <f t="shared" si="26"/>
        <v>0</v>
      </c>
      <c r="AJ280" s="55">
        <f t="shared" si="27"/>
        <v>0</v>
      </c>
    </row>
    <row r="281" spans="1:36" ht="15" customHeight="1">
      <c r="A281" s="1">
        <v>70</v>
      </c>
      <c r="B281" s="1" t="s">
        <v>540</v>
      </c>
      <c r="C281" s="1" t="s">
        <v>541</v>
      </c>
      <c r="D281" s="1" t="s">
        <v>535</v>
      </c>
      <c r="E281" s="1" t="s">
        <v>541</v>
      </c>
      <c r="F281" s="51" t="s">
        <v>683</v>
      </c>
      <c r="G281" s="51" t="s">
        <v>659</v>
      </c>
      <c r="H281" s="50" t="s">
        <v>684</v>
      </c>
      <c r="I281" s="50" t="s">
        <v>685</v>
      </c>
      <c r="J281" s="1" t="s">
        <v>140</v>
      </c>
      <c r="K281" s="1" t="s">
        <v>141</v>
      </c>
      <c r="L281" s="1">
        <v>1365000215</v>
      </c>
      <c r="M281" s="1" t="s">
        <v>40</v>
      </c>
      <c r="N281" s="1">
        <v>37</v>
      </c>
      <c r="O281" s="47" t="str">
        <f t="shared" si="28"/>
        <v>31-60</v>
      </c>
      <c r="P281" s="1" t="s">
        <v>542</v>
      </c>
      <c r="Q281" s="1">
        <v>1361001977</v>
      </c>
      <c r="R281" s="1">
        <v>1092000002284</v>
      </c>
      <c r="S281" s="1" t="s">
        <v>178</v>
      </c>
      <c r="T281" s="1" t="s">
        <v>179</v>
      </c>
      <c r="U281" s="1" t="s">
        <v>146</v>
      </c>
      <c r="V281" s="1" t="s">
        <v>147</v>
      </c>
      <c r="W281" s="1" t="s">
        <v>228</v>
      </c>
      <c r="X281" s="44">
        <v>0</v>
      </c>
      <c r="Y281" s="44">
        <v>20.69</v>
      </c>
      <c r="Z281" s="44">
        <v>0.52</v>
      </c>
      <c r="AA281" s="44">
        <v>0</v>
      </c>
      <c r="AB281" s="44">
        <v>0</v>
      </c>
      <c r="AC281" s="44">
        <v>1512.92</v>
      </c>
      <c r="AD281" s="45">
        <v>1428197</v>
      </c>
      <c r="AE281" s="45"/>
      <c r="AF281" s="46">
        <v>1428197</v>
      </c>
      <c r="AG281" s="55">
        <f t="shared" si="24"/>
        <v>0</v>
      </c>
      <c r="AH281" s="55">
        <f t="shared" si="25"/>
        <v>1428197</v>
      </c>
      <c r="AI281" s="55">
        <f t="shared" si="26"/>
        <v>0</v>
      </c>
      <c r="AJ281" s="55">
        <f t="shared" si="27"/>
        <v>0</v>
      </c>
    </row>
    <row r="282" spans="1:36" ht="15" customHeight="1">
      <c r="A282" s="1">
        <v>70</v>
      </c>
      <c r="B282" s="1" t="s">
        <v>540</v>
      </c>
      <c r="C282" s="1" t="s">
        <v>541</v>
      </c>
      <c r="D282" s="1" t="s">
        <v>535</v>
      </c>
      <c r="E282" s="1" t="s">
        <v>541</v>
      </c>
      <c r="F282" s="51" t="s">
        <v>683</v>
      </c>
      <c r="G282" s="51" t="s">
        <v>659</v>
      </c>
      <c r="H282" s="50" t="s">
        <v>684</v>
      </c>
      <c r="I282" s="50" t="s">
        <v>685</v>
      </c>
      <c r="J282" s="1" t="s">
        <v>140</v>
      </c>
      <c r="K282" s="1" t="s">
        <v>141</v>
      </c>
      <c r="L282" s="1">
        <v>1365000218</v>
      </c>
      <c r="M282" s="1" t="s">
        <v>41</v>
      </c>
      <c r="N282" s="1">
        <v>36</v>
      </c>
      <c r="O282" s="47" t="str">
        <f t="shared" si="28"/>
        <v>31-60</v>
      </c>
      <c r="P282" s="1" t="s">
        <v>542</v>
      </c>
      <c r="Q282" s="1">
        <v>1361001978</v>
      </c>
      <c r="R282" s="1">
        <v>1092000002285</v>
      </c>
      <c r="S282" s="1" t="s">
        <v>178</v>
      </c>
      <c r="T282" s="1" t="s">
        <v>179</v>
      </c>
      <c r="U282" s="1" t="s">
        <v>146</v>
      </c>
      <c r="V282" s="1" t="s">
        <v>147</v>
      </c>
      <c r="W282" s="1" t="s">
        <v>228</v>
      </c>
      <c r="X282" s="44">
        <v>0</v>
      </c>
      <c r="Y282" s="44">
        <v>20.65</v>
      </c>
      <c r="Z282" s="44">
        <v>0.51</v>
      </c>
      <c r="AA282" s="44">
        <v>0</v>
      </c>
      <c r="AB282" s="44">
        <v>0</v>
      </c>
      <c r="AC282" s="44">
        <v>329.67</v>
      </c>
      <c r="AD282" s="45">
        <v>311208</v>
      </c>
      <c r="AE282" s="45"/>
      <c r="AF282" s="46">
        <v>311208</v>
      </c>
      <c r="AG282" s="55">
        <f t="shared" si="24"/>
        <v>0</v>
      </c>
      <c r="AH282" s="55">
        <f t="shared" si="25"/>
        <v>311208</v>
      </c>
      <c r="AI282" s="55">
        <f t="shared" si="26"/>
        <v>0</v>
      </c>
      <c r="AJ282" s="55">
        <f t="shared" si="27"/>
        <v>0</v>
      </c>
    </row>
    <row r="283" spans="1:36" ht="15" customHeight="1">
      <c r="A283" s="1">
        <v>71</v>
      </c>
      <c r="B283" s="1" t="s">
        <v>543</v>
      </c>
      <c r="C283" s="1" t="s">
        <v>544</v>
      </c>
      <c r="D283" s="1" t="s">
        <v>535</v>
      </c>
      <c r="E283" s="1" t="s">
        <v>544</v>
      </c>
      <c r="F283" s="51" t="s">
        <v>683</v>
      </c>
      <c r="G283" s="51" t="s">
        <v>659</v>
      </c>
      <c r="H283" s="50" t="s">
        <v>684</v>
      </c>
      <c r="I283" s="50" t="s">
        <v>685</v>
      </c>
      <c r="J283" s="1" t="s">
        <v>140</v>
      </c>
      <c r="K283" s="1" t="s">
        <v>141</v>
      </c>
      <c r="L283" s="1">
        <v>1005001731</v>
      </c>
      <c r="M283" s="1" t="s">
        <v>101</v>
      </c>
      <c r="N283" s="1">
        <v>116</v>
      </c>
      <c r="O283" s="47" t="str">
        <f t="shared" si="28"/>
        <v>&gt; 91 Days</v>
      </c>
      <c r="P283" s="1" t="s">
        <v>142</v>
      </c>
      <c r="Q283" s="1">
        <v>1001025420</v>
      </c>
      <c r="R283" s="1">
        <v>1332000000430</v>
      </c>
      <c r="S283" s="1" t="s">
        <v>334</v>
      </c>
      <c r="T283" s="1" t="s">
        <v>297</v>
      </c>
      <c r="U283" s="1" t="s">
        <v>146</v>
      </c>
      <c r="V283" s="1" t="s">
        <v>147</v>
      </c>
      <c r="W283" s="1" t="s">
        <v>148</v>
      </c>
      <c r="X283" s="44">
        <v>11.51</v>
      </c>
      <c r="Y283" s="44">
        <v>1.74</v>
      </c>
      <c r="Z283" s="44">
        <v>0</v>
      </c>
      <c r="AA283" s="44">
        <v>0</v>
      </c>
      <c r="AB283" s="44">
        <v>0</v>
      </c>
      <c r="AC283" s="44">
        <v>115.91</v>
      </c>
      <c r="AD283" s="45">
        <v>1692634</v>
      </c>
      <c r="AE283" s="45"/>
      <c r="AF283" s="46">
        <v>1692634</v>
      </c>
      <c r="AG283" s="55">
        <f t="shared" si="24"/>
        <v>0</v>
      </c>
      <c r="AH283" s="55">
        <f t="shared" si="25"/>
        <v>0</v>
      </c>
      <c r="AI283" s="55">
        <f t="shared" si="26"/>
        <v>0</v>
      </c>
      <c r="AJ283" s="55">
        <f t="shared" si="27"/>
        <v>1692634</v>
      </c>
    </row>
    <row r="284" spans="1:36" ht="15" customHeight="1">
      <c r="A284" s="1">
        <v>71</v>
      </c>
      <c r="B284" s="1" t="s">
        <v>543</v>
      </c>
      <c r="C284" s="1" t="s">
        <v>544</v>
      </c>
      <c r="D284" s="1" t="s">
        <v>535</v>
      </c>
      <c r="E284" s="1" t="s">
        <v>544</v>
      </c>
      <c r="F284" s="51" t="s">
        <v>683</v>
      </c>
      <c r="G284" s="51" t="s">
        <v>659</v>
      </c>
      <c r="H284" s="50" t="s">
        <v>684</v>
      </c>
      <c r="I284" s="50" t="s">
        <v>685</v>
      </c>
      <c r="J284" s="1" t="s">
        <v>153</v>
      </c>
      <c r="K284" s="1" t="s">
        <v>141</v>
      </c>
      <c r="L284" s="1">
        <v>1005002424</v>
      </c>
      <c r="M284" s="1" t="s">
        <v>11</v>
      </c>
      <c r="N284" s="1">
        <v>14</v>
      </c>
      <c r="O284" s="47" t="str">
        <f t="shared" si="28"/>
        <v>0-30</v>
      </c>
      <c r="P284" s="1" t="s">
        <v>142</v>
      </c>
      <c r="Q284" s="1">
        <v>1001026788</v>
      </c>
      <c r="R284" s="1">
        <v>1332000000446</v>
      </c>
      <c r="S284" s="1" t="s">
        <v>351</v>
      </c>
      <c r="T284" s="1" t="s">
        <v>352</v>
      </c>
      <c r="U284" s="1" t="s">
        <v>146</v>
      </c>
      <c r="V284" s="1" t="s">
        <v>147</v>
      </c>
      <c r="W284" s="1" t="s">
        <v>148</v>
      </c>
      <c r="X284" s="44">
        <v>5.61</v>
      </c>
      <c r="Y284" s="44">
        <v>6.92</v>
      </c>
      <c r="Z284" s="44">
        <v>7.79</v>
      </c>
      <c r="AA284" s="44">
        <v>0</v>
      </c>
      <c r="AB284" s="44">
        <v>0</v>
      </c>
      <c r="AC284" s="44">
        <v>305.39</v>
      </c>
      <c r="AD284" s="45">
        <v>3203889</v>
      </c>
      <c r="AE284" s="45"/>
      <c r="AF284" s="46">
        <v>3203889</v>
      </c>
      <c r="AG284" s="55">
        <f t="shared" si="24"/>
        <v>3203889</v>
      </c>
      <c r="AH284" s="55">
        <f t="shared" si="25"/>
        <v>0</v>
      </c>
      <c r="AI284" s="55">
        <f t="shared" si="26"/>
        <v>0</v>
      </c>
      <c r="AJ284" s="55">
        <f t="shared" si="27"/>
        <v>0</v>
      </c>
    </row>
    <row r="285" spans="1:36" ht="15" customHeight="1">
      <c r="A285" s="1">
        <v>71</v>
      </c>
      <c r="B285" s="1" t="s">
        <v>543</v>
      </c>
      <c r="C285" s="1" t="s">
        <v>544</v>
      </c>
      <c r="D285" s="1" t="s">
        <v>535</v>
      </c>
      <c r="E285" s="1" t="s">
        <v>544</v>
      </c>
      <c r="F285" s="51" t="s">
        <v>683</v>
      </c>
      <c r="G285" s="51" t="s">
        <v>659</v>
      </c>
      <c r="H285" s="50" t="s">
        <v>684</v>
      </c>
      <c r="I285" s="50" t="s">
        <v>685</v>
      </c>
      <c r="J285" s="1" t="s">
        <v>153</v>
      </c>
      <c r="K285" s="1" t="s">
        <v>141</v>
      </c>
      <c r="L285" s="1">
        <v>1005002420</v>
      </c>
      <c r="M285" s="1" t="s">
        <v>11</v>
      </c>
      <c r="N285" s="1">
        <v>14</v>
      </c>
      <c r="O285" s="47" t="str">
        <f t="shared" si="28"/>
        <v>0-30</v>
      </c>
      <c r="P285" s="1" t="s">
        <v>142</v>
      </c>
      <c r="Q285" s="1">
        <v>1001026897</v>
      </c>
      <c r="R285" s="1">
        <v>1332000000448</v>
      </c>
      <c r="S285" s="1" t="s">
        <v>351</v>
      </c>
      <c r="T285" s="1" t="s">
        <v>352</v>
      </c>
      <c r="U285" s="1" t="s">
        <v>146</v>
      </c>
      <c r="V285" s="1" t="s">
        <v>147</v>
      </c>
      <c r="W285" s="1" t="s">
        <v>148</v>
      </c>
      <c r="X285" s="44">
        <v>6.13</v>
      </c>
      <c r="Y285" s="44">
        <v>6.94</v>
      </c>
      <c r="Z285" s="44">
        <v>8.0399999999999991</v>
      </c>
      <c r="AA285" s="44">
        <v>0</v>
      </c>
      <c r="AB285" s="44">
        <v>0</v>
      </c>
      <c r="AC285" s="44">
        <v>464.95</v>
      </c>
      <c r="AD285" s="45">
        <v>4987032</v>
      </c>
      <c r="AE285" s="45"/>
      <c r="AF285" s="46">
        <v>4987032</v>
      </c>
      <c r="AG285" s="55">
        <f t="shared" si="24"/>
        <v>4987032</v>
      </c>
      <c r="AH285" s="55">
        <f t="shared" si="25"/>
        <v>0</v>
      </c>
      <c r="AI285" s="55">
        <f t="shared" si="26"/>
        <v>0</v>
      </c>
      <c r="AJ285" s="55">
        <f t="shared" si="27"/>
        <v>0</v>
      </c>
    </row>
    <row r="286" spans="1:36" ht="15" customHeight="1">
      <c r="A286" s="1">
        <v>71</v>
      </c>
      <c r="B286" s="1" t="s">
        <v>543</v>
      </c>
      <c r="C286" s="1" t="s">
        <v>544</v>
      </c>
      <c r="D286" s="1" t="s">
        <v>535</v>
      </c>
      <c r="E286" s="1" t="s">
        <v>544</v>
      </c>
      <c r="F286" s="51" t="s">
        <v>683</v>
      </c>
      <c r="G286" s="51" t="s">
        <v>659</v>
      </c>
      <c r="H286" s="50" t="s">
        <v>684</v>
      </c>
      <c r="I286" s="50" t="s">
        <v>685</v>
      </c>
      <c r="J286" s="1" t="s">
        <v>153</v>
      </c>
      <c r="K286" s="1" t="s">
        <v>141</v>
      </c>
      <c r="L286" s="1">
        <v>1005002425</v>
      </c>
      <c r="M286" s="1" t="s">
        <v>11</v>
      </c>
      <c r="N286" s="1">
        <v>14</v>
      </c>
      <c r="O286" s="47" t="str">
        <f t="shared" si="28"/>
        <v>0-30</v>
      </c>
      <c r="P286" s="1" t="s">
        <v>142</v>
      </c>
      <c r="Q286" s="1">
        <v>1001026897</v>
      </c>
      <c r="R286" s="1">
        <v>1332000000448</v>
      </c>
      <c r="S286" s="1" t="s">
        <v>351</v>
      </c>
      <c r="T286" s="1" t="s">
        <v>352</v>
      </c>
      <c r="U286" s="1" t="s">
        <v>146</v>
      </c>
      <c r="V286" s="1" t="s">
        <v>147</v>
      </c>
      <c r="W286" s="1" t="s">
        <v>148</v>
      </c>
      <c r="X286" s="44">
        <v>6.32</v>
      </c>
      <c r="Y286" s="44">
        <v>6.87</v>
      </c>
      <c r="Z286" s="44">
        <v>8.51</v>
      </c>
      <c r="AA286" s="44">
        <v>0</v>
      </c>
      <c r="AB286" s="44">
        <v>0</v>
      </c>
      <c r="AC286" s="44">
        <v>76.34</v>
      </c>
      <c r="AD286" s="45">
        <v>818823</v>
      </c>
      <c r="AE286" s="45"/>
      <c r="AF286" s="46">
        <v>818823</v>
      </c>
      <c r="AG286" s="55">
        <f t="shared" si="24"/>
        <v>818823</v>
      </c>
      <c r="AH286" s="55">
        <f t="shared" si="25"/>
        <v>0</v>
      </c>
      <c r="AI286" s="55">
        <f t="shared" si="26"/>
        <v>0</v>
      </c>
      <c r="AJ286" s="55">
        <f t="shared" si="27"/>
        <v>0</v>
      </c>
    </row>
    <row r="287" spans="1:36" ht="15" customHeight="1">
      <c r="A287" s="1">
        <v>73</v>
      </c>
      <c r="B287" s="1" t="s">
        <v>549</v>
      </c>
      <c r="C287" s="1" t="s">
        <v>550</v>
      </c>
      <c r="D287" s="1" t="s">
        <v>535</v>
      </c>
      <c r="E287" s="1" t="s">
        <v>551</v>
      </c>
      <c r="F287" s="51" t="s">
        <v>683</v>
      </c>
      <c r="G287" s="51" t="s">
        <v>659</v>
      </c>
      <c r="H287" s="50" t="s">
        <v>684</v>
      </c>
      <c r="I287" s="50" t="s">
        <v>685</v>
      </c>
      <c r="J287" s="1" t="s">
        <v>183</v>
      </c>
      <c r="K287" s="1" t="s">
        <v>141</v>
      </c>
      <c r="L287" s="1">
        <v>1005001905</v>
      </c>
      <c r="M287" s="1" t="s">
        <v>102</v>
      </c>
      <c r="N287" s="1">
        <v>88</v>
      </c>
      <c r="O287" s="47" t="str">
        <f t="shared" si="28"/>
        <v>61-90</v>
      </c>
      <c r="P287" s="1" t="s">
        <v>184</v>
      </c>
      <c r="Q287" s="1">
        <v>1001025626</v>
      </c>
      <c r="R287" s="1">
        <v>1152000000506</v>
      </c>
      <c r="S287" s="1" t="s">
        <v>334</v>
      </c>
      <c r="T287" s="1" t="s">
        <v>297</v>
      </c>
      <c r="U287" s="1" t="s">
        <v>146</v>
      </c>
      <c r="V287" s="1" t="s">
        <v>147</v>
      </c>
      <c r="W287" s="1" t="s">
        <v>148</v>
      </c>
      <c r="X287" s="44">
        <v>12.73</v>
      </c>
      <c r="Y287" s="44">
        <v>0.31</v>
      </c>
      <c r="Z287" s="44">
        <v>0</v>
      </c>
      <c r="AA287" s="44">
        <v>0</v>
      </c>
      <c r="AB287" s="44">
        <v>0</v>
      </c>
      <c r="AC287" s="44">
        <v>343500</v>
      </c>
      <c r="AD287" s="45">
        <v>16831500</v>
      </c>
      <c r="AE287" s="45"/>
      <c r="AF287" s="46">
        <v>16831500</v>
      </c>
      <c r="AG287" s="55">
        <f t="shared" ref="AG287:AG292" si="29">IF($O287="0-30",$AF287,0)</f>
        <v>0</v>
      </c>
      <c r="AH287" s="55">
        <f t="shared" ref="AH287:AH292" si="30">IF($O287="31-60",$AF287,0)</f>
        <v>0</v>
      </c>
      <c r="AI287" s="55">
        <f t="shared" ref="AI287:AI292" si="31">IF($O287="61-90",$AF287,0)</f>
        <v>16831500</v>
      </c>
      <c r="AJ287" s="55">
        <f t="shared" si="27"/>
        <v>0</v>
      </c>
    </row>
    <row r="288" spans="1:36" ht="15" customHeight="1">
      <c r="A288" s="1">
        <v>73</v>
      </c>
      <c r="B288" s="1" t="s">
        <v>549</v>
      </c>
      <c r="C288" s="1" t="s">
        <v>550</v>
      </c>
      <c r="D288" s="1" t="s">
        <v>535</v>
      </c>
      <c r="E288" s="1" t="s">
        <v>550</v>
      </c>
      <c r="F288" s="51" t="s">
        <v>683</v>
      </c>
      <c r="G288" s="51" t="s">
        <v>659</v>
      </c>
      <c r="H288" s="50" t="s">
        <v>684</v>
      </c>
      <c r="I288" s="50" t="s">
        <v>685</v>
      </c>
      <c r="J288" s="1" t="s">
        <v>183</v>
      </c>
      <c r="K288" s="1" t="s">
        <v>141</v>
      </c>
      <c r="L288" s="1">
        <v>1005002479</v>
      </c>
      <c r="M288" s="1" t="s">
        <v>48</v>
      </c>
      <c r="N288" s="1">
        <v>7</v>
      </c>
      <c r="O288" s="47" t="str">
        <f t="shared" ref="O288:O293" si="32">VLOOKUP(N288,$M$1:$N$4,2,TRUE)</f>
        <v>0-30</v>
      </c>
      <c r="P288" s="1" t="s">
        <v>184</v>
      </c>
      <c r="Q288" s="1">
        <v>1001027596</v>
      </c>
      <c r="R288" s="1">
        <v>1152000000550</v>
      </c>
      <c r="S288" s="1" t="s">
        <v>144</v>
      </c>
      <c r="T288" s="1" t="s">
        <v>145</v>
      </c>
      <c r="U288" s="1" t="s">
        <v>146</v>
      </c>
      <c r="V288" s="1" t="s">
        <v>147</v>
      </c>
      <c r="W288" s="1" t="s">
        <v>148</v>
      </c>
      <c r="X288" s="44">
        <v>4.66</v>
      </c>
      <c r="Y288" s="44">
        <v>0.6</v>
      </c>
      <c r="Z288" s="44">
        <v>0</v>
      </c>
      <c r="AA288" s="44">
        <v>0</v>
      </c>
      <c r="AB288" s="44">
        <v>0</v>
      </c>
      <c r="AC288" s="44">
        <v>7.34</v>
      </c>
      <c r="AD288" s="45">
        <v>110724</v>
      </c>
      <c r="AE288" s="45"/>
      <c r="AF288" s="46">
        <v>110724</v>
      </c>
      <c r="AG288" s="55">
        <f t="shared" si="29"/>
        <v>110724</v>
      </c>
      <c r="AH288" s="55">
        <f t="shared" si="30"/>
        <v>0</v>
      </c>
      <c r="AI288" s="55">
        <f t="shared" si="31"/>
        <v>0</v>
      </c>
      <c r="AJ288" s="55">
        <f t="shared" si="27"/>
        <v>0</v>
      </c>
    </row>
    <row r="289" spans="1:36" ht="15" customHeight="1">
      <c r="A289" s="1">
        <v>74</v>
      </c>
      <c r="B289" s="1" t="s">
        <v>552</v>
      </c>
      <c r="C289" s="1" t="s">
        <v>553</v>
      </c>
      <c r="D289" s="1" t="s">
        <v>535</v>
      </c>
      <c r="E289" s="1" t="s">
        <v>551</v>
      </c>
      <c r="F289" s="51" t="s">
        <v>683</v>
      </c>
      <c r="G289" s="51" t="s">
        <v>659</v>
      </c>
      <c r="H289" s="50" t="s">
        <v>684</v>
      </c>
      <c r="I289" s="50" t="s">
        <v>685</v>
      </c>
      <c r="J289" s="1" t="s">
        <v>183</v>
      </c>
      <c r="K289" s="1" t="s">
        <v>141</v>
      </c>
      <c r="L289" s="1">
        <v>1005001906</v>
      </c>
      <c r="M289" s="1" t="s">
        <v>102</v>
      </c>
      <c r="N289" s="1">
        <v>88</v>
      </c>
      <c r="O289" s="47" t="str">
        <f t="shared" si="32"/>
        <v>61-90</v>
      </c>
      <c r="P289" s="1" t="s">
        <v>184</v>
      </c>
      <c r="Q289" s="1">
        <v>1001025610</v>
      </c>
      <c r="R289" s="1">
        <v>1202000000509</v>
      </c>
      <c r="S289" s="1" t="s">
        <v>334</v>
      </c>
      <c r="T289" s="1" t="s">
        <v>297</v>
      </c>
      <c r="U289" s="1" t="s">
        <v>146</v>
      </c>
      <c r="V289" s="1" t="s">
        <v>147</v>
      </c>
      <c r="W289" s="1" t="s">
        <v>148</v>
      </c>
      <c r="X289" s="44">
        <v>12.73</v>
      </c>
      <c r="Y289" s="44">
        <v>0.31</v>
      </c>
      <c r="Z289" s="44">
        <v>0</v>
      </c>
      <c r="AA289" s="44">
        <v>0</v>
      </c>
      <c r="AB289" s="44">
        <v>0</v>
      </c>
      <c r="AC289" s="44">
        <v>394660</v>
      </c>
      <c r="AD289" s="45">
        <v>19338340</v>
      </c>
      <c r="AE289" s="45"/>
      <c r="AF289" s="46">
        <v>19338340</v>
      </c>
      <c r="AG289" s="55">
        <f t="shared" si="29"/>
        <v>0</v>
      </c>
      <c r="AH289" s="55">
        <f t="shared" si="30"/>
        <v>0</v>
      </c>
      <c r="AI289" s="55">
        <f t="shared" si="31"/>
        <v>19338340</v>
      </c>
      <c r="AJ289" s="55">
        <f t="shared" si="27"/>
        <v>0</v>
      </c>
    </row>
    <row r="290" spans="1:36" ht="15" customHeight="1">
      <c r="A290" s="1">
        <v>74</v>
      </c>
      <c r="B290" s="1" t="s">
        <v>552</v>
      </c>
      <c r="C290" s="1" t="s">
        <v>553</v>
      </c>
      <c r="D290" s="1" t="s">
        <v>535</v>
      </c>
      <c r="E290" s="1" t="s">
        <v>553</v>
      </c>
      <c r="F290" s="51" t="s">
        <v>683</v>
      </c>
      <c r="G290" s="51" t="s">
        <v>659</v>
      </c>
      <c r="H290" s="50" t="s">
        <v>684</v>
      </c>
      <c r="I290" s="50" t="s">
        <v>685</v>
      </c>
      <c r="J290" s="1" t="s">
        <v>183</v>
      </c>
      <c r="K290" s="1" t="s">
        <v>141</v>
      </c>
      <c r="L290" s="1">
        <v>1005002350</v>
      </c>
      <c r="M290" s="1" t="s">
        <v>47</v>
      </c>
      <c r="N290" s="1">
        <v>25</v>
      </c>
      <c r="O290" s="47" t="str">
        <f t="shared" si="32"/>
        <v>0-30</v>
      </c>
      <c r="P290" s="1" t="s">
        <v>184</v>
      </c>
      <c r="Q290" s="1">
        <v>1001027228</v>
      </c>
      <c r="R290" s="1">
        <v>1202000000539</v>
      </c>
      <c r="S290" s="1" t="s">
        <v>144</v>
      </c>
      <c r="T290" s="1" t="s">
        <v>145</v>
      </c>
      <c r="U290" s="1" t="s">
        <v>146</v>
      </c>
      <c r="V290" s="1" t="s">
        <v>147</v>
      </c>
      <c r="W290" s="1" t="s">
        <v>148</v>
      </c>
      <c r="X290" s="44">
        <v>5.08</v>
      </c>
      <c r="Y290" s="44">
        <v>0.32</v>
      </c>
      <c r="Z290" s="44">
        <v>0</v>
      </c>
      <c r="AA290" s="44">
        <v>0</v>
      </c>
      <c r="AB290" s="44">
        <v>0</v>
      </c>
      <c r="AC290" s="44">
        <v>73620</v>
      </c>
      <c r="AD290" s="45">
        <v>7362000</v>
      </c>
      <c r="AE290" s="45"/>
      <c r="AF290" s="46">
        <v>7362000</v>
      </c>
      <c r="AG290" s="55">
        <f t="shared" si="29"/>
        <v>7362000</v>
      </c>
      <c r="AH290" s="55">
        <f t="shared" si="30"/>
        <v>0</v>
      </c>
      <c r="AI290" s="55">
        <f t="shared" si="31"/>
        <v>0</v>
      </c>
      <c r="AJ290" s="55">
        <f t="shared" si="27"/>
        <v>0</v>
      </c>
    </row>
    <row r="291" spans="1:36" ht="15" customHeight="1">
      <c r="A291" s="1">
        <v>74</v>
      </c>
      <c r="B291" s="1" t="s">
        <v>552</v>
      </c>
      <c r="C291" s="1" t="s">
        <v>553</v>
      </c>
      <c r="D291" s="1" t="s">
        <v>535</v>
      </c>
      <c r="E291" s="1" t="s">
        <v>553</v>
      </c>
      <c r="F291" s="51" t="s">
        <v>683</v>
      </c>
      <c r="G291" s="51" t="s">
        <v>659</v>
      </c>
      <c r="H291" s="50" t="s">
        <v>684</v>
      </c>
      <c r="I291" s="50" t="s">
        <v>685</v>
      </c>
      <c r="J291" s="1" t="s">
        <v>183</v>
      </c>
      <c r="K291" s="1" t="s">
        <v>141</v>
      </c>
      <c r="L291" s="1">
        <v>1005002478</v>
      </c>
      <c r="M291" s="1" t="s">
        <v>48</v>
      </c>
      <c r="N291" s="1">
        <v>7</v>
      </c>
      <c r="O291" s="47" t="str">
        <f t="shared" si="32"/>
        <v>0-30</v>
      </c>
      <c r="P291" s="1" t="s">
        <v>184</v>
      </c>
      <c r="Q291" s="1">
        <v>1001027824</v>
      </c>
      <c r="R291" s="1">
        <v>1202000000547</v>
      </c>
      <c r="S291" s="1" t="s">
        <v>144</v>
      </c>
      <c r="T291" s="1" t="s">
        <v>145</v>
      </c>
      <c r="U291" s="1" t="s">
        <v>146</v>
      </c>
      <c r="V291" s="1" t="s">
        <v>147</v>
      </c>
      <c r="W291" s="1" t="s">
        <v>148</v>
      </c>
      <c r="X291" s="44">
        <v>5.1100000000000003</v>
      </c>
      <c r="Y291" s="44">
        <v>0.3</v>
      </c>
      <c r="Z291" s="44">
        <v>0</v>
      </c>
      <c r="AA291" s="44">
        <v>0</v>
      </c>
      <c r="AB291" s="44">
        <v>0</v>
      </c>
      <c r="AC291" s="44">
        <v>60700</v>
      </c>
      <c r="AD291" s="45">
        <v>6070000</v>
      </c>
      <c r="AE291" s="45"/>
      <c r="AF291" s="46">
        <v>6070000</v>
      </c>
      <c r="AG291" s="55">
        <f t="shared" si="29"/>
        <v>6070000</v>
      </c>
      <c r="AH291" s="55">
        <f t="shared" si="30"/>
        <v>0</v>
      </c>
      <c r="AI291" s="55">
        <f t="shared" si="31"/>
        <v>0</v>
      </c>
      <c r="AJ291" s="55">
        <f t="shared" si="27"/>
        <v>0</v>
      </c>
    </row>
    <row r="292" spans="1:36" ht="15" customHeight="1">
      <c r="A292" s="1">
        <v>75</v>
      </c>
      <c r="B292" s="1" t="s">
        <v>554</v>
      </c>
      <c r="C292" s="1" t="s">
        <v>555</v>
      </c>
      <c r="D292" s="1" t="s">
        <v>535</v>
      </c>
      <c r="E292" s="1" t="s">
        <v>551</v>
      </c>
      <c r="F292" s="51" t="s">
        <v>683</v>
      </c>
      <c r="G292" s="51" t="s">
        <v>659</v>
      </c>
      <c r="H292" s="50" t="s">
        <v>684</v>
      </c>
      <c r="I292" s="50" t="s">
        <v>685</v>
      </c>
      <c r="J292" s="1" t="s">
        <v>183</v>
      </c>
      <c r="K292" s="1" t="s">
        <v>141</v>
      </c>
      <c r="L292" s="1">
        <v>1005001904</v>
      </c>
      <c r="M292" s="1" t="s">
        <v>102</v>
      </c>
      <c r="N292" s="1">
        <v>88</v>
      </c>
      <c r="O292" s="47" t="str">
        <f t="shared" si="32"/>
        <v>61-90</v>
      </c>
      <c r="P292" s="1" t="s">
        <v>184</v>
      </c>
      <c r="Q292" s="1">
        <v>1001025608</v>
      </c>
      <c r="R292" s="1">
        <v>1142000002815</v>
      </c>
      <c r="S292" s="1" t="s">
        <v>334</v>
      </c>
      <c r="T292" s="1" t="s">
        <v>297</v>
      </c>
      <c r="U292" s="1" t="s">
        <v>146</v>
      </c>
      <c r="V292" s="1" t="s">
        <v>147</v>
      </c>
      <c r="W292" s="1" t="s">
        <v>148</v>
      </c>
      <c r="X292" s="44">
        <v>12.73</v>
      </c>
      <c r="Y292" s="44">
        <v>0.31</v>
      </c>
      <c r="Z292" s="44">
        <v>0</v>
      </c>
      <c r="AA292" s="44">
        <v>0</v>
      </c>
      <c r="AB292" s="44">
        <v>0</v>
      </c>
      <c r="AC292" s="44">
        <v>395460</v>
      </c>
      <c r="AD292" s="45">
        <v>19377540</v>
      </c>
      <c r="AE292" s="45"/>
      <c r="AF292" s="46">
        <v>19377540</v>
      </c>
      <c r="AG292" s="55">
        <f t="shared" si="29"/>
        <v>0</v>
      </c>
      <c r="AH292" s="55">
        <f t="shared" si="30"/>
        <v>0</v>
      </c>
      <c r="AI292" s="55">
        <f t="shared" si="31"/>
        <v>19377540</v>
      </c>
      <c r="AJ292" s="55">
        <f t="shared" ref="AJ292:AJ297" si="33">IF($O292="&gt; 91 Days",$AF292,0)</f>
        <v>0</v>
      </c>
    </row>
    <row r="293" spans="1:36" ht="15" customHeight="1">
      <c r="A293" s="1">
        <v>75</v>
      </c>
      <c r="B293" s="1" t="s">
        <v>554</v>
      </c>
      <c r="C293" s="1" t="s">
        <v>555</v>
      </c>
      <c r="D293" s="1" t="s">
        <v>535</v>
      </c>
      <c r="E293" s="1" t="s">
        <v>555</v>
      </c>
      <c r="F293" s="51" t="s">
        <v>683</v>
      </c>
      <c r="G293" s="51" t="s">
        <v>659</v>
      </c>
      <c r="H293" s="50" t="s">
        <v>684</v>
      </c>
      <c r="I293" s="50" t="s">
        <v>685</v>
      </c>
      <c r="J293" s="1" t="s">
        <v>170</v>
      </c>
      <c r="K293" s="1" t="s">
        <v>141</v>
      </c>
      <c r="L293" s="1">
        <v>1005001816</v>
      </c>
      <c r="M293" s="1" t="s">
        <v>104</v>
      </c>
      <c r="N293" s="1">
        <v>99</v>
      </c>
      <c r="O293" s="47" t="str">
        <f t="shared" si="32"/>
        <v>&gt; 91 Days</v>
      </c>
      <c r="P293" s="1" t="s">
        <v>184</v>
      </c>
      <c r="Q293" s="1">
        <v>1001020464</v>
      </c>
      <c r="R293" s="1">
        <v>1142000002348</v>
      </c>
      <c r="S293" s="1" t="s">
        <v>178</v>
      </c>
      <c r="T293" s="1" t="s">
        <v>179</v>
      </c>
      <c r="U293" s="1" t="s">
        <v>146</v>
      </c>
      <c r="V293" s="1" t="s">
        <v>147</v>
      </c>
      <c r="W293" s="1" t="s">
        <v>148</v>
      </c>
      <c r="X293" s="44">
        <v>0</v>
      </c>
      <c r="Y293" s="44">
        <v>21.2</v>
      </c>
      <c r="Z293" s="44">
        <v>2.2200000000000002</v>
      </c>
      <c r="AA293" s="44">
        <v>0</v>
      </c>
      <c r="AB293" s="44">
        <v>0</v>
      </c>
      <c r="AC293" s="44">
        <v>231.15</v>
      </c>
      <c r="AD293" s="45">
        <v>164117</v>
      </c>
      <c r="AE293" s="45"/>
      <c r="AF293" s="46">
        <v>164117</v>
      </c>
      <c r="AG293" s="55">
        <f t="shared" ref="AG293:AG323" si="34">IF($O293="0-30",$AF293,0)</f>
        <v>0</v>
      </c>
      <c r="AH293" s="55">
        <f t="shared" ref="AH293:AH323" si="35">IF($O293="31-60",$AF293,0)</f>
        <v>0</v>
      </c>
      <c r="AI293" s="55">
        <f t="shared" ref="AI293:AI323" si="36">IF($O293="61-90",$AF293,0)</f>
        <v>0</v>
      </c>
      <c r="AJ293" s="55">
        <f t="shared" si="33"/>
        <v>164117</v>
      </c>
    </row>
    <row r="294" spans="1:36" ht="15" customHeight="1">
      <c r="A294" s="1">
        <v>75</v>
      </c>
      <c r="B294" s="1" t="s">
        <v>554</v>
      </c>
      <c r="C294" s="1" t="s">
        <v>555</v>
      </c>
      <c r="D294" s="1" t="s">
        <v>535</v>
      </c>
      <c r="E294" s="1" t="s">
        <v>534</v>
      </c>
      <c r="F294" s="51" t="s">
        <v>683</v>
      </c>
      <c r="G294" s="51" t="s">
        <v>659</v>
      </c>
      <c r="H294" s="50" t="s">
        <v>684</v>
      </c>
      <c r="I294" s="50" t="s">
        <v>685</v>
      </c>
      <c r="J294" s="1" t="s">
        <v>140</v>
      </c>
      <c r="K294" s="1" t="s">
        <v>141</v>
      </c>
      <c r="L294" s="1">
        <v>1005002387</v>
      </c>
      <c r="M294" s="1" t="s">
        <v>90</v>
      </c>
      <c r="N294" s="1">
        <v>15</v>
      </c>
      <c r="O294" s="47" t="str">
        <f t="shared" ref="O294:O323" si="37">VLOOKUP(N294,$M$1:$N$4,2,TRUE)</f>
        <v>0-30</v>
      </c>
      <c r="P294" s="1" t="s">
        <v>142</v>
      </c>
      <c r="Q294" s="1">
        <v>1001026779</v>
      </c>
      <c r="R294" s="1">
        <v>1142000002954</v>
      </c>
      <c r="S294" s="1" t="s">
        <v>144</v>
      </c>
      <c r="T294" s="1" t="s">
        <v>145</v>
      </c>
      <c r="U294" s="1" t="s">
        <v>146</v>
      </c>
      <c r="V294" s="1" t="s">
        <v>147</v>
      </c>
      <c r="W294" s="1" t="s">
        <v>148</v>
      </c>
      <c r="X294" s="44">
        <v>5.82</v>
      </c>
      <c r="Y294" s="44">
        <v>0.32</v>
      </c>
      <c r="Z294" s="44">
        <v>0</v>
      </c>
      <c r="AA294" s="44">
        <v>0</v>
      </c>
      <c r="AB294" s="44">
        <v>0</v>
      </c>
      <c r="AC294" s="44">
        <v>400000</v>
      </c>
      <c r="AD294" s="45">
        <v>84781000</v>
      </c>
      <c r="AE294" s="45"/>
      <c r="AF294" s="46">
        <v>84781000</v>
      </c>
      <c r="AG294" s="55">
        <f t="shared" si="34"/>
        <v>84781000</v>
      </c>
      <c r="AH294" s="55">
        <f t="shared" si="35"/>
        <v>0</v>
      </c>
      <c r="AI294" s="55">
        <f t="shared" si="36"/>
        <v>0</v>
      </c>
      <c r="AJ294" s="55">
        <f t="shared" si="33"/>
        <v>0</v>
      </c>
    </row>
    <row r="295" spans="1:36" ht="15" customHeight="1">
      <c r="A295" s="1">
        <v>75</v>
      </c>
      <c r="B295" s="1" t="s">
        <v>554</v>
      </c>
      <c r="C295" s="1" t="s">
        <v>555</v>
      </c>
      <c r="D295" s="1" t="s">
        <v>535</v>
      </c>
      <c r="E295" s="1" t="s">
        <v>534</v>
      </c>
      <c r="F295" s="51" t="s">
        <v>683</v>
      </c>
      <c r="G295" s="51" t="s">
        <v>659</v>
      </c>
      <c r="H295" s="50" t="s">
        <v>684</v>
      </c>
      <c r="I295" s="50" t="s">
        <v>685</v>
      </c>
      <c r="J295" s="1" t="s">
        <v>140</v>
      </c>
      <c r="K295" s="1" t="s">
        <v>141</v>
      </c>
      <c r="L295" s="1">
        <v>1005002410</v>
      </c>
      <c r="M295" s="1" t="s">
        <v>11</v>
      </c>
      <c r="N295" s="1">
        <v>14</v>
      </c>
      <c r="O295" s="47" t="str">
        <f t="shared" si="37"/>
        <v>0-30</v>
      </c>
      <c r="P295" s="1" t="s">
        <v>142</v>
      </c>
      <c r="Q295" s="1">
        <v>1001027040</v>
      </c>
      <c r="R295" s="1">
        <v>1142000002993</v>
      </c>
      <c r="S295" s="1" t="s">
        <v>144</v>
      </c>
      <c r="T295" s="1" t="s">
        <v>145</v>
      </c>
      <c r="U295" s="1" t="s">
        <v>146</v>
      </c>
      <c r="V295" s="1" t="s">
        <v>147</v>
      </c>
      <c r="W295" s="1" t="s">
        <v>148</v>
      </c>
      <c r="X295" s="44">
        <v>5.99</v>
      </c>
      <c r="Y295" s="44">
        <v>0.3</v>
      </c>
      <c r="Z295" s="44">
        <v>0</v>
      </c>
      <c r="AA295" s="44">
        <v>0</v>
      </c>
      <c r="AB295" s="44">
        <v>0</v>
      </c>
      <c r="AC295" s="44">
        <v>500000</v>
      </c>
      <c r="AD295" s="45">
        <v>133814000</v>
      </c>
      <c r="AE295" s="45"/>
      <c r="AF295" s="46">
        <v>133814000</v>
      </c>
      <c r="AG295" s="55">
        <f t="shared" si="34"/>
        <v>133814000</v>
      </c>
      <c r="AH295" s="55">
        <f t="shared" si="35"/>
        <v>0</v>
      </c>
      <c r="AI295" s="55">
        <f t="shared" si="36"/>
        <v>0</v>
      </c>
      <c r="AJ295" s="55">
        <f t="shared" si="33"/>
        <v>0</v>
      </c>
    </row>
    <row r="296" spans="1:36" ht="15" customHeight="1">
      <c r="A296" s="1">
        <v>75</v>
      </c>
      <c r="B296" s="1" t="s">
        <v>554</v>
      </c>
      <c r="C296" s="1" t="s">
        <v>555</v>
      </c>
      <c r="D296" s="1" t="s">
        <v>535</v>
      </c>
      <c r="E296" s="1" t="s">
        <v>558</v>
      </c>
      <c r="F296" s="51" t="s">
        <v>683</v>
      </c>
      <c r="G296" s="51" t="s">
        <v>659</v>
      </c>
      <c r="H296" s="50" t="s">
        <v>684</v>
      </c>
      <c r="I296" s="50" t="s">
        <v>685</v>
      </c>
      <c r="J296" s="1" t="s">
        <v>140</v>
      </c>
      <c r="K296" s="1" t="s">
        <v>141</v>
      </c>
      <c r="L296" s="1">
        <v>1005002426</v>
      </c>
      <c r="M296" s="1" t="s">
        <v>11</v>
      </c>
      <c r="N296" s="1">
        <v>14</v>
      </c>
      <c r="O296" s="47" t="str">
        <f t="shared" si="37"/>
        <v>0-30</v>
      </c>
      <c r="P296" s="1" t="s">
        <v>142</v>
      </c>
      <c r="Q296" s="1">
        <v>1001027005</v>
      </c>
      <c r="R296" s="1">
        <v>1142000002986</v>
      </c>
      <c r="S296" s="1" t="s">
        <v>351</v>
      </c>
      <c r="T296" s="1" t="s">
        <v>352</v>
      </c>
      <c r="U296" s="1" t="s">
        <v>146</v>
      </c>
      <c r="V296" s="1" t="s">
        <v>147</v>
      </c>
      <c r="W296" s="1" t="s">
        <v>148</v>
      </c>
      <c r="X296" s="44">
        <v>3.49</v>
      </c>
      <c r="Y296" s="44">
        <v>6.98</v>
      </c>
      <c r="Z296" s="44">
        <v>8.49</v>
      </c>
      <c r="AA296" s="44">
        <v>0</v>
      </c>
      <c r="AB296" s="44">
        <v>0</v>
      </c>
      <c r="AC296" s="44">
        <v>36.75</v>
      </c>
      <c r="AD296" s="45">
        <v>414724</v>
      </c>
      <c r="AE296" s="45"/>
      <c r="AF296" s="46">
        <v>414724</v>
      </c>
      <c r="AG296" s="55">
        <f t="shared" si="34"/>
        <v>414724</v>
      </c>
      <c r="AH296" s="55">
        <f t="shared" si="35"/>
        <v>0</v>
      </c>
      <c r="AI296" s="55">
        <f t="shared" si="36"/>
        <v>0</v>
      </c>
      <c r="AJ296" s="55">
        <f t="shared" si="33"/>
        <v>0</v>
      </c>
    </row>
    <row r="297" spans="1:36" ht="15" customHeight="1">
      <c r="A297" s="1">
        <v>76</v>
      </c>
      <c r="B297" s="1" t="s">
        <v>559</v>
      </c>
      <c r="C297" s="1" t="s">
        <v>560</v>
      </c>
      <c r="D297" s="1" t="s">
        <v>535</v>
      </c>
      <c r="E297" s="1" t="s">
        <v>560</v>
      </c>
      <c r="F297" s="51" t="s">
        <v>683</v>
      </c>
      <c r="G297" s="51" t="s">
        <v>659</v>
      </c>
      <c r="H297" s="50" t="s">
        <v>684</v>
      </c>
      <c r="I297" s="50" t="s">
        <v>685</v>
      </c>
      <c r="J297" s="1" t="s">
        <v>153</v>
      </c>
      <c r="K297" s="1" t="s">
        <v>141</v>
      </c>
      <c r="L297" s="1">
        <v>1005002368</v>
      </c>
      <c r="M297" s="1" t="s">
        <v>70</v>
      </c>
      <c r="N297" s="1">
        <v>23</v>
      </c>
      <c r="O297" s="47" t="str">
        <f t="shared" si="37"/>
        <v>0-30</v>
      </c>
      <c r="P297" s="1" t="s">
        <v>142</v>
      </c>
      <c r="Q297" s="1">
        <v>1001026789</v>
      </c>
      <c r="R297" s="1">
        <v>1252000001298</v>
      </c>
      <c r="S297" s="1" t="s">
        <v>351</v>
      </c>
      <c r="T297" s="1" t="s">
        <v>352</v>
      </c>
      <c r="U297" s="1" t="s">
        <v>146</v>
      </c>
      <c r="V297" s="1" t="s">
        <v>147</v>
      </c>
      <c r="W297" s="1" t="s">
        <v>148</v>
      </c>
      <c r="X297" s="44">
        <v>5.28</v>
      </c>
      <c r="Y297" s="44">
        <v>8.42</v>
      </c>
      <c r="Z297" s="44">
        <v>7.83</v>
      </c>
      <c r="AA297" s="44">
        <v>0</v>
      </c>
      <c r="AB297" s="44">
        <v>0</v>
      </c>
      <c r="AC297" s="44">
        <v>37.96</v>
      </c>
      <c r="AD297" s="45">
        <v>416194</v>
      </c>
      <c r="AE297" s="45"/>
      <c r="AF297" s="46">
        <v>416194</v>
      </c>
      <c r="AG297" s="55">
        <f t="shared" si="34"/>
        <v>416194</v>
      </c>
      <c r="AH297" s="55">
        <f t="shared" si="35"/>
        <v>0</v>
      </c>
      <c r="AI297" s="55">
        <f t="shared" si="36"/>
        <v>0</v>
      </c>
      <c r="AJ297" s="55">
        <f t="shared" si="33"/>
        <v>0</v>
      </c>
    </row>
    <row r="298" spans="1:36" ht="15" customHeight="1">
      <c r="A298" s="1">
        <v>76</v>
      </c>
      <c r="B298" s="1" t="s">
        <v>559</v>
      </c>
      <c r="C298" s="1" t="s">
        <v>560</v>
      </c>
      <c r="D298" s="1" t="s">
        <v>535</v>
      </c>
      <c r="E298" s="1" t="s">
        <v>560</v>
      </c>
      <c r="F298" s="51" t="s">
        <v>683</v>
      </c>
      <c r="G298" s="51" t="s">
        <v>659</v>
      </c>
      <c r="H298" s="50" t="s">
        <v>684</v>
      </c>
      <c r="I298" s="50" t="s">
        <v>685</v>
      </c>
      <c r="J298" s="1" t="s">
        <v>153</v>
      </c>
      <c r="K298" s="1" t="s">
        <v>141</v>
      </c>
      <c r="L298" s="1">
        <v>1005002369</v>
      </c>
      <c r="M298" s="1" t="s">
        <v>70</v>
      </c>
      <c r="N298" s="1">
        <v>23</v>
      </c>
      <c r="O298" s="47" t="str">
        <f t="shared" si="37"/>
        <v>0-30</v>
      </c>
      <c r="P298" s="1" t="s">
        <v>142</v>
      </c>
      <c r="Q298" s="1">
        <v>1001026789</v>
      </c>
      <c r="R298" s="1">
        <v>1252000001298</v>
      </c>
      <c r="S298" s="1" t="s">
        <v>351</v>
      </c>
      <c r="T298" s="1" t="s">
        <v>352</v>
      </c>
      <c r="U298" s="1" t="s">
        <v>146</v>
      </c>
      <c r="V298" s="1" t="s">
        <v>147</v>
      </c>
      <c r="W298" s="1" t="s">
        <v>148</v>
      </c>
      <c r="X298" s="44">
        <v>4.28</v>
      </c>
      <c r="Y298" s="44">
        <v>7.93</v>
      </c>
      <c r="Z298" s="44">
        <v>8.56</v>
      </c>
      <c r="AA298" s="44">
        <v>0</v>
      </c>
      <c r="AB298" s="44">
        <v>0</v>
      </c>
      <c r="AC298" s="44">
        <v>959.89</v>
      </c>
      <c r="AD298" s="45">
        <v>10524234</v>
      </c>
      <c r="AE298" s="45"/>
      <c r="AF298" s="46">
        <v>10524234</v>
      </c>
      <c r="AG298" s="55">
        <f t="shared" si="34"/>
        <v>10524234</v>
      </c>
      <c r="AH298" s="55">
        <f t="shared" si="35"/>
        <v>0</v>
      </c>
      <c r="AI298" s="55">
        <f t="shared" si="36"/>
        <v>0</v>
      </c>
      <c r="AJ298" s="55">
        <f t="shared" ref="AJ298:AJ332" si="38">IF($O298="&gt; 91 Days",$AF298,0)</f>
        <v>0</v>
      </c>
    </row>
    <row r="299" spans="1:36" ht="15" customHeight="1">
      <c r="A299" s="1">
        <v>76</v>
      </c>
      <c r="B299" s="1" t="s">
        <v>559</v>
      </c>
      <c r="C299" s="1" t="s">
        <v>560</v>
      </c>
      <c r="D299" s="1" t="s">
        <v>535</v>
      </c>
      <c r="E299" s="1" t="s">
        <v>560</v>
      </c>
      <c r="F299" s="51" t="s">
        <v>683</v>
      </c>
      <c r="G299" s="51" t="s">
        <v>659</v>
      </c>
      <c r="H299" s="50" t="s">
        <v>684</v>
      </c>
      <c r="I299" s="50" t="s">
        <v>685</v>
      </c>
      <c r="J299" s="1" t="s">
        <v>153</v>
      </c>
      <c r="K299" s="1" t="s">
        <v>141</v>
      </c>
      <c r="L299" s="1">
        <v>1005002360</v>
      </c>
      <c r="M299" s="1" t="s">
        <v>97</v>
      </c>
      <c r="N299" s="1">
        <v>24</v>
      </c>
      <c r="O299" s="47" t="str">
        <f t="shared" si="37"/>
        <v>0-30</v>
      </c>
      <c r="P299" s="1" t="s">
        <v>142</v>
      </c>
      <c r="Q299" s="1">
        <v>1001026834</v>
      </c>
      <c r="R299" s="1">
        <v>1252000001299</v>
      </c>
      <c r="S299" s="1" t="s">
        <v>144</v>
      </c>
      <c r="T299" s="1" t="s">
        <v>145</v>
      </c>
      <c r="U299" s="1" t="s">
        <v>146</v>
      </c>
      <c r="V299" s="1" t="s">
        <v>147</v>
      </c>
      <c r="W299" s="1" t="s">
        <v>148</v>
      </c>
      <c r="X299" s="44">
        <v>5.16</v>
      </c>
      <c r="Y299" s="44">
        <v>0.3</v>
      </c>
      <c r="Z299" s="44">
        <v>0</v>
      </c>
      <c r="AA299" s="44">
        <v>0</v>
      </c>
      <c r="AB299" s="44">
        <v>0</v>
      </c>
      <c r="AC299" s="44">
        <v>35170</v>
      </c>
      <c r="AD299" s="45">
        <v>3517000</v>
      </c>
      <c r="AE299" s="45"/>
      <c r="AF299" s="46">
        <v>3517000</v>
      </c>
      <c r="AG299" s="55">
        <f t="shared" si="34"/>
        <v>3517000</v>
      </c>
      <c r="AH299" s="55">
        <f t="shared" si="35"/>
        <v>0</v>
      </c>
      <c r="AI299" s="55">
        <f t="shared" si="36"/>
        <v>0</v>
      </c>
      <c r="AJ299" s="55">
        <f t="shared" si="38"/>
        <v>0</v>
      </c>
    </row>
    <row r="300" spans="1:36" ht="15" customHeight="1">
      <c r="A300" s="1">
        <v>76</v>
      </c>
      <c r="B300" s="1" t="s">
        <v>559</v>
      </c>
      <c r="C300" s="1" t="s">
        <v>560</v>
      </c>
      <c r="D300" s="1" t="s">
        <v>535</v>
      </c>
      <c r="E300" s="1" t="s">
        <v>560</v>
      </c>
      <c r="F300" s="51" t="s">
        <v>683</v>
      </c>
      <c r="G300" s="51" t="s">
        <v>659</v>
      </c>
      <c r="H300" s="50" t="s">
        <v>684</v>
      </c>
      <c r="I300" s="50" t="s">
        <v>685</v>
      </c>
      <c r="J300" s="1" t="s">
        <v>153</v>
      </c>
      <c r="K300" s="1" t="s">
        <v>141</v>
      </c>
      <c r="L300" s="1">
        <v>1005002381</v>
      </c>
      <c r="M300" s="1" t="s">
        <v>31</v>
      </c>
      <c r="N300" s="1">
        <v>18</v>
      </c>
      <c r="O300" s="47" t="str">
        <f t="shared" si="37"/>
        <v>0-30</v>
      </c>
      <c r="P300" s="1" t="s">
        <v>142</v>
      </c>
      <c r="Q300" s="1">
        <v>1001026899</v>
      </c>
      <c r="R300" s="1">
        <v>1252000001301</v>
      </c>
      <c r="S300" s="1" t="s">
        <v>351</v>
      </c>
      <c r="T300" s="1" t="s">
        <v>352</v>
      </c>
      <c r="U300" s="1" t="s">
        <v>146</v>
      </c>
      <c r="V300" s="1" t="s">
        <v>147</v>
      </c>
      <c r="W300" s="1" t="s">
        <v>148</v>
      </c>
      <c r="X300" s="44">
        <v>3.94</v>
      </c>
      <c r="Y300" s="44">
        <v>9.02</v>
      </c>
      <c r="Z300" s="44">
        <v>8.35</v>
      </c>
      <c r="AA300" s="44">
        <v>0</v>
      </c>
      <c r="AB300" s="44">
        <v>0</v>
      </c>
      <c r="AC300" s="44">
        <v>2022.57</v>
      </c>
      <c r="AD300" s="45">
        <v>22650762</v>
      </c>
      <c r="AE300" s="45"/>
      <c r="AF300" s="46">
        <v>22650762</v>
      </c>
      <c r="AG300" s="55">
        <f t="shared" si="34"/>
        <v>22650762</v>
      </c>
      <c r="AH300" s="55">
        <f t="shared" si="35"/>
        <v>0</v>
      </c>
      <c r="AI300" s="55">
        <f t="shared" si="36"/>
        <v>0</v>
      </c>
      <c r="AJ300" s="55">
        <f t="shared" si="38"/>
        <v>0</v>
      </c>
    </row>
    <row r="301" spans="1:36" ht="15" customHeight="1">
      <c r="A301" s="1">
        <v>76</v>
      </c>
      <c r="B301" s="1" t="s">
        <v>559</v>
      </c>
      <c r="C301" s="1" t="s">
        <v>560</v>
      </c>
      <c r="D301" s="1" t="s">
        <v>535</v>
      </c>
      <c r="E301" s="1" t="s">
        <v>560</v>
      </c>
      <c r="F301" s="51" t="s">
        <v>683</v>
      </c>
      <c r="G301" s="51" t="s">
        <v>659</v>
      </c>
      <c r="H301" s="50" t="s">
        <v>684</v>
      </c>
      <c r="I301" s="50" t="s">
        <v>685</v>
      </c>
      <c r="J301" s="1" t="s">
        <v>153</v>
      </c>
      <c r="K301" s="1" t="s">
        <v>141</v>
      </c>
      <c r="L301" s="1">
        <v>1005002389</v>
      </c>
      <c r="M301" s="1" t="s">
        <v>90</v>
      </c>
      <c r="N301" s="1">
        <v>15</v>
      </c>
      <c r="O301" s="47" t="str">
        <f t="shared" si="37"/>
        <v>0-30</v>
      </c>
      <c r="P301" s="1" t="s">
        <v>142</v>
      </c>
      <c r="Q301" s="1">
        <v>1001026899</v>
      </c>
      <c r="R301" s="1">
        <v>1252000001301</v>
      </c>
      <c r="S301" s="1" t="s">
        <v>351</v>
      </c>
      <c r="T301" s="1" t="s">
        <v>352</v>
      </c>
      <c r="U301" s="1" t="s">
        <v>146</v>
      </c>
      <c r="V301" s="1" t="s">
        <v>147</v>
      </c>
      <c r="W301" s="1" t="s">
        <v>148</v>
      </c>
      <c r="X301" s="44">
        <v>5.91</v>
      </c>
      <c r="Y301" s="44">
        <v>7.87</v>
      </c>
      <c r="Z301" s="44">
        <v>8.36</v>
      </c>
      <c r="AA301" s="44">
        <v>0</v>
      </c>
      <c r="AB301" s="44">
        <v>0</v>
      </c>
      <c r="AC301" s="44">
        <v>169.17</v>
      </c>
      <c r="AD301" s="45">
        <v>1894535</v>
      </c>
      <c r="AE301" s="45"/>
      <c r="AF301" s="46">
        <v>1894535</v>
      </c>
      <c r="AG301" s="55">
        <f t="shared" si="34"/>
        <v>1894535</v>
      </c>
      <c r="AH301" s="55">
        <f t="shared" si="35"/>
        <v>0</v>
      </c>
      <c r="AI301" s="55">
        <f t="shared" si="36"/>
        <v>0</v>
      </c>
      <c r="AJ301" s="55">
        <f t="shared" si="38"/>
        <v>0</v>
      </c>
    </row>
    <row r="302" spans="1:36" ht="15" customHeight="1">
      <c r="A302" s="1">
        <v>76</v>
      </c>
      <c r="B302" s="1" t="s">
        <v>559</v>
      </c>
      <c r="C302" s="1" t="s">
        <v>560</v>
      </c>
      <c r="D302" s="1" t="s">
        <v>535</v>
      </c>
      <c r="E302" s="1" t="s">
        <v>560</v>
      </c>
      <c r="F302" s="51" t="s">
        <v>683</v>
      </c>
      <c r="G302" s="51" t="s">
        <v>659</v>
      </c>
      <c r="H302" s="50" t="s">
        <v>684</v>
      </c>
      <c r="I302" s="50" t="s">
        <v>685</v>
      </c>
      <c r="J302" s="1" t="s">
        <v>153</v>
      </c>
      <c r="K302" s="1" t="s">
        <v>141</v>
      </c>
      <c r="L302" s="1">
        <v>1005002388</v>
      </c>
      <c r="M302" s="1" t="s">
        <v>90</v>
      </c>
      <c r="N302" s="1">
        <v>15</v>
      </c>
      <c r="O302" s="47" t="str">
        <f t="shared" si="37"/>
        <v>0-30</v>
      </c>
      <c r="P302" s="1" t="s">
        <v>142</v>
      </c>
      <c r="Q302" s="1">
        <v>1001027006</v>
      </c>
      <c r="R302" s="1">
        <v>1252000001303</v>
      </c>
      <c r="S302" s="1" t="s">
        <v>351</v>
      </c>
      <c r="T302" s="1" t="s">
        <v>352</v>
      </c>
      <c r="U302" s="1" t="s">
        <v>146</v>
      </c>
      <c r="V302" s="1" t="s">
        <v>147</v>
      </c>
      <c r="W302" s="1" t="s">
        <v>148</v>
      </c>
      <c r="X302" s="44">
        <v>6.11</v>
      </c>
      <c r="Y302" s="44">
        <v>9.07</v>
      </c>
      <c r="Z302" s="44">
        <v>9.85</v>
      </c>
      <c r="AA302" s="44">
        <v>0</v>
      </c>
      <c r="AB302" s="44">
        <v>0</v>
      </c>
      <c r="AC302" s="44">
        <v>546.41</v>
      </c>
      <c r="AD302" s="45">
        <v>6182083</v>
      </c>
      <c r="AE302" s="45"/>
      <c r="AF302" s="46">
        <v>6182083</v>
      </c>
      <c r="AG302" s="55">
        <f t="shared" si="34"/>
        <v>6182083</v>
      </c>
      <c r="AH302" s="55">
        <f t="shared" si="35"/>
        <v>0</v>
      </c>
      <c r="AI302" s="55">
        <f t="shared" si="36"/>
        <v>0</v>
      </c>
      <c r="AJ302" s="55">
        <f t="shared" si="38"/>
        <v>0</v>
      </c>
    </row>
    <row r="303" spans="1:36" ht="15" customHeight="1">
      <c r="A303" s="1">
        <v>76</v>
      </c>
      <c r="B303" s="1" t="s">
        <v>559</v>
      </c>
      <c r="C303" s="1" t="s">
        <v>560</v>
      </c>
      <c r="D303" s="1" t="s">
        <v>535</v>
      </c>
      <c r="E303" s="1" t="s">
        <v>560</v>
      </c>
      <c r="F303" s="51" t="s">
        <v>683</v>
      </c>
      <c r="G303" s="51" t="s">
        <v>659</v>
      </c>
      <c r="H303" s="50" t="s">
        <v>684</v>
      </c>
      <c r="I303" s="50" t="s">
        <v>685</v>
      </c>
      <c r="J303" s="1" t="s">
        <v>153</v>
      </c>
      <c r="K303" s="1" t="s">
        <v>141</v>
      </c>
      <c r="L303" s="1">
        <v>1005002399</v>
      </c>
      <c r="M303" s="1" t="s">
        <v>90</v>
      </c>
      <c r="N303" s="1">
        <v>15</v>
      </c>
      <c r="O303" s="47" t="str">
        <f t="shared" si="37"/>
        <v>0-30</v>
      </c>
      <c r="P303" s="1" t="s">
        <v>142</v>
      </c>
      <c r="Q303" s="1">
        <v>1001027006</v>
      </c>
      <c r="R303" s="1">
        <v>1252000001303</v>
      </c>
      <c r="S303" s="1" t="s">
        <v>351</v>
      </c>
      <c r="T303" s="1" t="s">
        <v>352</v>
      </c>
      <c r="U303" s="1" t="s">
        <v>146</v>
      </c>
      <c r="V303" s="1" t="s">
        <v>147</v>
      </c>
      <c r="W303" s="1" t="s">
        <v>148</v>
      </c>
      <c r="X303" s="44">
        <v>5.59</v>
      </c>
      <c r="Y303" s="44">
        <v>9.02</v>
      </c>
      <c r="Z303" s="44">
        <v>10.52</v>
      </c>
      <c r="AA303" s="44">
        <v>0</v>
      </c>
      <c r="AB303" s="44">
        <v>0</v>
      </c>
      <c r="AC303" s="44">
        <v>3932.63</v>
      </c>
      <c r="AD303" s="45">
        <v>44493776</v>
      </c>
      <c r="AE303" s="45"/>
      <c r="AF303" s="46">
        <v>44493776</v>
      </c>
      <c r="AG303" s="55">
        <f t="shared" si="34"/>
        <v>44493776</v>
      </c>
      <c r="AH303" s="55">
        <f t="shared" si="35"/>
        <v>0</v>
      </c>
      <c r="AI303" s="55">
        <f t="shared" si="36"/>
        <v>0</v>
      </c>
      <c r="AJ303" s="55">
        <f t="shared" si="38"/>
        <v>0</v>
      </c>
    </row>
    <row r="304" spans="1:36" ht="15" customHeight="1">
      <c r="A304" s="1">
        <v>76</v>
      </c>
      <c r="B304" s="1" t="s">
        <v>559</v>
      </c>
      <c r="C304" s="1" t="s">
        <v>560</v>
      </c>
      <c r="D304" s="1" t="s">
        <v>535</v>
      </c>
      <c r="E304" s="1" t="s">
        <v>560</v>
      </c>
      <c r="F304" s="51" t="s">
        <v>683</v>
      </c>
      <c r="G304" s="51" t="s">
        <v>659</v>
      </c>
      <c r="H304" s="50" t="s">
        <v>684</v>
      </c>
      <c r="I304" s="50" t="s">
        <v>685</v>
      </c>
      <c r="J304" s="1" t="s">
        <v>153</v>
      </c>
      <c r="K304" s="1" t="s">
        <v>141</v>
      </c>
      <c r="L304" s="1">
        <v>1005002361</v>
      </c>
      <c r="M304" s="1" t="s">
        <v>97</v>
      </c>
      <c r="N304" s="1">
        <v>24</v>
      </c>
      <c r="O304" s="47" t="str">
        <f t="shared" si="37"/>
        <v>0-30</v>
      </c>
      <c r="P304" s="1" t="s">
        <v>142</v>
      </c>
      <c r="Q304" s="1">
        <v>1001027041</v>
      </c>
      <c r="R304" s="1">
        <v>1252000001304</v>
      </c>
      <c r="S304" s="1" t="s">
        <v>144</v>
      </c>
      <c r="T304" s="1" t="s">
        <v>145</v>
      </c>
      <c r="U304" s="1" t="s">
        <v>146</v>
      </c>
      <c r="V304" s="1" t="s">
        <v>147</v>
      </c>
      <c r="W304" s="1" t="s">
        <v>148</v>
      </c>
      <c r="X304" s="44">
        <v>5.16</v>
      </c>
      <c r="Y304" s="44">
        <v>0.28999999999999998</v>
      </c>
      <c r="Z304" s="44">
        <v>0</v>
      </c>
      <c r="AA304" s="44">
        <v>0</v>
      </c>
      <c r="AB304" s="44">
        <v>0</v>
      </c>
      <c r="AC304" s="44">
        <v>256700</v>
      </c>
      <c r="AD304" s="45">
        <v>25670000</v>
      </c>
      <c r="AE304" s="45"/>
      <c r="AF304" s="46">
        <v>25670000</v>
      </c>
      <c r="AG304" s="55">
        <f t="shared" si="34"/>
        <v>25670000</v>
      </c>
      <c r="AH304" s="55">
        <f t="shared" si="35"/>
        <v>0</v>
      </c>
      <c r="AI304" s="55">
        <f t="shared" si="36"/>
        <v>0</v>
      </c>
      <c r="AJ304" s="55">
        <f t="shared" si="38"/>
        <v>0</v>
      </c>
    </row>
    <row r="305" spans="1:36" ht="15" customHeight="1">
      <c r="A305" s="1">
        <v>76</v>
      </c>
      <c r="B305" s="1" t="s">
        <v>559</v>
      </c>
      <c r="C305" s="1" t="s">
        <v>560</v>
      </c>
      <c r="D305" s="1" t="s">
        <v>535</v>
      </c>
      <c r="E305" s="1" t="s">
        <v>560</v>
      </c>
      <c r="F305" s="51" t="s">
        <v>683</v>
      </c>
      <c r="G305" s="51" t="s">
        <v>659</v>
      </c>
      <c r="H305" s="50" t="s">
        <v>684</v>
      </c>
      <c r="I305" s="50" t="s">
        <v>685</v>
      </c>
      <c r="J305" s="1" t="s">
        <v>153</v>
      </c>
      <c r="K305" s="1" t="s">
        <v>141</v>
      </c>
      <c r="L305" s="1">
        <v>1005002378</v>
      </c>
      <c r="M305" s="1" t="s">
        <v>31</v>
      </c>
      <c r="N305" s="1">
        <v>18</v>
      </c>
      <c r="O305" s="47" t="str">
        <f t="shared" si="37"/>
        <v>0-30</v>
      </c>
      <c r="P305" s="1" t="s">
        <v>142</v>
      </c>
      <c r="Q305" s="1">
        <v>1001027109</v>
      </c>
      <c r="R305" s="1">
        <v>1252000001305</v>
      </c>
      <c r="S305" s="1" t="s">
        <v>144</v>
      </c>
      <c r="T305" s="1" t="s">
        <v>145</v>
      </c>
      <c r="U305" s="1" t="s">
        <v>146</v>
      </c>
      <c r="V305" s="1" t="s">
        <v>147</v>
      </c>
      <c r="W305" s="1" t="s">
        <v>148</v>
      </c>
      <c r="X305" s="44">
        <v>5.09</v>
      </c>
      <c r="Y305" s="44">
        <v>0.28999999999999998</v>
      </c>
      <c r="Z305" s="44">
        <v>0</v>
      </c>
      <c r="AA305" s="44">
        <v>0</v>
      </c>
      <c r="AB305" s="44">
        <v>0</v>
      </c>
      <c r="AC305" s="44">
        <v>18170</v>
      </c>
      <c r="AD305" s="45">
        <v>1817000</v>
      </c>
      <c r="AE305" s="45"/>
      <c r="AF305" s="46">
        <v>1817000</v>
      </c>
      <c r="AG305" s="55">
        <f t="shared" si="34"/>
        <v>1817000</v>
      </c>
      <c r="AH305" s="55">
        <f t="shared" si="35"/>
        <v>0</v>
      </c>
      <c r="AI305" s="55">
        <f t="shared" si="36"/>
        <v>0</v>
      </c>
      <c r="AJ305" s="55">
        <f t="shared" si="38"/>
        <v>0</v>
      </c>
    </row>
    <row r="306" spans="1:36" ht="15" customHeight="1">
      <c r="A306" s="1">
        <v>77</v>
      </c>
      <c r="B306" s="1" t="s">
        <v>561</v>
      </c>
      <c r="C306" s="1" t="s">
        <v>562</v>
      </c>
      <c r="D306" s="1" t="s">
        <v>535</v>
      </c>
      <c r="E306" s="1" t="s">
        <v>562</v>
      </c>
      <c r="F306" s="51" t="s">
        <v>683</v>
      </c>
      <c r="G306" s="51" t="s">
        <v>659</v>
      </c>
      <c r="H306" s="50" t="s">
        <v>684</v>
      </c>
      <c r="I306" s="50" t="s">
        <v>685</v>
      </c>
      <c r="J306" s="1" t="s">
        <v>183</v>
      </c>
      <c r="K306" s="1" t="s">
        <v>141</v>
      </c>
      <c r="L306" s="1">
        <v>1005002412</v>
      </c>
      <c r="M306" s="1" t="s">
        <v>11</v>
      </c>
      <c r="N306" s="1">
        <v>14</v>
      </c>
      <c r="O306" s="47" t="str">
        <f t="shared" si="37"/>
        <v>0-30</v>
      </c>
      <c r="P306" s="1" t="s">
        <v>184</v>
      </c>
      <c r="Q306" s="1">
        <v>1001026034</v>
      </c>
      <c r="R306" s="1">
        <v>1172000000480</v>
      </c>
      <c r="S306" s="1" t="s">
        <v>144</v>
      </c>
      <c r="T306" s="1" t="s">
        <v>145</v>
      </c>
      <c r="U306" s="1" t="s">
        <v>146</v>
      </c>
      <c r="V306" s="1" t="s">
        <v>147</v>
      </c>
      <c r="W306" s="1" t="s">
        <v>148</v>
      </c>
      <c r="X306" s="44">
        <v>5.33</v>
      </c>
      <c r="Y306" s="44">
        <v>0.25</v>
      </c>
      <c r="Z306" s="44">
        <v>0</v>
      </c>
      <c r="AA306" s="44">
        <v>1.9</v>
      </c>
      <c r="AB306" s="44">
        <v>0</v>
      </c>
      <c r="AC306" s="44">
        <v>250200</v>
      </c>
      <c r="AD306" s="45">
        <v>25020000</v>
      </c>
      <c r="AE306" s="45"/>
      <c r="AF306" s="46">
        <v>25020000</v>
      </c>
      <c r="AG306" s="55">
        <f t="shared" si="34"/>
        <v>25020000</v>
      </c>
      <c r="AH306" s="55">
        <f t="shared" si="35"/>
        <v>0</v>
      </c>
      <c r="AI306" s="55">
        <f t="shared" si="36"/>
        <v>0</v>
      </c>
      <c r="AJ306" s="55">
        <f t="shared" si="38"/>
        <v>0</v>
      </c>
    </row>
    <row r="307" spans="1:36" ht="15" customHeight="1">
      <c r="A307" s="1">
        <v>77</v>
      </c>
      <c r="B307" s="1" t="s">
        <v>561</v>
      </c>
      <c r="C307" s="1" t="s">
        <v>562</v>
      </c>
      <c r="D307" s="1" t="s">
        <v>535</v>
      </c>
      <c r="E307" s="1" t="s">
        <v>562</v>
      </c>
      <c r="F307" s="51" t="s">
        <v>683</v>
      </c>
      <c r="G307" s="51" t="s">
        <v>659</v>
      </c>
      <c r="H307" s="50" t="s">
        <v>684</v>
      </c>
      <c r="I307" s="50" t="s">
        <v>685</v>
      </c>
      <c r="J307" s="1" t="s">
        <v>183</v>
      </c>
      <c r="K307" s="1" t="s">
        <v>141</v>
      </c>
      <c r="L307" s="1">
        <v>1005002414</v>
      </c>
      <c r="M307" s="1" t="s">
        <v>11</v>
      </c>
      <c r="N307" s="1">
        <v>14</v>
      </c>
      <c r="O307" s="47" t="str">
        <f t="shared" si="37"/>
        <v>0-30</v>
      </c>
      <c r="P307" s="1" t="s">
        <v>184</v>
      </c>
      <c r="Q307" s="1">
        <v>1001026152</v>
      </c>
      <c r="R307" s="1">
        <v>1172000000482</v>
      </c>
      <c r="S307" s="1" t="s">
        <v>144</v>
      </c>
      <c r="T307" s="1" t="s">
        <v>145</v>
      </c>
      <c r="U307" s="1" t="s">
        <v>146</v>
      </c>
      <c r="V307" s="1" t="s">
        <v>147</v>
      </c>
      <c r="W307" s="1" t="s">
        <v>148</v>
      </c>
      <c r="X307" s="44">
        <v>5.33</v>
      </c>
      <c r="Y307" s="44">
        <v>0.25</v>
      </c>
      <c r="Z307" s="44">
        <v>0</v>
      </c>
      <c r="AA307" s="44">
        <v>1.9</v>
      </c>
      <c r="AB307" s="44">
        <v>0</v>
      </c>
      <c r="AC307" s="44">
        <v>350000</v>
      </c>
      <c r="AD307" s="45">
        <v>35000000</v>
      </c>
      <c r="AE307" s="45"/>
      <c r="AF307" s="46">
        <v>35000000</v>
      </c>
      <c r="AG307" s="55">
        <f t="shared" si="34"/>
        <v>35000000</v>
      </c>
      <c r="AH307" s="55">
        <f t="shared" si="35"/>
        <v>0</v>
      </c>
      <c r="AI307" s="55">
        <f t="shared" si="36"/>
        <v>0</v>
      </c>
      <c r="AJ307" s="55">
        <f t="shared" si="38"/>
        <v>0</v>
      </c>
    </row>
    <row r="308" spans="1:36" ht="15" customHeight="1">
      <c r="A308" s="1">
        <v>77</v>
      </c>
      <c r="B308" s="1" t="s">
        <v>561</v>
      </c>
      <c r="C308" s="1" t="s">
        <v>562</v>
      </c>
      <c r="D308" s="1" t="s">
        <v>535</v>
      </c>
      <c r="E308" s="1" t="s">
        <v>562</v>
      </c>
      <c r="F308" s="51" t="s">
        <v>683</v>
      </c>
      <c r="G308" s="51" t="s">
        <v>659</v>
      </c>
      <c r="H308" s="50" t="s">
        <v>684</v>
      </c>
      <c r="I308" s="50" t="s">
        <v>685</v>
      </c>
      <c r="J308" s="1" t="s">
        <v>183</v>
      </c>
      <c r="K308" s="1" t="s">
        <v>141</v>
      </c>
      <c r="L308" s="1">
        <v>1005002415</v>
      </c>
      <c r="M308" s="1" t="s">
        <v>11</v>
      </c>
      <c r="N308" s="1">
        <v>14</v>
      </c>
      <c r="O308" s="47" t="str">
        <f t="shared" si="37"/>
        <v>0-30</v>
      </c>
      <c r="P308" s="1" t="s">
        <v>184</v>
      </c>
      <c r="Q308" s="1">
        <v>1001026265</v>
      </c>
      <c r="R308" s="1">
        <v>1172000000483</v>
      </c>
      <c r="S308" s="1" t="s">
        <v>144</v>
      </c>
      <c r="T308" s="1" t="s">
        <v>145</v>
      </c>
      <c r="U308" s="1" t="s">
        <v>146</v>
      </c>
      <c r="V308" s="1" t="s">
        <v>147</v>
      </c>
      <c r="W308" s="1" t="s">
        <v>148</v>
      </c>
      <c r="X308" s="44">
        <v>5.33</v>
      </c>
      <c r="Y308" s="44">
        <v>0.25</v>
      </c>
      <c r="Z308" s="44">
        <v>0</v>
      </c>
      <c r="AA308" s="44">
        <v>1.9</v>
      </c>
      <c r="AB308" s="44">
        <v>0</v>
      </c>
      <c r="AC308" s="44">
        <v>300000</v>
      </c>
      <c r="AD308" s="45">
        <v>30000000</v>
      </c>
      <c r="AE308" s="45"/>
      <c r="AF308" s="46">
        <v>30000000</v>
      </c>
      <c r="AG308" s="55">
        <f t="shared" si="34"/>
        <v>30000000</v>
      </c>
      <c r="AH308" s="55">
        <f t="shared" si="35"/>
        <v>0</v>
      </c>
      <c r="AI308" s="55">
        <f t="shared" si="36"/>
        <v>0</v>
      </c>
      <c r="AJ308" s="55">
        <f t="shared" si="38"/>
        <v>0</v>
      </c>
    </row>
    <row r="309" spans="1:36" ht="15" customHeight="1">
      <c r="A309" s="1">
        <v>77</v>
      </c>
      <c r="B309" s="1" t="s">
        <v>561</v>
      </c>
      <c r="C309" s="1" t="s">
        <v>562</v>
      </c>
      <c r="D309" s="1" t="s">
        <v>535</v>
      </c>
      <c r="E309" s="1" t="s">
        <v>562</v>
      </c>
      <c r="F309" s="51" t="s">
        <v>683</v>
      </c>
      <c r="G309" s="51" t="s">
        <v>659</v>
      </c>
      <c r="H309" s="50" t="s">
        <v>684</v>
      </c>
      <c r="I309" s="50" t="s">
        <v>685</v>
      </c>
      <c r="J309" s="1" t="s">
        <v>183</v>
      </c>
      <c r="K309" s="1" t="s">
        <v>141</v>
      </c>
      <c r="L309" s="1">
        <v>1005002416</v>
      </c>
      <c r="M309" s="1" t="s">
        <v>11</v>
      </c>
      <c r="N309" s="1">
        <v>14</v>
      </c>
      <c r="O309" s="47" t="str">
        <f t="shared" si="37"/>
        <v>0-30</v>
      </c>
      <c r="P309" s="1" t="s">
        <v>184</v>
      </c>
      <c r="Q309" s="1">
        <v>1001026268</v>
      </c>
      <c r="R309" s="1">
        <v>1172000000484</v>
      </c>
      <c r="S309" s="1" t="s">
        <v>144</v>
      </c>
      <c r="T309" s="1" t="s">
        <v>145</v>
      </c>
      <c r="U309" s="1" t="s">
        <v>146</v>
      </c>
      <c r="V309" s="1" t="s">
        <v>147</v>
      </c>
      <c r="W309" s="1" t="s">
        <v>148</v>
      </c>
      <c r="X309" s="44">
        <v>5.33</v>
      </c>
      <c r="Y309" s="44">
        <v>0.25</v>
      </c>
      <c r="Z309" s="44">
        <v>0</v>
      </c>
      <c r="AA309" s="44">
        <v>1.9</v>
      </c>
      <c r="AB309" s="44">
        <v>0</v>
      </c>
      <c r="AC309" s="44">
        <v>50000</v>
      </c>
      <c r="AD309" s="45">
        <v>5000000</v>
      </c>
      <c r="AE309" s="45"/>
      <c r="AF309" s="46">
        <v>5000000</v>
      </c>
      <c r="AG309" s="55">
        <f t="shared" si="34"/>
        <v>5000000</v>
      </c>
      <c r="AH309" s="55">
        <f t="shared" si="35"/>
        <v>0</v>
      </c>
      <c r="AI309" s="55">
        <f t="shared" si="36"/>
        <v>0</v>
      </c>
      <c r="AJ309" s="55">
        <f t="shared" si="38"/>
        <v>0</v>
      </c>
    </row>
    <row r="310" spans="1:36" ht="15" customHeight="1">
      <c r="A310" s="1">
        <v>77</v>
      </c>
      <c r="B310" s="1" t="s">
        <v>561</v>
      </c>
      <c r="C310" s="1" t="s">
        <v>562</v>
      </c>
      <c r="D310" s="1" t="s">
        <v>535</v>
      </c>
      <c r="E310" s="1" t="s">
        <v>562</v>
      </c>
      <c r="F310" s="51" t="s">
        <v>683</v>
      </c>
      <c r="G310" s="51" t="s">
        <v>659</v>
      </c>
      <c r="H310" s="50" t="s">
        <v>684</v>
      </c>
      <c r="I310" s="50" t="s">
        <v>685</v>
      </c>
      <c r="J310" s="1" t="s">
        <v>183</v>
      </c>
      <c r="K310" s="1" t="s">
        <v>141</v>
      </c>
      <c r="L310" s="1">
        <v>1005002417</v>
      </c>
      <c r="M310" s="1" t="s">
        <v>11</v>
      </c>
      <c r="N310" s="1">
        <v>14</v>
      </c>
      <c r="O310" s="47" t="str">
        <f t="shared" si="37"/>
        <v>0-30</v>
      </c>
      <c r="P310" s="1" t="s">
        <v>184</v>
      </c>
      <c r="Q310" s="1">
        <v>1001026334</v>
      </c>
      <c r="R310" s="1">
        <v>1172000000485</v>
      </c>
      <c r="S310" s="1" t="s">
        <v>144</v>
      </c>
      <c r="T310" s="1" t="s">
        <v>145</v>
      </c>
      <c r="U310" s="1" t="s">
        <v>146</v>
      </c>
      <c r="V310" s="1" t="s">
        <v>147</v>
      </c>
      <c r="W310" s="1" t="s">
        <v>148</v>
      </c>
      <c r="X310" s="44">
        <v>5.33</v>
      </c>
      <c r="Y310" s="44">
        <v>0.25</v>
      </c>
      <c r="Z310" s="44">
        <v>0</v>
      </c>
      <c r="AA310" s="44">
        <v>1.9</v>
      </c>
      <c r="AB310" s="44">
        <v>0</v>
      </c>
      <c r="AC310" s="44">
        <v>350000</v>
      </c>
      <c r="AD310" s="45">
        <v>35000000</v>
      </c>
      <c r="AE310" s="45"/>
      <c r="AF310" s="46">
        <v>35000000</v>
      </c>
      <c r="AG310" s="55">
        <f t="shared" si="34"/>
        <v>35000000</v>
      </c>
      <c r="AH310" s="55">
        <f t="shared" si="35"/>
        <v>0</v>
      </c>
      <c r="AI310" s="55">
        <f t="shared" si="36"/>
        <v>0</v>
      </c>
      <c r="AJ310" s="55">
        <f t="shared" si="38"/>
        <v>0</v>
      </c>
    </row>
    <row r="311" spans="1:36" ht="15" customHeight="1">
      <c r="A311" s="1">
        <v>77</v>
      </c>
      <c r="B311" s="1" t="s">
        <v>561</v>
      </c>
      <c r="C311" s="1" t="s">
        <v>562</v>
      </c>
      <c r="D311" s="1" t="s">
        <v>535</v>
      </c>
      <c r="E311" s="1" t="s">
        <v>562</v>
      </c>
      <c r="F311" s="51" t="s">
        <v>683</v>
      </c>
      <c r="G311" s="51" t="s">
        <v>659</v>
      </c>
      <c r="H311" s="50" t="s">
        <v>684</v>
      </c>
      <c r="I311" s="50" t="s">
        <v>685</v>
      </c>
      <c r="J311" s="1" t="s">
        <v>183</v>
      </c>
      <c r="K311" s="1" t="s">
        <v>141</v>
      </c>
      <c r="L311" s="1">
        <v>1005002418</v>
      </c>
      <c r="M311" s="1" t="s">
        <v>11</v>
      </c>
      <c r="N311" s="1">
        <v>14</v>
      </c>
      <c r="O311" s="47" t="str">
        <f t="shared" si="37"/>
        <v>0-30</v>
      </c>
      <c r="P311" s="1" t="s">
        <v>184</v>
      </c>
      <c r="Q311" s="1">
        <v>1001026505</v>
      </c>
      <c r="R311" s="1">
        <v>1172000000487</v>
      </c>
      <c r="S311" s="1" t="s">
        <v>144</v>
      </c>
      <c r="T311" s="1" t="s">
        <v>145</v>
      </c>
      <c r="U311" s="1" t="s">
        <v>146</v>
      </c>
      <c r="V311" s="1" t="s">
        <v>147</v>
      </c>
      <c r="W311" s="1" t="s">
        <v>148</v>
      </c>
      <c r="X311" s="44">
        <v>5.33</v>
      </c>
      <c r="Y311" s="44">
        <v>0.25</v>
      </c>
      <c r="Z311" s="44">
        <v>0</v>
      </c>
      <c r="AA311" s="44">
        <v>1.9</v>
      </c>
      <c r="AB311" s="44">
        <v>0</v>
      </c>
      <c r="AC311" s="44">
        <v>250000</v>
      </c>
      <c r="AD311" s="45">
        <v>25000000</v>
      </c>
      <c r="AE311" s="45"/>
      <c r="AF311" s="46">
        <v>25000000</v>
      </c>
      <c r="AG311" s="55">
        <f t="shared" si="34"/>
        <v>25000000</v>
      </c>
      <c r="AH311" s="55">
        <f t="shared" si="35"/>
        <v>0</v>
      </c>
      <c r="AI311" s="55">
        <f t="shared" si="36"/>
        <v>0</v>
      </c>
      <c r="AJ311" s="55">
        <f t="shared" si="38"/>
        <v>0</v>
      </c>
    </row>
    <row r="312" spans="1:36" ht="15" customHeight="1">
      <c r="A312" s="1">
        <v>77</v>
      </c>
      <c r="B312" s="1" t="s">
        <v>561</v>
      </c>
      <c r="C312" s="1" t="s">
        <v>562</v>
      </c>
      <c r="D312" s="1" t="s">
        <v>535</v>
      </c>
      <c r="E312" s="1" t="s">
        <v>562</v>
      </c>
      <c r="F312" s="51" t="s">
        <v>683</v>
      </c>
      <c r="G312" s="51" t="s">
        <v>659</v>
      </c>
      <c r="H312" s="50" t="s">
        <v>684</v>
      </c>
      <c r="I312" s="50" t="s">
        <v>685</v>
      </c>
      <c r="J312" s="1" t="s">
        <v>183</v>
      </c>
      <c r="K312" s="1" t="s">
        <v>141</v>
      </c>
      <c r="L312" s="1">
        <v>1005002419</v>
      </c>
      <c r="M312" s="1" t="s">
        <v>11</v>
      </c>
      <c r="N312" s="1">
        <v>14</v>
      </c>
      <c r="O312" s="47" t="str">
        <f t="shared" si="37"/>
        <v>0-30</v>
      </c>
      <c r="P312" s="1" t="s">
        <v>184</v>
      </c>
      <c r="Q312" s="1">
        <v>1001026533</v>
      </c>
      <c r="R312" s="1">
        <v>1172000000488</v>
      </c>
      <c r="S312" s="1" t="s">
        <v>144</v>
      </c>
      <c r="T312" s="1" t="s">
        <v>145</v>
      </c>
      <c r="U312" s="1" t="s">
        <v>146</v>
      </c>
      <c r="V312" s="1" t="s">
        <v>147</v>
      </c>
      <c r="W312" s="1" t="s">
        <v>148</v>
      </c>
      <c r="X312" s="44">
        <v>5.33</v>
      </c>
      <c r="Y312" s="44">
        <v>0.25</v>
      </c>
      <c r="Z312" s="44">
        <v>0</v>
      </c>
      <c r="AA312" s="44">
        <v>1.9</v>
      </c>
      <c r="AB312" s="44">
        <v>0</v>
      </c>
      <c r="AC312" s="44">
        <v>250000</v>
      </c>
      <c r="AD312" s="45">
        <v>25000000</v>
      </c>
      <c r="AE312" s="45"/>
      <c r="AF312" s="46">
        <v>25000000</v>
      </c>
      <c r="AG312" s="55">
        <f t="shared" si="34"/>
        <v>25000000</v>
      </c>
      <c r="AH312" s="55">
        <f t="shared" si="35"/>
        <v>0</v>
      </c>
      <c r="AI312" s="55">
        <f t="shared" si="36"/>
        <v>0</v>
      </c>
      <c r="AJ312" s="55">
        <f t="shared" si="38"/>
        <v>0</v>
      </c>
    </row>
    <row r="313" spans="1:36" ht="15" customHeight="1">
      <c r="A313" s="1">
        <v>77</v>
      </c>
      <c r="B313" s="1" t="s">
        <v>561</v>
      </c>
      <c r="C313" s="1" t="s">
        <v>562</v>
      </c>
      <c r="D313" s="1" t="s">
        <v>535</v>
      </c>
      <c r="E313" s="1" t="s">
        <v>562</v>
      </c>
      <c r="F313" s="51" t="s">
        <v>683</v>
      </c>
      <c r="G313" s="51" t="s">
        <v>659</v>
      </c>
      <c r="H313" s="50" t="s">
        <v>684</v>
      </c>
      <c r="I313" s="50" t="s">
        <v>685</v>
      </c>
      <c r="J313" s="1" t="s">
        <v>183</v>
      </c>
      <c r="K313" s="1" t="s">
        <v>141</v>
      </c>
      <c r="L313" s="1">
        <v>1005002421</v>
      </c>
      <c r="M313" s="1" t="s">
        <v>11</v>
      </c>
      <c r="N313" s="1">
        <v>14</v>
      </c>
      <c r="O313" s="47" t="str">
        <f t="shared" si="37"/>
        <v>0-30</v>
      </c>
      <c r="P313" s="1" t="s">
        <v>184</v>
      </c>
      <c r="Q313" s="1">
        <v>1001026678</v>
      </c>
      <c r="R313" s="1">
        <v>1172000000490</v>
      </c>
      <c r="S313" s="1" t="s">
        <v>144</v>
      </c>
      <c r="T313" s="1" t="s">
        <v>145</v>
      </c>
      <c r="U313" s="1" t="s">
        <v>146</v>
      </c>
      <c r="V313" s="1" t="s">
        <v>147</v>
      </c>
      <c r="W313" s="1" t="s">
        <v>148</v>
      </c>
      <c r="X313" s="44">
        <v>5.33</v>
      </c>
      <c r="Y313" s="44">
        <v>0.25</v>
      </c>
      <c r="Z313" s="44">
        <v>0</v>
      </c>
      <c r="AA313" s="44">
        <v>1.9</v>
      </c>
      <c r="AB313" s="44">
        <v>0</v>
      </c>
      <c r="AC313" s="44">
        <v>300000</v>
      </c>
      <c r="AD313" s="45">
        <v>30000000</v>
      </c>
      <c r="AE313" s="45"/>
      <c r="AF313" s="46">
        <v>30000000</v>
      </c>
      <c r="AG313" s="55">
        <f t="shared" si="34"/>
        <v>30000000</v>
      </c>
      <c r="AH313" s="55">
        <f t="shared" si="35"/>
        <v>0</v>
      </c>
      <c r="AI313" s="55">
        <f t="shared" si="36"/>
        <v>0</v>
      </c>
      <c r="AJ313" s="55">
        <f t="shared" si="38"/>
        <v>0</v>
      </c>
    </row>
    <row r="314" spans="1:36" ht="15" customHeight="1">
      <c r="A314" s="1">
        <v>77</v>
      </c>
      <c r="B314" s="1" t="s">
        <v>561</v>
      </c>
      <c r="C314" s="1" t="s">
        <v>562</v>
      </c>
      <c r="D314" s="1" t="s">
        <v>535</v>
      </c>
      <c r="E314" s="1" t="s">
        <v>562</v>
      </c>
      <c r="F314" s="51" t="s">
        <v>683</v>
      </c>
      <c r="G314" s="51" t="s">
        <v>659</v>
      </c>
      <c r="H314" s="50" t="s">
        <v>684</v>
      </c>
      <c r="I314" s="50" t="s">
        <v>685</v>
      </c>
      <c r="J314" s="1" t="s">
        <v>183</v>
      </c>
      <c r="K314" s="1" t="s">
        <v>141</v>
      </c>
      <c r="L314" s="1">
        <v>1005002422</v>
      </c>
      <c r="M314" s="1" t="s">
        <v>11</v>
      </c>
      <c r="N314" s="1">
        <v>14</v>
      </c>
      <c r="O314" s="47" t="str">
        <f t="shared" si="37"/>
        <v>0-30</v>
      </c>
      <c r="P314" s="1" t="s">
        <v>184</v>
      </c>
      <c r="Q314" s="1">
        <v>1001026757</v>
      </c>
      <c r="R314" s="1">
        <v>1172000000491</v>
      </c>
      <c r="S314" s="1" t="s">
        <v>144</v>
      </c>
      <c r="T314" s="1" t="s">
        <v>145</v>
      </c>
      <c r="U314" s="1" t="s">
        <v>146</v>
      </c>
      <c r="V314" s="1" t="s">
        <v>147</v>
      </c>
      <c r="W314" s="1" t="s">
        <v>148</v>
      </c>
      <c r="X314" s="44">
        <v>5.33</v>
      </c>
      <c r="Y314" s="44">
        <v>0.25</v>
      </c>
      <c r="Z314" s="44">
        <v>0</v>
      </c>
      <c r="AA314" s="44">
        <v>1.9</v>
      </c>
      <c r="AB314" s="44">
        <v>0</v>
      </c>
      <c r="AC314" s="44">
        <v>300000</v>
      </c>
      <c r="AD314" s="45">
        <v>30000000</v>
      </c>
      <c r="AE314" s="45"/>
      <c r="AF314" s="46">
        <v>30000000</v>
      </c>
      <c r="AG314" s="55">
        <f t="shared" si="34"/>
        <v>30000000</v>
      </c>
      <c r="AH314" s="55">
        <f t="shared" si="35"/>
        <v>0</v>
      </c>
      <c r="AI314" s="55">
        <f t="shared" si="36"/>
        <v>0</v>
      </c>
      <c r="AJ314" s="55">
        <f t="shared" si="38"/>
        <v>0</v>
      </c>
    </row>
    <row r="315" spans="1:36" ht="15" customHeight="1">
      <c r="A315" s="1">
        <v>77</v>
      </c>
      <c r="B315" s="1" t="s">
        <v>561</v>
      </c>
      <c r="C315" s="1" t="s">
        <v>562</v>
      </c>
      <c r="D315" s="1" t="s">
        <v>535</v>
      </c>
      <c r="E315" s="1" t="s">
        <v>562</v>
      </c>
      <c r="F315" s="51" t="s">
        <v>683</v>
      </c>
      <c r="G315" s="51" t="s">
        <v>659</v>
      </c>
      <c r="H315" s="50" t="s">
        <v>684</v>
      </c>
      <c r="I315" s="50" t="s">
        <v>685</v>
      </c>
      <c r="J315" s="1" t="s">
        <v>183</v>
      </c>
      <c r="K315" s="1" t="s">
        <v>141</v>
      </c>
      <c r="L315" s="1">
        <v>1005002423</v>
      </c>
      <c r="M315" s="1" t="s">
        <v>11</v>
      </c>
      <c r="N315" s="1">
        <v>14</v>
      </c>
      <c r="O315" s="47" t="str">
        <f t="shared" si="37"/>
        <v>0-30</v>
      </c>
      <c r="P315" s="1" t="s">
        <v>184</v>
      </c>
      <c r="Q315" s="1">
        <v>1001026827</v>
      </c>
      <c r="R315" s="1">
        <v>1172000000492</v>
      </c>
      <c r="S315" s="1" t="s">
        <v>144</v>
      </c>
      <c r="T315" s="1" t="s">
        <v>145</v>
      </c>
      <c r="U315" s="1" t="s">
        <v>146</v>
      </c>
      <c r="V315" s="1" t="s">
        <v>147</v>
      </c>
      <c r="W315" s="1" t="s">
        <v>148</v>
      </c>
      <c r="X315" s="44">
        <v>5.33</v>
      </c>
      <c r="Y315" s="44">
        <v>0.25</v>
      </c>
      <c r="Z315" s="44">
        <v>0</v>
      </c>
      <c r="AA315" s="44">
        <v>1.9</v>
      </c>
      <c r="AB315" s="44">
        <v>0</v>
      </c>
      <c r="AC315" s="44">
        <v>249800</v>
      </c>
      <c r="AD315" s="45">
        <v>24980000</v>
      </c>
      <c r="AE315" s="45"/>
      <c r="AF315" s="46">
        <v>24980000</v>
      </c>
      <c r="AG315" s="55">
        <f t="shared" si="34"/>
        <v>24980000</v>
      </c>
      <c r="AH315" s="55">
        <f t="shared" si="35"/>
        <v>0</v>
      </c>
      <c r="AI315" s="55">
        <f t="shared" si="36"/>
        <v>0</v>
      </c>
      <c r="AJ315" s="55">
        <f t="shared" si="38"/>
        <v>0</v>
      </c>
    </row>
    <row r="316" spans="1:36" ht="15" customHeight="1">
      <c r="A316" s="1">
        <v>78</v>
      </c>
      <c r="B316" s="1" t="s">
        <v>563</v>
      </c>
      <c r="C316" s="1" t="s">
        <v>551</v>
      </c>
      <c r="D316" s="1" t="s">
        <v>535</v>
      </c>
      <c r="E316" s="1" t="s">
        <v>551</v>
      </c>
      <c r="F316" s="51" t="s">
        <v>683</v>
      </c>
      <c r="G316" s="51" t="s">
        <v>659</v>
      </c>
      <c r="H316" s="50" t="s">
        <v>684</v>
      </c>
      <c r="I316" s="50" t="s">
        <v>685</v>
      </c>
      <c r="J316" s="1" t="s">
        <v>183</v>
      </c>
      <c r="K316" s="1" t="s">
        <v>141</v>
      </c>
      <c r="L316" s="1">
        <v>1005001907</v>
      </c>
      <c r="M316" s="1" t="s">
        <v>102</v>
      </c>
      <c r="N316" s="1">
        <v>88</v>
      </c>
      <c r="O316" s="47" t="str">
        <f t="shared" si="37"/>
        <v>61-90</v>
      </c>
      <c r="P316" s="1" t="s">
        <v>184</v>
      </c>
      <c r="Q316" s="1">
        <v>1001025611</v>
      </c>
      <c r="R316" s="1">
        <v>1182000000318</v>
      </c>
      <c r="S316" s="1" t="s">
        <v>296</v>
      </c>
      <c r="T316" s="1" t="s">
        <v>297</v>
      </c>
      <c r="U316" s="1" t="s">
        <v>146</v>
      </c>
      <c r="V316" s="1" t="s">
        <v>147</v>
      </c>
      <c r="W316" s="1" t="s">
        <v>148</v>
      </c>
      <c r="X316" s="44">
        <v>12.73</v>
      </c>
      <c r="Y316" s="44">
        <v>0.31</v>
      </c>
      <c r="Z316" s="44">
        <v>0</v>
      </c>
      <c r="AA316" s="44">
        <v>0</v>
      </c>
      <c r="AB316" s="44">
        <v>0</v>
      </c>
      <c r="AC316" s="44">
        <v>313900</v>
      </c>
      <c r="AD316" s="45">
        <v>15381100</v>
      </c>
      <c r="AE316" s="45"/>
      <c r="AF316" s="46">
        <v>15381100</v>
      </c>
      <c r="AG316" s="55">
        <f t="shared" si="34"/>
        <v>0</v>
      </c>
      <c r="AH316" s="55">
        <f t="shared" si="35"/>
        <v>0</v>
      </c>
      <c r="AI316" s="55">
        <f t="shared" si="36"/>
        <v>15381100</v>
      </c>
      <c r="AJ316" s="55">
        <f t="shared" si="38"/>
        <v>0</v>
      </c>
    </row>
    <row r="317" spans="1:36" ht="15" customHeight="1">
      <c r="A317" s="1">
        <v>78</v>
      </c>
      <c r="B317" s="1" t="s">
        <v>563</v>
      </c>
      <c r="C317" s="1" t="s">
        <v>551</v>
      </c>
      <c r="D317" s="1" t="s">
        <v>535</v>
      </c>
      <c r="E317" s="1" t="s">
        <v>551</v>
      </c>
      <c r="F317" s="51" t="s">
        <v>683</v>
      </c>
      <c r="G317" s="51" t="s">
        <v>659</v>
      </c>
      <c r="H317" s="50" t="s">
        <v>684</v>
      </c>
      <c r="I317" s="50" t="s">
        <v>685</v>
      </c>
      <c r="J317" s="1" t="s">
        <v>183</v>
      </c>
      <c r="K317" s="1" t="s">
        <v>141</v>
      </c>
      <c r="L317" s="1">
        <v>1005001909</v>
      </c>
      <c r="M317" s="1" t="s">
        <v>102</v>
      </c>
      <c r="N317" s="1">
        <v>88</v>
      </c>
      <c r="O317" s="47" t="str">
        <f t="shared" si="37"/>
        <v>61-90</v>
      </c>
      <c r="P317" s="1" t="s">
        <v>184</v>
      </c>
      <c r="Q317" s="1">
        <v>1001025616</v>
      </c>
      <c r="R317" s="1">
        <v>1182000000317</v>
      </c>
      <c r="S317" s="1" t="s">
        <v>321</v>
      </c>
      <c r="T317" s="1" t="s">
        <v>297</v>
      </c>
      <c r="U317" s="1" t="s">
        <v>146</v>
      </c>
      <c r="V317" s="1" t="s">
        <v>147</v>
      </c>
      <c r="W317" s="1" t="s">
        <v>148</v>
      </c>
      <c r="X317" s="44">
        <v>12.73</v>
      </c>
      <c r="Y317" s="44">
        <v>0.31</v>
      </c>
      <c r="Z317" s="44">
        <v>0</v>
      </c>
      <c r="AA317" s="44">
        <v>0</v>
      </c>
      <c r="AB317" s="44">
        <v>0</v>
      </c>
      <c r="AC317" s="44">
        <v>1442890</v>
      </c>
      <c r="AD317" s="45">
        <v>70701610</v>
      </c>
      <c r="AE317" s="45"/>
      <c r="AF317" s="46">
        <v>70701610</v>
      </c>
      <c r="AG317" s="55">
        <f t="shared" si="34"/>
        <v>0</v>
      </c>
      <c r="AH317" s="55">
        <f t="shared" si="35"/>
        <v>0</v>
      </c>
      <c r="AI317" s="55">
        <f t="shared" si="36"/>
        <v>70701610</v>
      </c>
      <c r="AJ317" s="55">
        <f t="shared" si="38"/>
        <v>0</v>
      </c>
    </row>
    <row r="318" spans="1:36" ht="15" customHeight="1">
      <c r="A318" s="1">
        <v>78</v>
      </c>
      <c r="B318" s="1" t="s">
        <v>563</v>
      </c>
      <c r="C318" s="1" t="s">
        <v>551</v>
      </c>
      <c r="D318" s="1" t="s">
        <v>535</v>
      </c>
      <c r="E318" s="1" t="s">
        <v>551</v>
      </c>
      <c r="F318" s="51" t="s">
        <v>683</v>
      </c>
      <c r="G318" s="51" t="s">
        <v>659</v>
      </c>
      <c r="H318" s="50" t="s">
        <v>684</v>
      </c>
      <c r="I318" s="50" t="s">
        <v>685</v>
      </c>
      <c r="J318" s="1" t="s">
        <v>183</v>
      </c>
      <c r="K318" s="1" t="s">
        <v>141</v>
      </c>
      <c r="L318" s="1">
        <v>1005002435</v>
      </c>
      <c r="M318" s="1" t="s">
        <v>6</v>
      </c>
      <c r="N318" s="1">
        <v>11</v>
      </c>
      <c r="O318" s="47" t="str">
        <f t="shared" si="37"/>
        <v>0-30</v>
      </c>
      <c r="P318" s="1" t="s">
        <v>184</v>
      </c>
      <c r="Q318" s="1">
        <v>1001026534</v>
      </c>
      <c r="R318" s="1">
        <v>1182000000326</v>
      </c>
      <c r="S318" s="1" t="s">
        <v>144</v>
      </c>
      <c r="T318" s="1" t="s">
        <v>145</v>
      </c>
      <c r="U318" s="1" t="s">
        <v>146</v>
      </c>
      <c r="V318" s="1" t="s">
        <v>147</v>
      </c>
      <c r="W318" s="1" t="s">
        <v>148</v>
      </c>
      <c r="X318" s="44">
        <v>5.33</v>
      </c>
      <c r="Y318" s="44">
        <v>0.25</v>
      </c>
      <c r="Z318" s="44">
        <v>0</v>
      </c>
      <c r="AA318" s="44">
        <v>1.56</v>
      </c>
      <c r="AB318" s="44">
        <v>0</v>
      </c>
      <c r="AC318" s="44">
        <v>1956540</v>
      </c>
      <c r="AD318" s="45">
        <v>195654000</v>
      </c>
      <c r="AE318" s="45"/>
      <c r="AF318" s="46">
        <v>195654000</v>
      </c>
      <c r="AG318" s="55">
        <f t="shared" si="34"/>
        <v>195654000</v>
      </c>
      <c r="AH318" s="55">
        <f t="shared" si="35"/>
        <v>0</v>
      </c>
      <c r="AI318" s="55">
        <f t="shared" si="36"/>
        <v>0</v>
      </c>
      <c r="AJ318" s="55">
        <f t="shared" si="38"/>
        <v>0</v>
      </c>
    </row>
    <row r="319" spans="1:36" ht="15" customHeight="1">
      <c r="A319" s="1">
        <v>80</v>
      </c>
      <c r="B319" s="1" t="s">
        <v>571</v>
      </c>
      <c r="C319" s="1" t="s">
        <v>572</v>
      </c>
      <c r="D319" s="1" t="s">
        <v>535</v>
      </c>
      <c r="E319" s="1" t="s">
        <v>572</v>
      </c>
      <c r="F319" s="51" t="s">
        <v>683</v>
      </c>
      <c r="G319" s="51" t="s">
        <v>659</v>
      </c>
      <c r="H319" s="50" t="s">
        <v>684</v>
      </c>
      <c r="I319" s="50" t="s">
        <v>685</v>
      </c>
      <c r="J319" s="1" t="s">
        <v>183</v>
      </c>
      <c r="K319" s="1" t="s">
        <v>141</v>
      </c>
      <c r="L319" s="1">
        <v>1005001908</v>
      </c>
      <c r="M319" s="1" t="s">
        <v>102</v>
      </c>
      <c r="N319" s="1">
        <v>88</v>
      </c>
      <c r="O319" s="47" t="str">
        <f t="shared" si="37"/>
        <v>61-90</v>
      </c>
      <c r="P319" s="1" t="s">
        <v>184</v>
      </c>
      <c r="Q319" s="1">
        <v>1001025612</v>
      </c>
      <c r="R319" s="1">
        <v>1192000000177</v>
      </c>
      <c r="S319" s="1" t="s">
        <v>334</v>
      </c>
      <c r="T319" s="1" t="s">
        <v>297</v>
      </c>
      <c r="U319" s="1" t="s">
        <v>146</v>
      </c>
      <c r="V319" s="1" t="s">
        <v>147</v>
      </c>
      <c r="W319" s="1" t="s">
        <v>148</v>
      </c>
      <c r="X319" s="44">
        <v>12.73</v>
      </c>
      <c r="Y319" s="44">
        <v>0.31</v>
      </c>
      <c r="Z319" s="44">
        <v>0</v>
      </c>
      <c r="AA319" s="44">
        <v>0</v>
      </c>
      <c r="AB319" s="44">
        <v>0</v>
      </c>
      <c r="AC319" s="44">
        <v>157430</v>
      </c>
      <c r="AD319" s="45">
        <v>7714070</v>
      </c>
      <c r="AE319" s="45"/>
      <c r="AF319" s="46">
        <v>7714070</v>
      </c>
      <c r="AG319" s="55">
        <f t="shared" si="34"/>
        <v>0</v>
      </c>
      <c r="AH319" s="55">
        <f t="shared" si="35"/>
        <v>0</v>
      </c>
      <c r="AI319" s="55">
        <f t="shared" si="36"/>
        <v>7714070</v>
      </c>
      <c r="AJ319" s="55">
        <f t="shared" si="38"/>
        <v>0</v>
      </c>
    </row>
    <row r="320" spans="1:36" ht="15" customHeight="1">
      <c r="A320" s="1">
        <v>80</v>
      </c>
      <c r="B320" s="1" t="s">
        <v>571</v>
      </c>
      <c r="C320" s="1" t="s">
        <v>572</v>
      </c>
      <c r="D320" s="1" t="s">
        <v>535</v>
      </c>
      <c r="E320" s="1" t="s">
        <v>572</v>
      </c>
      <c r="F320" s="51" t="s">
        <v>683</v>
      </c>
      <c r="G320" s="51" t="s">
        <v>659</v>
      </c>
      <c r="H320" s="50" t="s">
        <v>684</v>
      </c>
      <c r="I320" s="50" t="s">
        <v>685</v>
      </c>
      <c r="J320" s="1" t="s">
        <v>183</v>
      </c>
      <c r="K320" s="1" t="s">
        <v>141</v>
      </c>
      <c r="L320" s="1">
        <v>1005001910</v>
      </c>
      <c r="M320" s="1" t="s">
        <v>102</v>
      </c>
      <c r="N320" s="1">
        <v>88</v>
      </c>
      <c r="O320" s="47" t="str">
        <f t="shared" si="37"/>
        <v>61-90</v>
      </c>
      <c r="P320" s="1" t="s">
        <v>184</v>
      </c>
      <c r="Q320" s="1">
        <v>1001025618</v>
      </c>
      <c r="R320" s="1">
        <v>1192000000176</v>
      </c>
      <c r="S320" s="1" t="s">
        <v>321</v>
      </c>
      <c r="T320" s="1" t="s">
        <v>297</v>
      </c>
      <c r="U320" s="1" t="s">
        <v>146</v>
      </c>
      <c r="V320" s="1" t="s">
        <v>147</v>
      </c>
      <c r="W320" s="1" t="s">
        <v>148</v>
      </c>
      <c r="X320" s="44">
        <v>12.73</v>
      </c>
      <c r="Y320" s="44">
        <v>0.31</v>
      </c>
      <c r="Z320" s="44">
        <v>0</v>
      </c>
      <c r="AA320" s="44">
        <v>0</v>
      </c>
      <c r="AB320" s="44">
        <v>0</v>
      </c>
      <c r="AC320" s="44">
        <v>335060</v>
      </c>
      <c r="AD320" s="45">
        <v>16417940</v>
      </c>
      <c r="AE320" s="45"/>
      <c r="AF320" s="46">
        <v>16417940</v>
      </c>
      <c r="AG320" s="55">
        <f t="shared" si="34"/>
        <v>0</v>
      </c>
      <c r="AH320" s="55">
        <f t="shared" si="35"/>
        <v>0</v>
      </c>
      <c r="AI320" s="55">
        <f t="shared" si="36"/>
        <v>16417940</v>
      </c>
      <c r="AJ320" s="55">
        <f t="shared" si="38"/>
        <v>0</v>
      </c>
    </row>
    <row r="321" spans="1:36" ht="15" customHeight="1">
      <c r="A321" s="1">
        <v>80</v>
      </c>
      <c r="B321" s="1" t="s">
        <v>571</v>
      </c>
      <c r="C321" s="1" t="s">
        <v>572</v>
      </c>
      <c r="D321" s="1" t="s">
        <v>535</v>
      </c>
      <c r="E321" s="1" t="s">
        <v>572</v>
      </c>
      <c r="F321" s="51" t="s">
        <v>683</v>
      </c>
      <c r="G321" s="51" t="s">
        <v>659</v>
      </c>
      <c r="H321" s="50" t="s">
        <v>684</v>
      </c>
      <c r="I321" s="50" t="s">
        <v>685</v>
      </c>
      <c r="J321" s="1" t="s">
        <v>183</v>
      </c>
      <c r="K321" s="1" t="s">
        <v>141</v>
      </c>
      <c r="L321" s="1">
        <v>1005001914</v>
      </c>
      <c r="M321" s="1" t="s">
        <v>102</v>
      </c>
      <c r="N321" s="1">
        <v>88</v>
      </c>
      <c r="O321" s="47" t="str">
        <f t="shared" si="37"/>
        <v>61-90</v>
      </c>
      <c r="P321" s="1" t="s">
        <v>573</v>
      </c>
      <c r="Q321" s="1">
        <v>1001018904</v>
      </c>
      <c r="R321" s="1">
        <v>1192000000113</v>
      </c>
      <c r="S321" s="1" t="s">
        <v>144</v>
      </c>
      <c r="T321" s="1" t="s">
        <v>145</v>
      </c>
      <c r="U321" s="1" t="s">
        <v>146</v>
      </c>
      <c r="V321" s="1" t="s">
        <v>147</v>
      </c>
      <c r="W321" s="1" t="s">
        <v>148</v>
      </c>
      <c r="X321" s="44">
        <v>9.4700000000000006</v>
      </c>
      <c r="Y321" s="44">
        <v>0.26</v>
      </c>
      <c r="Z321" s="44">
        <v>0</v>
      </c>
      <c r="AA321" s="44">
        <v>0</v>
      </c>
      <c r="AB321" s="44">
        <v>0</v>
      </c>
      <c r="AC321" s="44">
        <v>354180</v>
      </c>
      <c r="AD321" s="45">
        <v>885450000</v>
      </c>
      <c r="AE321" s="45"/>
      <c r="AF321" s="46">
        <v>885450000</v>
      </c>
      <c r="AG321" s="55">
        <f t="shared" si="34"/>
        <v>0</v>
      </c>
      <c r="AH321" s="55">
        <f t="shared" si="35"/>
        <v>0</v>
      </c>
      <c r="AI321" s="55">
        <f t="shared" si="36"/>
        <v>885450000</v>
      </c>
      <c r="AJ321" s="55">
        <f t="shared" si="38"/>
        <v>0</v>
      </c>
    </row>
    <row r="322" spans="1:36" ht="15" customHeight="1">
      <c r="A322" s="1">
        <v>80</v>
      </c>
      <c r="B322" s="1" t="s">
        <v>571</v>
      </c>
      <c r="C322" s="1" t="s">
        <v>572</v>
      </c>
      <c r="D322" s="1" t="s">
        <v>535</v>
      </c>
      <c r="E322" s="1" t="s">
        <v>572</v>
      </c>
      <c r="F322" s="51" t="s">
        <v>683</v>
      </c>
      <c r="G322" s="51" t="s">
        <v>659</v>
      </c>
      <c r="H322" s="50" t="s">
        <v>684</v>
      </c>
      <c r="I322" s="50" t="s">
        <v>685</v>
      </c>
      <c r="J322" s="1" t="s">
        <v>183</v>
      </c>
      <c r="K322" s="1" t="s">
        <v>141</v>
      </c>
      <c r="L322" s="1">
        <v>1005001915</v>
      </c>
      <c r="M322" s="1" t="s">
        <v>102</v>
      </c>
      <c r="N322" s="1">
        <v>88</v>
      </c>
      <c r="O322" s="47" t="str">
        <f t="shared" si="37"/>
        <v>61-90</v>
      </c>
      <c r="P322" s="1" t="s">
        <v>573</v>
      </c>
      <c r="Q322" s="1">
        <v>1001018905</v>
      </c>
      <c r="R322" s="1">
        <v>1192000000114</v>
      </c>
      <c r="S322" s="1" t="s">
        <v>144</v>
      </c>
      <c r="T322" s="1" t="s">
        <v>145</v>
      </c>
      <c r="U322" s="1" t="s">
        <v>146</v>
      </c>
      <c r="V322" s="1" t="s">
        <v>147</v>
      </c>
      <c r="W322" s="1" t="s">
        <v>148</v>
      </c>
      <c r="X322" s="44">
        <v>9.4700000000000006</v>
      </c>
      <c r="Y322" s="44">
        <v>0.26</v>
      </c>
      <c r="Z322" s="44">
        <v>0</v>
      </c>
      <c r="AA322" s="44">
        <v>0</v>
      </c>
      <c r="AB322" s="44">
        <v>0</v>
      </c>
      <c r="AC322" s="44">
        <v>949320</v>
      </c>
      <c r="AD322" s="45">
        <v>2373300000</v>
      </c>
      <c r="AE322" s="45"/>
      <c r="AF322" s="46">
        <v>2373300000</v>
      </c>
      <c r="AG322" s="55">
        <f t="shared" si="34"/>
        <v>0</v>
      </c>
      <c r="AH322" s="55">
        <f t="shared" si="35"/>
        <v>0</v>
      </c>
      <c r="AI322" s="55">
        <f t="shared" si="36"/>
        <v>2373300000</v>
      </c>
      <c r="AJ322" s="55">
        <f t="shared" si="38"/>
        <v>0</v>
      </c>
    </row>
    <row r="323" spans="1:36" ht="15" customHeight="1">
      <c r="A323" s="1">
        <v>80</v>
      </c>
      <c r="B323" s="1" t="s">
        <v>571</v>
      </c>
      <c r="C323" s="1" t="s">
        <v>572</v>
      </c>
      <c r="D323" s="1" t="s">
        <v>535</v>
      </c>
      <c r="E323" s="1" t="s">
        <v>572</v>
      </c>
      <c r="F323" s="51" t="s">
        <v>683</v>
      </c>
      <c r="G323" s="51" t="s">
        <v>659</v>
      </c>
      <c r="H323" s="50" t="s">
        <v>684</v>
      </c>
      <c r="I323" s="50" t="s">
        <v>685</v>
      </c>
      <c r="J323" s="1" t="s">
        <v>183</v>
      </c>
      <c r="K323" s="1" t="s">
        <v>141</v>
      </c>
      <c r="L323" s="1">
        <v>1005002436</v>
      </c>
      <c r="M323" s="1" t="s">
        <v>6</v>
      </c>
      <c r="N323" s="1">
        <v>11</v>
      </c>
      <c r="O323" s="47" t="str">
        <f t="shared" si="37"/>
        <v>0-30</v>
      </c>
      <c r="P323" s="1" t="s">
        <v>573</v>
      </c>
      <c r="Q323" s="1">
        <v>1001018905</v>
      </c>
      <c r="R323" s="1">
        <v>1192000000114</v>
      </c>
      <c r="S323" s="1" t="s">
        <v>144</v>
      </c>
      <c r="T323" s="1" t="s">
        <v>145</v>
      </c>
      <c r="U323" s="1" t="s">
        <v>146</v>
      </c>
      <c r="V323" s="1" t="s">
        <v>147</v>
      </c>
      <c r="W323" s="1" t="s">
        <v>148</v>
      </c>
      <c r="X323" s="44">
        <v>5.33</v>
      </c>
      <c r="Y323" s="44">
        <v>0.25</v>
      </c>
      <c r="Z323" s="44">
        <v>0</v>
      </c>
      <c r="AA323" s="44">
        <v>1.56</v>
      </c>
      <c r="AB323" s="44">
        <v>0</v>
      </c>
      <c r="AC323" s="44">
        <v>995880</v>
      </c>
      <c r="AD323" s="45">
        <v>99588000</v>
      </c>
      <c r="AE323" s="45"/>
      <c r="AF323" s="46">
        <v>99588000</v>
      </c>
      <c r="AG323" s="55">
        <f t="shared" si="34"/>
        <v>99588000</v>
      </c>
      <c r="AH323" s="55">
        <f t="shared" si="35"/>
        <v>0</v>
      </c>
      <c r="AI323" s="55">
        <f t="shared" si="36"/>
        <v>0</v>
      </c>
      <c r="AJ323" s="55">
        <f t="shared" si="38"/>
        <v>0</v>
      </c>
    </row>
    <row r="324" spans="1:36" ht="15" customHeight="1">
      <c r="A324" s="1">
        <v>81</v>
      </c>
      <c r="B324" s="1" t="s">
        <v>574</v>
      </c>
      <c r="C324" s="1" t="s">
        <v>558</v>
      </c>
      <c r="D324" s="1" t="s">
        <v>535</v>
      </c>
      <c r="E324" s="1" t="s">
        <v>558</v>
      </c>
      <c r="F324" s="51" t="s">
        <v>683</v>
      </c>
      <c r="G324" s="51" t="s">
        <v>659</v>
      </c>
      <c r="H324" s="50" t="s">
        <v>684</v>
      </c>
      <c r="I324" s="50" t="s">
        <v>685</v>
      </c>
      <c r="J324" s="1" t="s">
        <v>140</v>
      </c>
      <c r="K324" s="1" t="s">
        <v>141</v>
      </c>
      <c r="L324" s="1">
        <v>1005002411</v>
      </c>
      <c r="M324" s="1" t="s">
        <v>11</v>
      </c>
      <c r="N324" s="1">
        <v>14</v>
      </c>
      <c r="O324" s="47" t="str">
        <f t="shared" ref="O324:O357" si="39">VLOOKUP(N324,$M$1:$N$4,2,TRUE)</f>
        <v>0-30</v>
      </c>
      <c r="P324" s="1" t="s">
        <v>142</v>
      </c>
      <c r="Q324" s="1">
        <v>1001027114</v>
      </c>
      <c r="R324" s="1">
        <v>1312000000394</v>
      </c>
      <c r="S324" s="1" t="s">
        <v>144</v>
      </c>
      <c r="T324" s="1" t="s">
        <v>145</v>
      </c>
      <c r="U324" s="1" t="s">
        <v>146</v>
      </c>
      <c r="V324" s="1" t="s">
        <v>147</v>
      </c>
      <c r="W324" s="1" t="s">
        <v>148</v>
      </c>
      <c r="X324" s="44">
        <v>5.2</v>
      </c>
      <c r="Y324" s="44">
        <v>0.31</v>
      </c>
      <c r="Z324" s="44">
        <v>0</v>
      </c>
      <c r="AA324" s="44">
        <v>0</v>
      </c>
      <c r="AB324" s="44">
        <v>0</v>
      </c>
      <c r="AC324" s="44">
        <v>90370</v>
      </c>
      <c r="AD324" s="45">
        <v>9037000</v>
      </c>
      <c r="AE324" s="45"/>
      <c r="AF324" s="46">
        <v>9037000</v>
      </c>
      <c r="AG324" s="55">
        <f t="shared" ref="AG324:AG357" si="40">IF($O324="0-30",$AF324,0)</f>
        <v>9037000</v>
      </c>
      <c r="AH324" s="55">
        <f t="shared" ref="AH324:AH357" si="41">IF($O324="31-60",$AF324,0)</f>
        <v>0</v>
      </c>
      <c r="AI324" s="55">
        <f t="shared" ref="AI324:AI357" si="42">IF($O324="61-90",$AF324,0)</f>
        <v>0</v>
      </c>
      <c r="AJ324" s="55">
        <f t="shared" si="38"/>
        <v>0</v>
      </c>
    </row>
    <row r="325" spans="1:36" ht="15" customHeight="1">
      <c r="A325" s="1">
        <v>81</v>
      </c>
      <c r="B325" s="1" t="s">
        <v>574</v>
      </c>
      <c r="C325" s="1" t="s">
        <v>558</v>
      </c>
      <c r="D325" s="1" t="s">
        <v>535</v>
      </c>
      <c r="E325" s="1" t="s">
        <v>558</v>
      </c>
      <c r="F325" s="51" t="s">
        <v>683</v>
      </c>
      <c r="G325" s="51" t="s">
        <v>659</v>
      </c>
      <c r="H325" s="50" t="s">
        <v>684</v>
      </c>
      <c r="I325" s="50" t="s">
        <v>685</v>
      </c>
      <c r="J325" s="1" t="s">
        <v>140</v>
      </c>
      <c r="K325" s="1" t="s">
        <v>141</v>
      </c>
      <c r="L325" s="1">
        <v>1005002407</v>
      </c>
      <c r="M325" s="1" t="s">
        <v>90</v>
      </c>
      <c r="N325" s="1">
        <v>15</v>
      </c>
      <c r="O325" s="47" t="str">
        <f t="shared" si="39"/>
        <v>0-30</v>
      </c>
      <c r="P325" s="1" t="s">
        <v>142</v>
      </c>
      <c r="Q325" s="1">
        <v>1001027219</v>
      </c>
      <c r="R325" s="1">
        <v>1312000000395</v>
      </c>
      <c r="S325" s="1" t="s">
        <v>144</v>
      </c>
      <c r="T325" s="1" t="s">
        <v>145</v>
      </c>
      <c r="U325" s="1" t="s">
        <v>146</v>
      </c>
      <c r="V325" s="1" t="s">
        <v>147</v>
      </c>
      <c r="W325" s="1" t="s">
        <v>148</v>
      </c>
      <c r="X325" s="44">
        <v>5.14</v>
      </c>
      <c r="Y325" s="44">
        <v>0.35</v>
      </c>
      <c r="Z325" s="44">
        <v>0</v>
      </c>
      <c r="AA325" s="44">
        <v>0</v>
      </c>
      <c r="AB325" s="44">
        <v>0</v>
      </c>
      <c r="AC325" s="44">
        <v>212100</v>
      </c>
      <c r="AD325" s="45">
        <v>21210000</v>
      </c>
      <c r="AE325" s="45"/>
      <c r="AF325" s="46">
        <v>21210000</v>
      </c>
      <c r="AG325" s="55">
        <f t="shared" si="40"/>
        <v>21210000</v>
      </c>
      <c r="AH325" s="55">
        <f t="shared" si="41"/>
        <v>0</v>
      </c>
      <c r="AI325" s="55">
        <f t="shared" si="42"/>
        <v>0</v>
      </c>
      <c r="AJ325" s="55">
        <f t="shared" si="38"/>
        <v>0</v>
      </c>
    </row>
    <row r="326" spans="1:36" ht="15" customHeight="1">
      <c r="A326" s="1">
        <v>81</v>
      </c>
      <c r="B326" s="1" t="s">
        <v>574</v>
      </c>
      <c r="C326" s="1" t="s">
        <v>558</v>
      </c>
      <c r="D326" s="1" t="s">
        <v>535</v>
      </c>
      <c r="E326" s="1" t="s">
        <v>558</v>
      </c>
      <c r="F326" s="51" t="s">
        <v>683</v>
      </c>
      <c r="G326" s="51" t="s">
        <v>659</v>
      </c>
      <c r="H326" s="50" t="s">
        <v>684</v>
      </c>
      <c r="I326" s="50" t="s">
        <v>685</v>
      </c>
      <c r="J326" s="1" t="s">
        <v>153</v>
      </c>
      <c r="K326" s="1" t="s">
        <v>141</v>
      </c>
      <c r="L326" s="1">
        <v>1005002409</v>
      </c>
      <c r="M326" s="1" t="s">
        <v>90</v>
      </c>
      <c r="N326" s="1">
        <v>15</v>
      </c>
      <c r="O326" s="47" t="str">
        <f t="shared" si="39"/>
        <v>0-30</v>
      </c>
      <c r="P326" s="1" t="s">
        <v>142</v>
      </c>
      <c r="Q326" s="1">
        <v>1001027224</v>
      </c>
      <c r="R326" s="1">
        <v>1312000000396</v>
      </c>
      <c r="S326" s="1" t="s">
        <v>351</v>
      </c>
      <c r="T326" s="1" t="s">
        <v>352</v>
      </c>
      <c r="U326" s="1" t="s">
        <v>146</v>
      </c>
      <c r="V326" s="1" t="s">
        <v>147</v>
      </c>
      <c r="W326" s="1" t="s">
        <v>148</v>
      </c>
      <c r="X326" s="44">
        <v>4.2300000000000004</v>
      </c>
      <c r="Y326" s="44">
        <v>6.94</v>
      </c>
      <c r="Z326" s="44">
        <v>9.02</v>
      </c>
      <c r="AA326" s="44">
        <v>0</v>
      </c>
      <c r="AB326" s="44">
        <v>0</v>
      </c>
      <c r="AC326" s="44">
        <v>7.65</v>
      </c>
      <c r="AD326" s="45">
        <v>87271</v>
      </c>
      <c r="AE326" s="45"/>
      <c r="AF326" s="46">
        <v>87271</v>
      </c>
      <c r="AG326" s="55">
        <f t="shared" si="40"/>
        <v>87271</v>
      </c>
      <c r="AH326" s="55">
        <f t="shared" si="41"/>
        <v>0</v>
      </c>
      <c r="AI326" s="55">
        <f t="shared" si="42"/>
        <v>0</v>
      </c>
      <c r="AJ326" s="55">
        <f t="shared" si="38"/>
        <v>0</v>
      </c>
    </row>
    <row r="327" spans="1:36" ht="15" customHeight="1">
      <c r="A327" s="1">
        <v>81</v>
      </c>
      <c r="B327" s="1" t="s">
        <v>574</v>
      </c>
      <c r="C327" s="1" t="s">
        <v>558</v>
      </c>
      <c r="D327" s="1" t="s">
        <v>535</v>
      </c>
      <c r="E327" s="1" t="s">
        <v>558</v>
      </c>
      <c r="F327" s="51" t="s">
        <v>683</v>
      </c>
      <c r="G327" s="51" t="s">
        <v>659</v>
      </c>
      <c r="H327" s="50" t="s">
        <v>684</v>
      </c>
      <c r="I327" s="50" t="s">
        <v>685</v>
      </c>
      <c r="J327" s="1" t="s">
        <v>140</v>
      </c>
      <c r="K327" s="1" t="s">
        <v>141</v>
      </c>
      <c r="L327" s="1">
        <v>1005002413</v>
      </c>
      <c r="M327" s="1" t="s">
        <v>11</v>
      </c>
      <c r="N327" s="1">
        <v>14</v>
      </c>
      <c r="O327" s="47" t="str">
        <f t="shared" si="39"/>
        <v>0-30</v>
      </c>
      <c r="P327" s="1" t="s">
        <v>142</v>
      </c>
      <c r="Q327" s="1">
        <v>1001027361</v>
      </c>
      <c r="R327" s="1">
        <v>1312000000397</v>
      </c>
      <c r="S327" s="1" t="s">
        <v>144</v>
      </c>
      <c r="T327" s="1" t="s">
        <v>145</v>
      </c>
      <c r="U327" s="1" t="s">
        <v>146</v>
      </c>
      <c r="V327" s="1" t="s">
        <v>147</v>
      </c>
      <c r="W327" s="1" t="s">
        <v>148</v>
      </c>
      <c r="X327" s="44">
        <v>5.39</v>
      </c>
      <c r="Y327" s="44">
        <v>0.32</v>
      </c>
      <c r="Z327" s="44">
        <v>0</v>
      </c>
      <c r="AA327" s="44">
        <v>0</v>
      </c>
      <c r="AB327" s="44">
        <v>0</v>
      </c>
      <c r="AC327" s="44">
        <v>329710</v>
      </c>
      <c r="AD327" s="45">
        <v>47074000</v>
      </c>
      <c r="AE327" s="45"/>
      <c r="AF327" s="46">
        <v>47074000</v>
      </c>
      <c r="AG327" s="55">
        <f t="shared" si="40"/>
        <v>47074000</v>
      </c>
      <c r="AH327" s="55">
        <f t="shared" si="41"/>
        <v>0</v>
      </c>
      <c r="AI327" s="55">
        <f t="shared" si="42"/>
        <v>0</v>
      </c>
      <c r="AJ327" s="55">
        <f t="shared" si="38"/>
        <v>0</v>
      </c>
    </row>
    <row r="328" spans="1:36" ht="15" customHeight="1">
      <c r="A328" s="1">
        <v>83</v>
      </c>
      <c r="B328" s="1" t="s">
        <v>579</v>
      </c>
      <c r="C328" s="1" t="s">
        <v>539</v>
      </c>
      <c r="D328" s="1" t="s">
        <v>535</v>
      </c>
      <c r="E328" s="1" t="s">
        <v>539</v>
      </c>
      <c r="F328" s="51" t="s">
        <v>683</v>
      </c>
      <c r="G328" s="51" t="s">
        <v>659</v>
      </c>
      <c r="H328" s="50" t="s">
        <v>684</v>
      </c>
      <c r="I328" s="50" t="s">
        <v>685</v>
      </c>
      <c r="J328" s="1" t="s">
        <v>153</v>
      </c>
      <c r="K328" s="1" t="s">
        <v>141</v>
      </c>
      <c r="L328" s="1">
        <v>1005002379</v>
      </c>
      <c r="M328" s="1" t="s">
        <v>31</v>
      </c>
      <c r="N328" s="1">
        <v>18</v>
      </c>
      <c r="O328" s="47" t="str">
        <f t="shared" si="39"/>
        <v>0-30</v>
      </c>
      <c r="P328" s="1" t="s">
        <v>142</v>
      </c>
      <c r="Q328" s="1">
        <v>1001026459</v>
      </c>
      <c r="R328" s="1">
        <v>1212000000647</v>
      </c>
      <c r="S328" s="1" t="s">
        <v>351</v>
      </c>
      <c r="T328" s="1" t="s">
        <v>352</v>
      </c>
      <c r="U328" s="1" t="s">
        <v>146</v>
      </c>
      <c r="V328" s="1" t="s">
        <v>147</v>
      </c>
      <c r="W328" s="1" t="s">
        <v>148</v>
      </c>
      <c r="X328" s="44">
        <v>6.09</v>
      </c>
      <c r="Y328" s="44">
        <v>8.5399999999999991</v>
      </c>
      <c r="Z328" s="44">
        <v>7.86</v>
      </c>
      <c r="AA328" s="44">
        <v>0</v>
      </c>
      <c r="AB328" s="44">
        <v>0</v>
      </c>
      <c r="AC328" s="44">
        <v>182.22</v>
      </c>
      <c r="AD328" s="45">
        <v>1897598</v>
      </c>
      <c r="AE328" s="45"/>
      <c r="AF328" s="46">
        <v>1897598</v>
      </c>
      <c r="AG328" s="55">
        <f t="shared" si="40"/>
        <v>1897598</v>
      </c>
      <c r="AH328" s="55">
        <f t="shared" si="41"/>
        <v>0</v>
      </c>
      <c r="AI328" s="55">
        <f t="shared" si="42"/>
        <v>0</v>
      </c>
      <c r="AJ328" s="55">
        <f t="shared" si="38"/>
        <v>0</v>
      </c>
    </row>
    <row r="329" spans="1:36" ht="15" customHeight="1">
      <c r="A329" s="1">
        <v>83</v>
      </c>
      <c r="B329" s="1" t="s">
        <v>579</v>
      </c>
      <c r="C329" s="1" t="s">
        <v>539</v>
      </c>
      <c r="D329" s="1" t="s">
        <v>535</v>
      </c>
      <c r="E329" s="1" t="s">
        <v>539</v>
      </c>
      <c r="F329" s="51" t="s">
        <v>683</v>
      </c>
      <c r="G329" s="51" t="s">
        <v>659</v>
      </c>
      <c r="H329" s="50" t="s">
        <v>684</v>
      </c>
      <c r="I329" s="50" t="s">
        <v>685</v>
      </c>
      <c r="J329" s="1" t="s">
        <v>153</v>
      </c>
      <c r="K329" s="1" t="s">
        <v>141</v>
      </c>
      <c r="L329" s="1">
        <v>1005002380</v>
      </c>
      <c r="M329" s="1" t="s">
        <v>31</v>
      </c>
      <c r="N329" s="1">
        <v>18</v>
      </c>
      <c r="O329" s="47" t="str">
        <f t="shared" si="39"/>
        <v>0-30</v>
      </c>
      <c r="P329" s="1" t="s">
        <v>142</v>
      </c>
      <c r="Q329" s="1">
        <v>1001026459</v>
      </c>
      <c r="R329" s="1">
        <v>1212000000647</v>
      </c>
      <c r="S329" s="1" t="s">
        <v>351</v>
      </c>
      <c r="T329" s="1" t="s">
        <v>352</v>
      </c>
      <c r="U329" s="1" t="s">
        <v>146</v>
      </c>
      <c r="V329" s="1" t="s">
        <v>147</v>
      </c>
      <c r="W329" s="1" t="s">
        <v>148</v>
      </c>
      <c r="X329" s="44">
        <v>5.72</v>
      </c>
      <c r="Y329" s="44">
        <v>9.0500000000000007</v>
      </c>
      <c r="Z329" s="44">
        <v>7.82</v>
      </c>
      <c r="AA329" s="44">
        <v>0</v>
      </c>
      <c r="AB329" s="44">
        <v>0</v>
      </c>
      <c r="AC329" s="44">
        <v>188.53</v>
      </c>
      <c r="AD329" s="45">
        <v>1963350</v>
      </c>
      <c r="AE329" s="45"/>
      <c r="AF329" s="46">
        <v>1963350</v>
      </c>
      <c r="AG329" s="55">
        <f t="shared" si="40"/>
        <v>1963350</v>
      </c>
      <c r="AH329" s="55">
        <f t="shared" si="41"/>
        <v>0</v>
      </c>
      <c r="AI329" s="55">
        <f t="shared" si="42"/>
        <v>0</v>
      </c>
      <c r="AJ329" s="55">
        <f t="shared" si="38"/>
        <v>0</v>
      </c>
    </row>
    <row r="330" spans="1:36" ht="15" customHeight="1">
      <c r="A330" s="1">
        <v>83</v>
      </c>
      <c r="B330" s="1" t="s">
        <v>579</v>
      </c>
      <c r="C330" s="1" t="s">
        <v>539</v>
      </c>
      <c r="D330" s="1" t="s">
        <v>535</v>
      </c>
      <c r="E330" s="1" t="s">
        <v>539</v>
      </c>
      <c r="F330" s="51" t="s">
        <v>683</v>
      </c>
      <c r="G330" s="51" t="s">
        <v>659</v>
      </c>
      <c r="H330" s="50" t="s">
        <v>684</v>
      </c>
      <c r="I330" s="50" t="s">
        <v>685</v>
      </c>
      <c r="J330" s="1" t="s">
        <v>153</v>
      </c>
      <c r="K330" s="1" t="s">
        <v>141</v>
      </c>
      <c r="L330" s="1">
        <v>1005002318</v>
      </c>
      <c r="M330" s="1" t="s">
        <v>10</v>
      </c>
      <c r="N330" s="1">
        <v>31</v>
      </c>
      <c r="O330" s="47" t="str">
        <f t="shared" si="39"/>
        <v>31-60</v>
      </c>
      <c r="P330" s="1" t="s">
        <v>142</v>
      </c>
      <c r="Q330" s="1">
        <v>1001026649</v>
      </c>
      <c r="R330" s="1">
        <v>1212000000649</v>
      </c>
      <c r="S330" s="1" t="s">
        <v>144</v>
      </c>
      <c r="T330" s="1" t="s">
        <v>145</v>
      </c>
      <c r="U330" s="1" t="s">
        <v>146</v>
      </c>
      <c r="V330" s="1" t="s">
        <v>147</v>
      </c>
      <c r="W330" s="1" t="s">
        <v>148</v>
      </c>
      <c r="X330" s="44">
        <v>9.89</v>
      </c>
      <c r="Y330" s="44">
        <v>0.42</v>
      </c>
      <c r="Z330" s="44">
        <v>0</v>
      </c>
      <c r="AA330" s="44">
        <v>0</v>
      </c>
      <c r="AB330" s="44">
        <v>0</v>
      </c>
      <c r="AC330" s="44">
        <v>100000</v>
      </c>
      <c r="AD330" s="45">
        <v>179055000</v>
      </c>
      <c r="AE330" s="45"/>
      <c r="AF330" s="46">
        <v>179055000</v>
      </c>
      <c r="AG330" s="55">
        <f t="shared" si="40"/>
        <v>0</v>
      </c>
      <c r="AH330" s="55">
        <f t="shared" si="41"/>
        <v>179055000</v>
      </c>
      <c r="AI330" s="55">
        <f t="shared" si="42"/>
        <v>0</v>
      </c>
      <c r="AJ330" s="55">
        <f t="shared" si="38"/>
        <v>0</v>
      </c>
    </row>
    <row r="331" spans="1:36" ht="15" customHeight="1">
      <c r="A331" s="1">
        <v>83</v>
      </c>
      <c r="B331" s="1" t="s">
        <v>579</v>
      </c>
      <c r="C331" s="1" t="s">
        <v>539</v>
      </c>
      <c r="D331" s="1" t="s">
        <v>535</v>
      </c>
      <c r="E331" s="1" t="s">
        <v>539</v>
      </c>
      <c r="F331" s="51" t="s">
        <v>683</v>
      </c>
      <c r="G331" s="51" t="s">
        <v>659</v>
      </c>
      <c r="H331" s="50" t="s">
        <v>684</v>
      </c>
      <c r="I331" s="50" t="s">
        <v>685</v>
      </c>
      <c r="J331" s="1" t="s">
        <v>153</v>
      </c>
      <c r="K331" s="1" t="s">
        <v>141</v>
      </c>
      <c r="L331" s="1">
        <v>1005002319</v>
      </c>
      <c r="M331" s="1" t="s">
        <v>10</v>
      </c>
      <c r="N331" s="1">
        <v>31</v>
      </c>
      <c r="O331" s="47" t="str">
        <f t="shared" si="39"/>
        <v>31-60</v>
      </c>
      <c r="P331" s="1" t="s">
        <v>142</v>
      </c>
      <c r="Q331" s="1">
        <v>1001027220</v>
      </c>
      <c r="R331" s="1">
        <v>1212000000657</v>
      </c>
      <c r="S331" s="1" t="s">
        <v>144</v>
      </c>
      <c r="T331" s="1" t="s">
        <v>145</v>
      </c>
      <c r="U331" s="1" t="s">
        <v>146</v>
      </c>
      <c r="V331" s="1" t="s">
        <v>147</v>
      </c>
      <c r="W331" s="1" t="s">
        <v>148</v>
      </c>
      <c r="X331" s="44">
        <v>10.65</v>
      </c>
      <c r="Y331" s="44">
        <v>0.43</v>
      </c>
      <c r="Z331" s="44">
        <v>0</v>
      </c>
      <c r="AA331" s="44">
        <v>0</v>
      </c>
      <c r="AB331" s="44">
        <v>0</v>
      </c>
      <c r="AC331" s="44">
        <v>100000</v>
      </c>
      <c r="AD331" s="45">
        <v>225000000</v>
      </c>
      <c r="AE331" s="45"/>
      <c r="AF331" s="46">
        <v>225000000</v>
      </c>
      <c r="AG331" s="55">
        <f t="shared" si="40"/>
        <v>0</v>
      </c>
      <c r="AH331" s="55">
        <f t="shared" si="41"/>
        <v>225000000</v>
      </c>
      <c r="AI331" s="55">
        <f t="shared" si="42"/>
        <v>0</v>
      </c>
      <c r="AJ331" s="55">
        <f t="shared" si="38"/>
        <v>0</v>
      </c>
    </row>
    <row r="332" spans="1:36" ht="15" customHeight="1">
      <c r="A332" s="1">
        <v>84</v>
      </c>
      <c r="B332" s="1" t="s">
        <v>580</v>
      </c>
      <c r="C332" s="1" t="s">
        <v>581</v>
      </c>
      <c r="D332" s="1" t="s">
        <v>535</v>
      </c>
      <c r="E332" s="1" t="s">
        <v>581</v>
      </c>
      <c r="F332" s="51" t="s">
        <v>683</v>
      </c>
      <c r="G332" s="51" t="s">
        <v>659</v>
      </c>
      <c r="H332" s="50" t="s">
        <v>684</v>
      </c>
      <c r="I332" s="50" t="s">
        <v>685</v>
      </c>
      <c r="J332" s="1" t="s">
        <v>140</v>
      </c>
      <c r="K332" s="1" t="s">
        <v>141</v>
      </c>
      <c r="L332" s="1">
        <v>1365000219</v>
      </c>
      <c r="M332" s="1" t="s">
        <v>60</v>
      </c>
      <c r="N332" s="1">
        <v>21</v>
      </c>
      <c r="O332" s="47" t="str">
        <f t="shared" si="39"/>
        <v>0-30</v>
      </c>
      <c r="P332" s="1" t="s">
        <v>542</v>
      </c>
      <c r="Q332" s="1">
        <v>1361001929</v>
      </c>
      <c r="R332" s="1">
        <v>1222000000307</v>
      </c>
      <c r="S332" s="1" t="s">
        <v>178</v>
      </c>
      <c r="T332" s="1" t="s">
        <v>179</v>
      </c>
      <c r="U332" s="1" t="s">
        <v>146</v>
      </c>
      <c r="V332" s="1" t="s">
        <v>147</v>
      </c>
      <c r="W332" s="1" t="s">
        <v>228</v>
      </c>
      <c r="X332" s="44">
        <v>0</v>
      </c>
      <c r="Y332" s="44">
        <v>21.45</v>
      </c>
      <c r="Z332" s="44">
        <v>0.53</v>
      </c>
      <c r="AA332" s="44">
        <v>0</v>
      </c>
      <c r="AB332" s="44">
        <v>0</v>
      </c>
      <c r="AC332" s="44">
        <v>1454.64</v>
      </c>
      <c r="AD332" s="45">
        <v>1280083</v>
      </c>
      <c r="AE332" s="45"/>
      <c r="AF332" s="46">
        <v>1280083</v>
      </c>
      <c r="AG332" s="55">
        <f t="shared" si="40"/>
        <v>1280083</v>
      </c>
      <c r="AH332" s="55">
        <f t="shared" si="41"/>
        <v>0</v>
      </c>
      <c r="AI332" s="55">
        <f t="shared" si="42"/>
        <v>0</v>
      </c>
      <c r="AJ332" s="55">
        <f t="shared" si="38"/>
        <v>0</v>
      </c>
    </row>
    <row r="333" spans="1:36" ht="15" customHeight="1">
      <c r="A333" s="1">
        <v>85</v>
      </c>
      <c r="B333" s="1" t="s">
        <v>582</v>
      </c>
      <c r="C333" s="1" t="s">
        <v>583</v>
      </c>
      <c r="D333" s="1" t="s">
        <v>584</v>
      </c>
      <c r="E333" s="1" t="s">
        <v>585</v>
      </c>
      <c r="F333" s="54" t="s">
        <v>674</v>
      </c>
      <c r="G333" s="54" t="s">
        <v>655</v>
      </c>
      <c r="H333" s="50" t="s">
        <v>675</v>
      </c>
      <c r="I333" s="50" t="s">
        <v>657</v>
      </c>
      <c r="J333" s="1" t="s">
        <v>140</v>
      </c>
      <c r="K333" s="1" t="s">
        <v>141</v>
      </c>
      <c r="L333" s="1">
        <v>1005000834</v>
      </c>
      <c r="M333" s="1" t="s">
        <v>112</v>
      </c>
      <c r="N333" s="1">
        <v>267</v>
      </c>
      <c r="O333" s="47" t="str">
        <f t="shared" si="39"/>
        <v>&gt; 91 Days</v>
      </c>
      <c r="P333" s="1" t="s">
        <v>142</v>
      </c>
      <c r="Q333" s="1">
        <v>1001021552</v>
      </c>
      <c r="R333" s="1" t="s">
        <v>586</v>
      </c>
      <c r="S333" s="1" t="s">
        <v>144</v>
      </c>
      <c r="T333" s="1" t="s">
        <v>145</v>
      </c>
      <c r="U333" s="1" t="s">
        <v>146</v>
      </c>
      <c r="V333" s="1" t="s">
        <v>147</v>
      </c>
      <c r="W333" s="1" t="s">
        <v>148</v>
      </c>
      <c r="X333" s="44">
        <v>0</v>
      </c>
      <c r="Y333" s="44">
        <v>0</v>
      </c>
      <c r="Z333" s="44">
        <v>0</v>
      </c>
      <c r="AA333" s="44">
        <v>0</v>
      </c>
      <c r="AB333" s="44">
        <v>0</v>
      </c>
      <c r="AC333" s="44">
        <v>5220</v>
      </c>
      <c r="AD333" s="45">
        <v>4567500</v>
      </c>
      <c r="AE333" s="45"/>
      <c r="AF333" s="46">
        <v>4567500</v>
      </c>
      <c r="AG333" s="55">
        <f t="shared" si="40"/>
        <v>0</v>
      </c>
      <c r="AH333" s="55">
        <f t="shared" si="41"/>
        <v>0</v>
      </c>
      <c r="AI333" s="55">
        <f t="shared" si="42"/>
        <v>0</v>
      </c>
      <c r="AJ333" s="55">
        <f t="shared" ref="AJ333:AJ357" si="43">IF($O333="&gt; 91 Days",$AF333,0)</f>
        <v>4567500</v>
      </c>
    </row>
    <row r="334" spans="1:36" ht="15" customHeight="1">
      <c r="A334" s="1">
        <v>85</v>
      </c>
      <c r="B334" s="1" t="s">
        <v>582</v>
      </c>
      <c r="C334" s="1" t="s">
        <v>583</v>
      </c>
      <c r="D334" s="1" t="s">
        <v>584</v>
      </c>
      <c r="E334" s="1" t="s">
        <v>587</v>
      </c>
      <c r="F334" s="54" t="s">
        <v>674</v>
      </c>
      <c r="G334" s="54" t="s">
        <v>655</v>
      </c>
      <c r="H334" s="50" t="s">
        <v>675</v>
      </c>
      <c r="I334" s="50" t="s">
        <v>657</v>
      </c>
      <c r="J334" s="1" t="s">
        <v>170</v>
      </c>
      <c r="K334" s="1" t="s">
        <v>141</v>
      </c>
      <c r="L334" s="1">
        <v>1005000856</v>
      </c>
      <c r="M334" s="1" t="s">
        <v>113</v>
      </c>
      <c r="N334" s="1">
        <v>263</v>
      </c>
      <c r="O334" s="47" t="str">
        <f t="shared" si="39"/>
        <v>&gt; 91 Days</v>
      </c>
      <c r="P334" s="1" t="s">
        <v>184</v>
      </c>
      <c r="Q334" s="1">
        <v>1001020884</v>
      </c>
      <c r="R334" s="1">
        <v>6030100749</v>
      </c>
      <c r="S334" s="1" t="s">
        <v>144</v>
      </c>
      <c r="T334" s="1" t="s">
        <v>145</v>
      </c>
      <c r="U334" s="1" t="s">
        <v>146</v>
      </c>
      <c r="V334" s="1" t="s">
        <v>147</v>
      </c>
      <c r="W334" s="1" t="s">
        <v>148</v>
      </c>
      <c r="X334" s="44">
        <v>0</v>
      </c>
      <c r="Y334" s="44">
        <v>0</v>
      </c>
      <c r="Z334" s="44">
        <v>0</v>
      </c>
      <c r="AA334" s="44">
        <v>0</v>
      </c>
      <c r="AB334" s="44">
        <v>0</v>
      </c>
      <c r="AC334" s="44">
        <v>12110</v>
      </c>
      <c r="AD334" s="45">
        <v>42385000</v>
      </c>
      <c r="AE334" s="45"/>
      <c r="AF334" s="46">
        <v>42385000</v>
      </c>
      <c r="AG334" s="55">
        <f t="shared" si="40"/>
        <v>0</v>
      </c>
      <c r="AH334" s="55">
        <f t="shared" si="41"/>
        <v>0</v>
      </c>
      <c r="AI334" s="55">
        <f t="shared" si="42"/>
        <v>0</v>
      </c>
      <c r="AJ334" s="55">
        <f t="shared" si="43"/>
        <v>42385000</v>
      </c>
    </row>
    <row r="335" spans="1:36" ht="15" customHeight="1">
      <c r="A335" s="1">
        <v>85</v>
      </c>
      <c r="B335" s="1" t="s">
        <v>582</v>
      </c>
      <c r="C335" s="1" t="s">
        <v>583</v>
      </c>
      <c r="D335" s="1" t="s">
        <v>584</v>
      </c>
      <c r="E335" s="1" t="s">
        <v>587</v>
      </c>
      <c r="F335" s="54" t="s">
        <v>674</v>
      </c>
      <c r="G335" s="54" t="s">
        <v>655</v>
      </c>
      <c r="H335" s="50" t="s">
        <v>675</v>
      </c>
      <c r="I335" s="50" t="s">
        <v>657</v>
      </c>
      <c r="J335" s="1" t="s">
        <v>183</v>
      </c>
      <c r="K335" s="1" t="s">
        <v>141</v>
      </c>
      <c r="L335" s="1">
        <v>1005001380</v>
      </c>
      <c r="M335" s="1" t="s">
        <v>114</v>
      </c>
      <c r="N335" s="1">
        <v>172</v>
      </c>
      <c r="O335" s="47" t="str">
        <f t="shared" si="39"/>
        <v>&gt; 91 Days</v>
      </c>
      <c r="P335" s="1" t="s">
        <v>184</v>
      </c>
      <c r="Q335" s="1">
        <v>1001024105</v>
      </c>
      <c r="R335" s="1">
        <v>6030100814</v>
      </c>
      <c r="S335" s="1" t="s">
        <v>144</v>
      </c>
      <c r="T335" s="1" t="s">
        <v>145</v>
      </c>
      <c r="U335" s="1" t="s">
        <v>146</v>
      </c>
      <c r="V335" s="1" t="s">
        <v>147</v>
      </c>
      <c r="W335" s="1" t="s">
        <v>148</v>
      </c>
      <c r="X335" s="44">
        <v>3.15</v>
      </c>
      <c r="Y335" s="44">
        <v>1.42</v>
      </c>
      <c r="Z335" s="44">
        <v>0</v>
      </c>
      <c r="AA335" s="44">
        <v>0</v>
      </c>
      <c r="AB335" s="44">
        <v>0</v>
      </c>
      <c r="AC335" s="44">
        <v>143.52000000000001</v>
      </c>
      <c r="AD335" s="45">
        <v>2034970</v>
      </c>
      <c r="AE335" s="45"/>
      <c r="AF335" s="46">
        <v>2034970</v>
      </c>
      <c r="AG335" s="55">
        <f t="shared" si="40"/>
        <v>0</v>
      </c>
      <c r="AH335" s="55">
        <f t="shared" si="41"/>
        <v>0</v>
      </c>
      <c r="AI335" s="55">
        <f t="shared" si="42"/>
        <v>0</v>
      </c>
      <c r="AJ335" s="55">
        <f t="shared" si="43"/>
        <v>2034970</v>
      </c>
    </row>
    <row r="336" spans="1:36" ht="15" customHeight="1">
      <c r="A336" s="1">
        <v>85</v>
      </c>
      <c r="B336" s="1" t="s">
        <v>582</v>
      </c>
      <c r="C336" s="1" t="s">
        <v>583</v>
      </c>
      <c r="D336" s="1" t="s">
        <v>584</v>
      </c>
      <c r="E336" s="1" t="s">
        <v>588</v>
      </c>
      <c r="F336" s="54" t="s">
        <v>674</v>
      </c>
      <c r="G336" s="54" t="s">
        <v>655</v>
      </c>
      <c r="H336" s="50" t="s">
        <v>675</v>
      </c>
      <c r="I336" s="50" t="s">
        <v>665</v>
      </c>
      <c r="J336" s="1" t="s">
        <v>170</v>
      </c>
      <c r="K336" s="1" t="s">
        <v>141</v>
      </c>
      <c r="L336" s="1">
        <v>9091000048</v>
      </c>
      <c r="M336" s="1" t="s">
        <v>115</v>
      </c>
      <c r="N336" s="1">
        <v>522</v>
      </c>
      <c r="O336" s="47" t="str">
        <f t="shared" si="39"/>
        <v>&gt; 91 Days</v>
      </c>
      <c r="P336" s="1" t="s">
        <v>184</v>
      </c>
      <c r="Q336" s="1">
        <v>9091000439</v>
      </c>
      <c r="R336" s="1" t="s">
        <v>589</v>
      </c>
      <c r="S336" s="1" t="s">
        <v>144</v>
      </c>
      <c r="T336" s="1" t="s">
        <v>145</v>
      </c>
      <c r="U336" s="1" t="s">
        <v>146</v>
      </c>
      <c r="V336" s="1" t="s">
        <v>147</v>
      </c>
      <c r="W336" s="1" t="s">
        <v>141</v>
      </c>
      <c r="X336" s="44">
        <v>0</v>
      </c>
      <c r="Y336" s="44">
        <v>0</v>
      </c>
      <c r="Z336" s="44">
        <v>0</v>
      </c>
      <c r="AA336" s="44">
        <v>0</v>
      </c>
      <c r="AB336" s="44">
        <v>0</v>
      </c>
      <c r="AC336" s="44">
        <v>50.54</v>
      </c>
      <c r="AD336" s="45">
        <v>634681</v>
      </c>
      <c r="AE336" s="45"/>
      <c r="AF336" s="46">
        <v>634681</v>
      </c>
      <c r="AG336" s="55">
        <f t="shared" si="40"/>
        <v>0</v>
      </c>
      <c r="AH336" s="55">
        <f t="shared" si="41"/>
        <v>0</v>
      </c>
      <c r="AI336" s="55">
        <f t="shared" si="42"/>
        <v>0</v>
      </c>
      <c r="AJ336" s="55">
        <f t="shared" si="43"/>
        <v>634681</v>
      </c>
    </row>
    <row r="337" spans="1:36" ht="15" customHeight="1">
      <c r="A337" s="1">
        <v>86</v>
      </c>
      <c r="B337" s="1" t="s">
        <v>590</v>
      </c>
      <c r="C337" s="1" t="s">
        <v>591</v>
      </c>
      <c r="D337" s="1" t="s">
        <v>592</v>
      </c>
      <c r="E337" s="1" t="s">
        <v>591</v>
      </c>
      <c r="F337" s="54" t="s">
        <v>661</v>
      </c>
      <c r="G337" s="54" t="s">
        <v>659</v>
      </c>
      <c r="H337" s="50" t="s">
        <v>660</v>
      </c>
      <c r="I337" s="50" t="s">
        <v>657</v>
      </c>
      <c r="J337" s="1" t="s">
        <v>140</v>
      </c>
      <c r="K337" s="1" t="s">
        <v>141</v>
      </c>
      <c r="L337" s="1">
        <v>1005001781</v>
      </c>
      <c r="M337" s="1" t="s">
        <v>116</v>
      </c>
      <c r="N337" s="1">
        <v>101</v>
      </c>
      <c r="O337" s="47" t="str">
        <f t="shared" si="39"/>
        <v>&gt; 91 Days</v>
      </c>
      <c r="P337" s="1" t="s">
        <v>142</v>
      </c>
      <c r="Q337" s="1">
        <v>1001023656</v>
      </c>
      <c r="R337" s="1">
        <v>1232000000632</v>
      </c>
      <c r="S337" s="1" t="s">
        <v>144</v>
      </c>
      <c r="T337" s="1" t="s">
        <v>145</v>
      </c>
      <c r="U337" s="1" t="s">
        <v>146</v>
      </c>
      <c r="V337" s="1" t="s">
        <v>147</v>
      </c>
      <c r="W337" s="1" t="s">
        <v>148</v>
      </c>
      <c r="X337" s="44">
        <v>4.8</v>
      </c>
      <c r="Y337" s="44">
        <v>1.04</v>
      </c>
      <c r="Z337" s="44">
        <v>0</v>
      </c>
      <c r="AA337" s="44">
        <v>0</v>
      </c>
      <c r="AB337" s="44">
        <v>0</v>
      </c>
      <c r="AC337" s="44">
        <v>111.24</v>
      </c>
      <c r="AD337" s="45">
        <v>1432549</v>
      </c>
      <c r="AE337" s="45"/>
      <c r="AF337" s="46">
        <v>1432549</v>
      </c>
      <c r="AG337" s="55">
        <f t="shared" si="40"/>
        <v>0</v>
      </c>
      <c r="AH337" s="55">
        <f t="shared" si="41"/>
        <v>0</v>
      </c>
      <c r="AI337" s="55">
        <f t="shared" si="42"/>
        <v>0</v>
      </c>
      <c r="AJ337" s="55">
        <f t="shared" si="43"/>
        <v>1432549</v>
      </c>
    </row>
    <row r="338" spans="1:36" ht="15" customHeight="1">
      <c r="A338" s="1">
        <v>87</v>
      </c>
      <c r="B338" s="1" t="s">
        <v>593</v>
      </c>
      <c r="C338" s="1" t="s">
        <v>594</v>
      </c>
      <c r="D338" s="1" t="s">
        <v>595</v>
      </c>
      <c r="E338" s="1" t="s">
        <v>596</v>
      </c>
      <c r="F338" s="51" t="s">
        <v>677</v>
      </c>
      <c r="G338" s="51" t="s">
        <v>664</v>
      </c>
      <c r="H338" s="50" t="s">
        <v>660</v>
      </c>
      <c r="I338" s="50" t="s">
        <v>657</v>
      </c>
      <c r="J338" s="1" t="s">
        <v>183</v>
      </c>
      <c r="K338" s="1" t="s">
        <v>141</v>
      </c>
      <c r="L338" s="1">
        <v>9201000010</v>
      </c>
      <c r="M338" s="1" t="s">
        <v>117</v>
      </c>
      <c r="N338" s="1">
        <v>582</v>
      </c>
      <c r="O338" s="47" t="str">
        <f t="shared" si="39"/>
        <v>&gt; 91 Days</v>
      </c>
      <c r="P338" s="1" t="s">
        <v>597</v>
      </c>
      <c r="Q338" s="1">
        <v>1011001594</v>
      </c>
      <c r="R338" s="1" t="s">
        <v>598</v>
      </c>
      <c r="S338" s="1" t="s">
        <v>144</v>
      </c>
      <c r="T338" s="1" t="s">
        <v>145</v>
      </c>
      <c r="U338" s="1" t="s">
        <v>146</v>
      </c>
      <c r="V338" s="1" t="s">
        <v>147</v>
      </c>
      <c r="W338" s="1" t="s">
        <v>346</v>
      </c>
      <c r="X338" s="44">
        <v>0</v>
      </c>
      <c r="Y338" s="44">
        <v>0</v>
      </c>
      <c r="Z338" s="44">
        <v>0</v>
      </c>
      <c r="AA338" s="44">
        <v>0</v>
      </c>
      <c r="AB338" s="44">
        <v>0</v>
      </c>
      <c r="AC338" s="44">
        <v>175.64</v>
      </c>
      <c r="AD338" s="45">
        <v>2224129</v>
      </c>
      <c r="AE338" s="45"/>
      <c r="AF338" s="46">
        <v>2224129</v>
      </c>
      <c r="AG338" s="55">
        <f t="shared" si="40"/>
        <v>0</v>
      </c>
      <c r="AH338" s="55">
        <f t="shared" si="41"/>
        <v>0</v>
      </c>
      <c r="AI338" s="55">
        <f t="shared" si="42"/>
        <v>0</v>
      </c>
      <c r="AJ338" s="55">
        <f t="shared" si="43"/>
        <v>2224129</v>
      </c>
    </row>
    <row r="339" spans="1:36" ht="15" customHeight="1">
      <c r="A339" s="1">
        <v>88</v>
      </c>
      <c r="B339" s="1" t="s">
        <v>599</v>
      </c>
      <c r="C339" s="1" t="s">
        <v>600</v>
      </c>
      <c r="D339" s="1" t="s">
        <v>601</v>
      </c>
      <c r="E339" s="1" t="s">
        <v>602</v>
      </c>
      <c r="F339" s="51" t="s">
        <v>682</v>
      </c>
      <c r="G339" s="54" t="s">
        <v>659</v>
      </c>
      <c r="H339" s="50" t="s">
        <v>675</v>
      </c>
      <c r="I339" s="50" t="s">
        <v>657</v>
      </c>
      <c r="J339" s="1" t="s">
        <v>170</v>
      </c>
      <c r="K339" s="1" t="s">
        <v>141</v>
      </c>
      <c r="L339" s="1">
        <v>1352</v>
      </c>
      <c r="M339" s="1" t="s">
        <v>118</v>
      </c>
      <c r="N339" s="1">
        <v>606</v>
      </c>
      <c r="O339" s="47" t="str">
        <f t="shared" si="39"/>
        <v>&gt; 91 Days</v>
      </c>
      <c r="P339" s="1" t="s">
        <v>184</v>
      </c>
      <c r="Q339" s="1">
        <v>1001016114</v>
      </c>
      <c r="R339" s="1" t="s">
        <v>282</v>
      </c>
      <c r="S339" s="1" t="s">
        <v>178</v>
      </c>
      <c r="T339" s="1" t="s">
        <v>179</v>
      </c>
      <c r="U339" s="1" t="s">
        <v>146</v>
      </c>
      <c r="V339" s="1" t="s">
        <v>147</v>
      </c>
      <c r="W339" s="1" t="s">
        <v>148</v>
      </c>
      <c r="X339" s="44">
        <v>0</v>
      </c>
      <c r="Y339" s="44">
        <v>0</v>
      </c>
      <c r="Z339" s="44">
        <v>0</v>
      </c>
      <c r="AA339" s="44">
        <v>0</v>
      </c>
      <c r="AB339" s="44">
        <v>0</v>
      </c>
      <c r="AC339" s="44">
        <v>12491.01</v>
      </c>
      <c r="AD339" s="45">
        <v>7494607</v>
      </c>
      <c r="AE339" s="45"/>
      <c r="AF339" s="46">
        <v>7494607</v>
      </c>
      <c r="AG339" s="55">
        <f t="shared" si="40"/>
        <v>0</v>
      </c>
      <c r="AH339" s="55">
        <f t="shared" si="41"/>
        <v>0</v>
      </c>
      <c r="AI339" s="55">
        <f t="shared" si="42"/>
        <v>0</v>
      </c>
      <c r="AJ339" s="55">
        <f t="shared" si="43"/>
        <v>7494607</v>
      </c>
    </row>
    <row r="340" spans="1:36" ht="15" customHeight="1">
      <c r="A340" s="1">
        <v>89</v>
      </c>
      <c r="B340" s="1" t="s">
        <v>603</v>
      </c>
      <c r="C340" s="1" t="s">
        <v>538</v>
      </c>
      <c r="D340" s="1" t="s">
        <v>604</v>
      </c>
      <c r="E340" s="1" t="s">
        <v>585</v>
      </c>
      <c r="F340" s="51" t="s">
        <v>661</v>
      </c>
      <c r="G340" s="54" t="s">
        <v>659</v>
      </c>
      <c r="H340" s="50" t="s">
        <v>660</v>
      </c>
      <c r="I340" s="50" t="s">
        <v>657</v>
      </c>
      <c r="J340" s="1" t="s">
        <v>140</v>
      </c>
      <c r="K340" s="1" t="s">
        <v>141</v>
      </c>
      <c r="L340" s="1">
        <v>1005000836</v>
      </c>
      <c r="M340" s="1" t="s">
        <v>112</v>
      </c>
      <c r="N340" s="1">
        <v>267</v>
      </c>
      <c r="O340" s="47" t="str">
        <f t="shared" si="39"/>
        <v>&gt; 91 Days</v>
      </c>
      <c r="P340" s="1" t="s">
        <v>142</v>
      </c>
      <c r="Q340" s="1">
        <v>1001021552</v>
      </c>
      <c r="R340" s="1" t="s">
        <v>586</v>
      </c>
      <c r="S340" s="1" t="s">
        <v>144</v>
      </c>
      <c r="T340" s="1" t="s">
        <v>145</v>
      </c>
      <c r="U340" s="1" t="s">
        <v>146</v>
      </c>
      <c r="V340" s="1" t="s">
        <v>147</v>
      </c>
      <c r="W340" s="1" t="s">
        <v>148</v>
      </c>
      <c r="X340" s="44">
        <v>0</v>
      </c>
      <c r="Y340" s="44">
        <v>0</v>
      </c>
      <c r="Z340" s="44">
        <v>0</v>
      </c>
      <c r="AA340" s="44">
        <v>0</v>
      </c>
      <c r="AB340" s="44">
        <v>0</v>
      </c>
      <c r="AC340" s="44">
        <v>5220</v>
      </c>
      <c r="AD340" s="45">
        <v>4567500</v>
      </c>
      <c r="AE340" s="45"/>
      <c r="AF340" s="46">
        <v>4567500</v>
      </c>
      <c r="AG340" s="55">
        <f t="shared" si="40"/>
        <v>0</v>
      </c>
      <c r="AH340" s="55">
        <f t="shared" si="41"/>
        <v>0</v>
      </c>
      <c r="AI340" s="55">
        <f t="shared" si="42"/>
        <v>0</v>
      </c>
      <c r="AJ340" s="55">
        <f t="shared" si="43"/>
        <v>4567500</v>
      </c>
    </row>
    <row r="341" spans="1:36" ht="15" customHeight="1">
      <c r="A341" s="1">
        <v>89</v>
      </c>
      <c r="B341" s="1" t="s">
        <v>603</v>
      </c>
      <c r="C341" s="1" t="s">
        <v>538</v>
      </c>
      <c r="D341" s="1" t="s">
        <v>604</v>
      </c>
      <c r="E341" s="1" t="s">
        <v>605</v>
      </c>
      <c r="F341" s="51" t="s">
        <v>661</v>
      </c>
      <c r="G341" s="54" t="s">
        <v>659</v>
      </c>
      <c r="H341" s="50" t="s">
        <v>660</v>
      </c>
      <c r="I341" s="50" t="s">
        <v>657</v>
      </c>
      <c r="J341" s="1" t="s">
        <v>140</v>
      </c>
      <c r="K341" s="1" t="s">
        <v>141</v>
      </c>
      <c r="L341" s="1">
        <v>1005001271</v>
      </c>
      <c r="M341" s="1" t="s">
        <v>119</v>
      </c>
      <c r="N341" s="1">
        <v>198</v>
      </c>
      <c r="O341" s="47" t="str">
        <f t="shared" si="39"/>
        <v>&gt; 91 Days</v>
      </c>
      <c r="P341" s="1" t="s">
        <v>142</v>
      </c>
      <c r="Q341" s="1">
        <v>1001022362</v>
      </c>
      <c r="R341" s="1" t="s">
        <v>606</v>
      </c>
      <c r="S341" s="1" t="s">
        <v>144</v>
      </c>
      <c r="T341" s="1" t="s">
        <v>145</v>
      </c>
      <c r="U341" s="1" t="s">
        <v>146</v>
      </c>
      <c r="V341" s="1" t="s">
        <v>147</v>
      </c>
      <c r="W341" s="1" t="s">
        <v>148</v>
      </c>
      <c r="X341" s="44">
        <v>5.25</v>
      </c>
      <c r="Y341" s="44">
        <v>0.3</v>
      </c>
      <c r="Z341" s="44">
        <v>0</v>
      </c>
      <c r="AA341" s="44">
        <v>0</v>
      </c>
      <c r="AB341" s="44">
        <v>0</v>
      </c>
      <c r="AC341" s="44">
        <v>840</v>
      </c>
      <c r="AD341" s="45">
        <v>84000</v>
      </c>
      <c r="AE341" s="45"/>
      <c r="AF341" s="46">
        <v>84000</v>
      </c>
      <c r="AG341" s="55">
        <f t="shared" si="40"/>
        <v>0</v>
      </c>
      <c r="AH341" s="55">
        <f t="shared" si="41"/>
        <v>0</v>
      </c>
      <c r="AI341" s="55">
        <f t="shared" si="42"/>
        <v>0</v>
      </c>
      <c r="AJ341" s="55">
        <f t="shared" si="43"/>
        <v>84000</v>
      </c>
    </row>
    <row r="342" spans="1:36" ht="15" customHeight="1">
      <c r="A342" s="1">
        <v>89</v>
      </c>
      <c r="B342" s="1" t="s">
        <v>603</v>
      </c>
      <c r="C342" s="1" t="s">
        <v>538</v>
      </c>
      <c r="D342" s="1" t="s">
        <v>604</v>
      </c>
      <c r="E342" s="1" t="s">
        <v>537</v>
      </c>
      <c r="F342" s="51" t="s">
        <v>661</v>
      </c>
      <c r="G342" s="54" t="s">
        <v>659</v>
      </c>
      <c r="H342" s="50" t="s">
        <v>660</v>
      </c>
      <c r="I342" s="50" t="s">
        <v>665</v>
      </c>
      <c r="J342" s="1" t="s">
        <v>140</v>
      </c>
      <c r="K342" s="1" t="s">
        <v>141</v>
      </c>
      <c r="L342" s="1">
        <v>9235000000</v>
      </c>
      <c r="M342" s="1" t="s">
        <v>98</v>
      </c>
      <c r="N342" s="1">
        <v>396</v>
      </c>
      <c r="O342" s="47" t="str">
        <f t="shared" si="39"/>
        <v>&gt; 91 Days</v>
      </c>
      <c r="P342" s="1" t="s">
        <v>142</v>
      </c>
      <c r="Q342" s="1">
        <v>1236000416</v>
      </c>
      <c r="R342" s="1"/>
      <c r="S342" s="1" t="s">
        <v>144</v>
      </c>
      <c r="T342" s="1" t="s">
        <v>145</v>
      </c>
      <c r="U342" s="1" t="s">
        <v>146</v>
      </c>
      <c r="V342" s="1" t="s">
        <v>147</v>
      </c>
      <c r="W342" s="1" t="s">
        <v>575</v>
      </c>
      <c r="X342" s="44">
        <v>0</v>
      </c>
      <c r="Y342" s="44">
        <v>0</v>
      </c>
      <c r="Z342" s="44">
        <v>0</v>
      </c>
      <c r="AA342" s="44">
        <v>0</v>
      </c>
      <c r="AB342" s="44">
        <v>0</v>
      </c>
      <c r="AC342" s="44">
        <v>14.92</v>
      </c>
      <c r="AD342" s="45">
        <v>211222</v>
      </c>
      <c r="AE342" s="45"/>
      <c r="AF342" s="46">
        <v>211222</v>
      </c>
      <c r="AG342" s="55">
        <f t="shared" si="40"/>
        <v>0</v>
      </c>
      <c r="AH342" s="55">
        <f t="shared" si="41"/>
        <v>0</v>
      </c>
      <c r="AI342" s="55">
        <f t="shared" si="42"/>
        <v>0</v>
      </c>
      <c r="AJ342" s="55">
        <f t="shared" si="43"/>
        <v>211222</v>
      </c>
    </row>
    <row r="343" spans="1:36" ht="15" customHeight="1">
      <c r="A343" s="1">
        <v>89</v>
      </c>
      <c r="B343" s="1" t="s">
        <v>603</v>
      </c>
      <c r="C343" s="1" t="s">
        <v>538</v>
      </c>
      <c r="D343" s="1" t="s">
        <v>604</v>
      </c>
      <c r="E343" s="1" t="s">
        <v>537</v>
      </c>
      <c r="F343" s="51" t="s">
        <v>661</v>
      </c>
      <c r="G343" s="54" t="s">
        <v>659</v>
      </c>
      <c r="H343" s="50" t="s">
        <v>660</v>
      </c>
      <c r="I343" s="50" t="s">
        <v>665</v>
      </c>
      <c r="J343" s="1" t="s">
        <v>153</v>
      </c>
      <c r="K343" s="1" t="s">
        <v>141</v>
      </c>
      <c r="L343" s="1">
        <v>9235000003</v>
      </c>
      <c r="M343" s="1" t="s">
        <v>99</v>
      </c>
      <c r="N343" s="1">
        <v>226</v>
      </c>
      <c r="O343" s="47" t="str">
        <f t="shared" si="39"/>
        <v>&gt; 91 Days</v>
      </c>
      <c r="P343" s="1" t="s">
        <v>142</v>
      </c>
      <c r="Q343" s="1">
        <v>1236000551</v>
      </c>
      <c r="R343" s="1"/>
      <c r="S343" s="1" t="s">
        <v>351</v>
      </c>
      <c r="T343" s="1" t="s">
        <v>352</v>
      </c>
      <c r="U343" s="1" t="s">
        <v>146</v>
      </c>
      <c r="V343" s="1" t="s">
        <v>147</v>
      </c>
      <c r="W343" s="1" t="s">
        <v>575</v>
      </c>
      <c r="X343" s="44">
        <v>0</v>
      </c>
      <c r="Y343" s="44">
        <v>13.36</v>
      </c>
      <c r="Z343" s="44">
        <v>7.82</v>
      </c>
      <c r="AA343" s="44">
        <v>0</v>
      </c>
      <c r="AB343" s="44">
        <v>0</v>
      </c>
      <c r="AC343" s="44">
        <v>718.24</v>
      </c>
      <c r="AD343" s="45">
        <v>7099802</v>
      </c>
      <c r="AE343" s="45"/>
      <c r="AF343" s="46">
        <v>7099802</v>
      </c>
      <c r="AG343" s="55">
        <f t="shared" si="40"/>
        <v>0</v>
      </c>
      <c r="AH343" s="55">
        <f t="shared" si="41"/>
        <v>0</v>
      </c>
      <c r="AI343" s="55">
        <f t="shared" si="42"/>
        <v>0</v>
      </c>
      <c r="AJ343" s="55">
        <f t="shared" si="43"/>
        <v>7099802</v>
      </c>
    </row>
    <row r="344" spans="1:36" ht="15" customHeight="1">
      <c r="A344" s="1">
        <v>89</v>
      </c>
      <c r="B344" s="1" t="s">
        <v>603</v>
      </c>
      <c r="C344" s="1" t="s">
        <v>538</v>
      </c>
      <c r="D344" s="1" t="s">
        <v>604</v>
      </c>
      <c r="E344" s="1" t="s">
        <v>560</v>
      </c>
      <c r="F344" s="51" t="s">
        <v>661</v>
      </c>
      <c r="G344" s="54" t="s">
        <v>659</v>
      </c>
      <c r="H344" s="50" t="s">
        <v>660</v>
      </c>
      <c r="I344" s="50" t="s">
        <v>665</v>
      </c>
      <c r="J344" s="1" t="s">
        <v>153</v>
      </c>
      <c r="K344" s="1" t="s">
        <v>141</v>
      </c>
      <c r="L344" s="1">
        <v>9251000071</v>
      </c>
      <c r="M344" s="1" t="s">
        <v>78</v>
      </c>
      <c r="N344" s="1">
        <v>512</v>
      </c>
      <c r="O344" s="47" t="str">
        <f t="shared" si="39"/>
        <v>&gt; 91 Days</v>
      </c>
      <c r="P344" s="1" t="s">
        <v>142</v>
      </c>
      <c r="Q344" s="1">
        <v>1256000646</v>
      </c>
      <c r="R344" s="1"/>
      <c r="S344" s="1" t="s">
        <v>144</v>
      </c>
      <c r="T344" s="1" t="s">
        <v>145</v>
      </c>
      <c r="U344" s="1" t="s">
        <v>146</v>
      </c>
      <c r="V344" s="1" t="s">
        <v>147</v>
      </c>
      <c r="W344" s="1" t="s">
        <v>607</v>
      </c>
      <c r="X344" s="44">
        <v>0</v>
      </c>
      <c r="Y344" s="44">
        <v>0</v>
      </c>
      <c r="Z344" s="44">
        <v>0</v>
      </c>
      <c r="AA344" s="44">
        <v>0</v>
      </c>
      <c r="AB344" s="44">
        <v>0</v>
      </c>
      <c r="AC344" s="44">
        <v>7</v>
      </c>
      <c r="AD344" s="45">
        <v>91752</v>
      </c>
      <c r="AE344" s="45"/>
      <c r="AF344" s="46">
        <v>91752</v>
      </c>
      <c r="AG344" s="55">
        <f t="shared" si="40"/>
        <v>0</v>
      </c>
      <c r="AH344" s="55">
        <f t="shared" si="41"/>
        <v>0</v>
      </c>
      <c r="AI344" s="55">
        <f t="shared" si="42"/>
        <v>0</v>
      </c>
      <c r="AJ344" s="55">
        <f t="shared" si="43"/>
        <v>91752</v>
      </c>
    </row>
    <row r="345" spans="1:36" ht="15" customHeight="1">
      <c r="A345" s="1">
        <v>89</v>
      </c>
      <c r="B345" s="1" t="s">
        <v>603</v>
      </c>
      <c r="C345" s="1" t="s">
        <v>538</v>
      </c>
      <c r="D345" s="1" t="s">
        <v>604</v>
      </c>
      <c r="E345" s="1" t="s">
        <v>560</v>
      </c>
      <c r="F345" s="51" t="s">
        <v>661</v>
      </c>
      <c r="G345" s="54" t="s">
        <v>659</v>
      </c>
      <c r="H345" s="50" t="s">
        <v>660</v>
      </c>
      <c r="I345" s="50" t="s">
        <v>665</v>
      </c>
      <c r="J345" s="1" t="s">
        <v>140</v>
      </c>
      <c r="K345" s="1" t="s">
        <v>141</v>
      </c>
      <c r="L345" s="1">
        <v>9251000090</v>
      </c>
      <c r="M345" s="1" t="s">
        <v>105</v>
      </c>
      <c r="N345" s="1">
        <v>430</v>
      </c>
      <c r="O345" s="47" t="str">
        <f t="shared" si="39"/>
        <v>&gt; 91 Days</v>
      </c>
      <c r="P345" s="1" t="s">
        <v>142</v>
      </c>
      <c r="Q345" s="1">
        <v>1256000682</v>
      </c>
      <c r="R345" s="1"/>
      <c r="S345" s="1" t="s">
        <v>144</v>
      </c>
      <c r="T345" s="1" t="s">
        <v>145</v>
      </c>
      <c r="U345" s="1" t="s">
        <v>146</v>
      </c>
      <c r="V345" s="1" t="s">
        <v>147</v>
      </c>
      <c r="W345" s="1" t="s">
        <v>607</v>
      </c>
      <c r="X345" s="44">
        <v>0</v>
      </c>
      <c r="Y345" s="44">
        <v>0</v>
      </c>
      <c r="Z345" s="44">
        <v>0</v>
      </c>
      <c r="AA345" s="44">
        <v>0</v>
      </c>
      <c r="AB345" s="44">
        <v>0</v>
      </c>
      <c r="AC345" s="44">
        <v>41.26</v>
      </c>
      <c r="AD345" s="45">
        <v>481752</v>
      </c>
      <c r="AE345" s="45"/>
      <c r="AF345" s="46">
        <v>481752</v>
      </c>
      <c r="AG345" s="55">
        <f t="shared" si="40"/>
        <v>0</v>
      </c>
      <c r="AH345" s="55">
        <f t="shared" si="41"/>
        <v>0</v>
      </c>
      <c r="AI345" s="55">
        <f t="shared" si="42"/>
        <v>0</v>
      </c>
      <c r="AJ345" s="55">
        <f t="shared" si="43"/>
        <v>481752</v>
      </c>
    </row>
    <row r="346" spans="1:36" ht="15" customHeight="1">
      <c r="A346" s="1">
        <v>89</v>
      </c>
      <c r="B346" s="1" t="s">
        <v>603</v>
      </c>
      <c r="C346" s="1" t="s">
        <v>538</v>
      </c>
      <c r="D346" s="1" t="s">
        <v>604</v>
      </c>
      <c r="E346" s="1" t="s">
        <v>560</v>
      </c>
      <c r="F346" s="51" t="s">
        <v>661</v>
      </c>
      <c r="G346" s="54" t="s">
        <v>659</v>
      </c>
      <c r="H346" s="50" t="s">
        <v>660</v>
      </c>
      <c r="I346" s="50" t="s">
        <v>665</v>
      </c>
      <c r="J346" s="1" t="s">
        <v>140</v>
      </c>
      <c r="K346" s="1" t="s">
        <v>141</v>
      </c>
      <c r="L346" s="1">
        <v>9255000000</v>
      </c>
      <c r="M346" s="1" t="s">
        <v>106</v>
      </c>
      <c r="N346" s="1">
        <v>395</v>
      </c>
      <c r="O346" s="47" t="str">
        <f t="shared" si="39"/>
        <v>&gt; 91 Days</v>
      </c>
      <c r="P346" s="1" t="s">
        <v>142</v>
      </c>
      <c r="Q346" s="1">
        <v>1256000701</v>
      </c>
      <c r="R346" s="1"/>
      <c r="S346" s="1" t="s">
        <v>144</v>
      </c>
      <c r="T346" s="1" t="s">
        <v>145</v>
      </c>
      <c r="U346" s="1" t="s">
        <v>146</v>
      </c>
      <c r="V346" s="1" t="s">
        <v>147</v>
      </c>
      <c r="W346" s="1" t="s">
        <v>607</v>
      </c>
      <c r="X346" s="44">
        <v>0</v>
      </c>
      <c r="Y346" s="44">
        <v>0</v>
      </c>
      <c r="Z346" s="44">
        <v>0</v>
      </c>
      <c r="AA346" s="44">
        <v>0</v>
      </c>
      <c r="AB346" s="44">
        <v>0</v>
      </c>
      <c r="AC346" s="44">
        <v>8.1199999999999992</v>
      </c>
      <c r="AD346" s="45">
        <v>112186</v>
      </c>
      <c r="AE346" s="45"/>
      <c r="AF346" s="46">
        <v>112186</v>
      </c>
      <c r="AG346" s="55">
        <f t="shared" si="40"/>
        <v>0</v>
      </c>
      <c r="AH346" s="55">
        <f t="shared" si="41"/>
        <v>0</v>
      </c>
      <c r="AI346" s="55">
        <f t="shared" si="42"/>
        <v>0</v>
      </c>
      <c r="AJ346" s="55">
        <f t="shared" si="43"/>
        <v>112186</v>
      </c>
    </row>
    <row r="347" spans="1:36" ht="15" customHeight="1">
      <c r="A347" s="1">
        <v>89</v>
      </c>
      <c r="B347" s="1" t="s">
        <v>603</v>
      </c>
      <c r="C347" s="1" t="s">
        <v>538</v>
      </c>
      <c r="D347" s="1" t="s">
        <v>604</v>
      </c>
      <c r="E347" s="1" t="s">
        <v>560</v>
      </c>
      <c r="F347" s="51" t="s">
        <v>661</v>
      </c>
      <c r="G347" s="54" t="s">
        <v>659</v>
      </c>
      <c r="H347" s="50" t="s">
        <v>660</v>
      </c>
      <c r="I347" s="50" t="s">
        <v>665</v>
      </c>
      <c r="J347" s="1" t="s">
        <v>140</v>
      </c>
      <c r="K347" s="1" t="s">
        <v>141</v>
      </c>
      <c r="L347" s="1">
        <v>9255000001</v>
      </c>
      <c r="M347" s="1" t="s">
        <v>106</v>
      </c>
      <c r="N347" s="1">
        <v>395</v>
      </c>
      <c r="O347" s="47" t="str">
        <f t="shared" si="39"/>
        <v>&gt; 91 Days</v>
      </c>
      <c r="P347" s="1" t="s">
        <v>142</v>
      </c>
      <c r="Q347" s="1">
        <v>1256000700</v>
      </c>
      <c r="R347" s="1"/>
      <c r="S347" s="1" t="s">
        <v>144</v>
      </c>
      <c r="T347" s="1" t="s">
        <v>145</v>
      </c>
      <c r="U347" s="1" t="s">
        <v>146</v>
      </c>
      <c r="V347" s="1" t="s">
        <v>147</v>
      </c>
      <c r="W347" s="1" t="s">
        <v>607</v>
      </c>
      <c r="X347" s="44">
        <v>0</v>
      </c>
      <c r="Y347" s="44">
        <v>0</v>
      </c>
      <c r="Z347" s="44">
        <v>0</v>
      </c>
      <c r="AA347" s="44">
        <v>0</v>
      </c>
      <c r="AB347" s="44">
        <v>0</v>
      </c>
      <c r="AC347" s="44">
        <v>1.32</v>
      </c>
      <c r="AD347" s="45">
        <v>18237</v>
      </c>
      <c r="AE347" s="45"/>
      <c r="AF347" s="46">
        <v>18237</v>
      </c>
      <c r="AG347" s="55">
        <f t="shared" si="40"/>
        <v>0</v>
      </c>
      <c r="AH347" s="55">
        <f t="shared" si="41"/>
        <v>0</v>
      </c>
      <c r="AI347" s="55">
        <f t="shared" si="42"/>
        <v>0</v>
      </c>
      <c r="AJ347" s="55">
        <f t="shared" si="43"/>
        <v>18237</v>
      </c>
    </row>
    <row r="348" spans="1:36" ht="15" customHeight="1">
      <c r="A348" s="1">
        <v>89</v>
      </c>
      <c r="B348" s="1" t="s">
        <v>603</v>
      </c>
      <c r="C348" s="1" t="s">
        <v>538</v>
      </c>
      <c r="D348" s="1" t="s">
        <v>604</v>
      </c>
      <c r="E348" s="1" t="s">
        <v>558</v>
      </c>
      <c r="F348" s="51" t="s">
        <v>661</v>
      </c>
      <c r="G348" s="54" t="s">
        <v>659</v>
      </c>
      <c r="H348" s="50" t="s">
        <v>660</v>
      </c>
      <c r="I348" s="50" t="s">
        <v>665</v>
      </c>
      <c r="J348" s="1" t="s">
        <v>140</v>
      </c>
      <c r="K348" s="1" t="s">
        <v>141</v>
      </c>
      <c r="L348" s="1">
        <v>9310000002</v>
      </c>
      <c r="M348" s="1" t="s">
        <v>103</v>
      </c>
      <c r="N348" s="1">
        <v>493</v>
      </c>
      <c r="O348" s="47" t="str">
        <f t="shared" si="39"/>
        <v>&gt; 91 Days</v>
      </c>
      <c r="P348" s="1" t="s">
        <v>142</v>
      </c>
      <c r="Q348" s="1">
        <v>1316000090</v>
      </c>
      <c r="R348" s="1"/>
      <c r="S348" s="1" t="s">
        <v>144</v>
      </c>
      <c r="T348" s="1" t="s">
        <v>145</v>
      </c>
      <c r="U348" s="1" t="s">
        <v>146</v>
      </c>
      <c r="V348" s="1" t="s">
        <v>147</v>
      </c>
      <c r="W348" s="1" t="s">
        <v>608</v>
      </c>
      <c r="X348" s="44">
        <v>0</v>
      </c>
      <c r="Y348" s="44">
        <v>0</v>
      </c>
      <c r="Z348" s="44">
        <v>0</v>
      </c>
      <c r="AA348" s="44">
        <v>0</v>
      </c>
      <c r="AB348" s="44">
        <v>0</v>
      </c>
      <c r="AC348" s="44">
        <v>87.78</v>
      </c>
      <c r="AD348" s="45">
        <v>1171161</v>
      </c>
      <c r="AE348" s="45"/>
      <c r="AF348" s="46">
        <v>1171161</v>
      </c>
      <c r="AG348" s="55">
        <f t="shared" si="40"/>
        <v>0</v>
      </c>
      <c r="AH348" s="55">
        <f t="shared" si="41"/>
        <v>0</v>
      </c>
      <c r="AI348" s="55">
        <f t="shared" si="42"/>
        <v>0</v>
      </c>
      <c r="AJ348" s="55">
        <f t="shared" si="43"/>
        <v>1171161</v>
      </c>
    </row>
    <row r="349" spans="1:36" ht="15" customHeight="1">
      <c r="A349" s="1">
        <v>89</v>
      </c>
      <c r="B349" s="1" t="s">
        <v>603</v>
      </c>
      <c r="C349" s="1" t="s">
        <v>538</v>
      </c>
      <c r="D349" s="1" t="s">
        <v>604</v>
      </c>
      <c r="E349" s="1" t="s">
        <v>538</v>
      </c>
      <c r="F349" s="51" t="s">
        <v>661</v>
      </c>
      <c r="G349" s="54" t="s">
        <v>659</v>
      </c>
      <c r="H349" s="50" t="s">
        <v>660</v>
      </c>
      <c r="I349" s="50" t="s">
        <v>665</v>
      </c>
      <c r="J349" s="1" t="s">
        <v>140</v>
      </c>
      <c r="K349" s="1" t="s">
        <v>141</v>
      </c>
      <c r="L349" s="1">
        <v>9335000003</v>
      </c>
      <c r="M349" s="1" t="s">
        <v>101</v>
      </c>
      <c r="N349" s="1">
        <v>116</v>
      </c>
      <c r="O349" s="47" t="str">
        <f t="shared" si="39"/>
        <v>&gt; 91 Days</v>
      </c>
      <c r="P349" s="1" t="s">
        <v>142</v>
      </c>
      <c r="Q349" s="1">
        <v>1336000337</v>
      </c>
      <c r="R349" s="1"/>
      <c r="S349" s="1" t="s">
        <v>334</v>
      </c>
      <c r="T349" s="1" t="s">
        <v>297</v>
      </c>
      <c r="U349" s="1" t="s">
        <v>146</v>
      </c>
      <c r="V349" s="1" t="s">
        <v>147</v>
      </c>
      <c r="W349" s="1" t="s">
        <v>609</v>
      </c>
      <c r="X349" s="44">
        <v>11.51</v>
      </c>
      <c r="Y349" s="44">
        <v>1.74</v>
      </c>
      <c r="Z349" s="44">
        <v>0</v>
      </c>
      <c r="AA349" s="44">
        <v>0</v>
      </c>
      <c r="AB349" s="44">
        <v>0</v>
      </c>
      <c r="AC349" s="44">
        <v>115.91</v>
      </c>
      <c r="AD349" s="45">
        <v>1692634</v>
      </c>
      <c r="AE349" s="45"/>
      <c r="AF349" s="46">
        <v>1692634</v>
      </c>
      <c r="AG349" s="55">
        <f t="shared" si="40"/>
        <v>0</v>
      </c>
      <c r="AH349" s="55">
        <f t="shared" si="41"/>
        <v>0</v>
      </c>
      <c r="AI349" s="55">
        <f t="shared" si="42"/>
        <v>0</v>
      </c>
      <c r="AJ349" s="55">
        <f t="shared" si="43"/>
        <v>1692634</v>
      </c>
    </row>
    <row r="350" spans="1:36" ht="15" customHeight="1">
      <c r="A350" s="1">
        <v>89</v>
      </c>
      <c r="B350" s="1" t="s">
        <v>603</v>
      </c>
      <c r="C350" s="1" t="s">
        <v>538</v>
      </c>
      <c r="D350" s="1" t="s">
        <v>604</v>
      </c>
      <c r="E350" s="1" t="s">
        <v>538</v>
      </c>
      <c r="F350" s="51" t="s">
        <v>661</v>
      </c>
      <c r="G350" s="54" t="s">
        <v>659</v>
      </c>
      <c r="H350" s="50" t="s">
        <v>660</v>
      </c>
      <c r="I350" s="50" t="s">
        <v>657</v>
      </c>
      <c r="J350" s="1" t="s">
        <v>140</v>
      </c>
      <c r="K350" s="1" t="s">
        <v>141</v>
      </c>
      <c r="L350" s="1">
        <v>1005002153</v>
      </c>
      <c r="M350" s="1" t="s">
        <v>62</v>
      </c>
      <c r="N350" s="1">
        <v>52</v>
      </c>
      <c r="O350" s="47" t="str">
        <f t="shared" si="39"/>
        <v>31-60</v>
      </c>
      <c r="P350" s="1" t="s">
        <v>142</v>
      </c>
      <c r="Q350" s="1">
        <v>1001026191</v>
      </c>
      <c r="R350" s="1" t="s">
        <v>610</v>
      </c>
      <c r="S350" s="1" t="s">
        <v>144</v>
      </c>
      <c r="T350" s="1" t="s">
        <v>145</v>
      </c>
      <c r="U350" s="1" t="s">
        <v>146</v>
      </c>
      <c r="V350" s="1" t="s">
        <v>147</v>
      </c>
      <c r="W350" s="1" t="s">
        <v>148</v>
      </c>
      <c r="X350" s="44">
        <v>4.8</v>
      </c>
      <c r="Y350" s="44">
        <v>0.53</v>
      </c>
      <c r="Z350" s="44">
        <v>0</v>
      </c>
      <c r="AA350" s="44">
        <v>0</v>
      </c>
      <c r="AB350" s="44">
        <v>0</v>
      </c>
      <c r="AC350" s="44">
        <v>2.0699999999999998</v>
      </c>
      <c r="AD350" s="45">
        <v>28270</v>
      </c>
      <c r="AE350" s="45"/>
      <c r="AF350" s="46">
        <v>28270</v>
      </c>
      <c r="AG350" s="55">
        <f t="shared" si="40"/>
        <v>0</v>
      </c>
      <c r="AH350" s="55">
        <f t="shared" si="41"/>
        <v>28270</v>
      </c>
      <c r="AI350" s="55">
        <f t="shared" si="42"/>
        <v>0</v>
      </c>
      <c r="AJ350" s="55">
        <f t="shared" si="43"/>
        <v>0</v>
      </c>
    </row>
    <row r="351" spans="1:36" ht="15" customHeight="1">
      <c r="A351" s="1">
        <v>89</v>
      </c>
      <c r="B351" s="1" t="s">
        <v>603</v>
      </c>
      <c r="C351" s="1" t="s">
        <v>538</v>
      </c>
      <c r="D351" s="1" t="s">
        <v>604</v>
      </c>
      <c r="E351" s="1" t="s">
        <v>605</v>
      </c>
      <c r="F351" s="51" t="s">
        <v>661</v>
      </c>
      <c r="G351" s="54" t="s">
        <v>659</v>
      </c>
      <c r="H351" s="50" t="s">
        <v>660</v>
      </c>
      <c r="I351" s="50" t="s">
        <v>657</v>
      </c>
      <c r="J351" s="1" t="s">
        <v>140</v>
      </c>
      <c r="K351" s="1" t="s">
        <v>141</v>
      </c>
      <c r="L351" s="1">
        <v>1005000381</v>
      </c>
      <c r="M351" s="1" t="s">
        <v>120</v>
      </c>
      <c r="N351" s="1">
        <v>343</v>
      </c>
      <c r="O351" s="47" t="str">
        <f t="shared" si="39"/>
        <v>&gt; 91 Days</v>
      </c>
      <c r="P351" s="1" t="s">
        <v>142</v>
      </c>
      <c r="Q351" s="1">
        <v>1001019864</v>
      </c>
      <c r="R351" s="1" t="s">
        <v>611</v>
      </c>
      <c r="S351" s="1" t="s">
        <v>144</v>
      </c>
      <c r="T351" s="1" t="s">
        <v>145</v>
      </c>
      <c r="U351" s="1" t="s">
        <v>146</v>
      </c>
      <c r="V351" s="1" t="s">
        <v>147</v>
      </c>
      <c r="W351" s="1" t="s">
        <v>148</v>
      </c>
      <c r="X351" s="44">
        <v>5.42</v>
      </c>
      <c r="Y351" s="44">
        <v>0.28999999999999998</v>
      </c>
      <c r="Z351" s="44">
        <v>0</v>
      </c>
      <c r="AA351" s="44">
        <v>0</v>
      </c>
      <c r="AB351" s="44">
        <v>0</v>
      </c>
      <c r="AC351" s="44">
        <v>17050</v>
      </c>
      <c r="AD351" s="45">
        <v>1705000</v>
      </c>
      <c r="AE351" s="45"/>
      <c r="AF351" s="46">
        <v>1705000</v>
      </c>
      <c r="AG351" s="55">
        <f t="shared" si="40"/>
        <v>0</v>
      </c>
      <c r="AH351" s="55">
        <f t="shared" si="41"/>
        <v>0</v>
      </c>
      <c r="AI351" s="55">
        <f t="shared" si="42"/>
        <v>0</v>
      </c>
      <c r="AJ351" s="55">
        <f t="shared" si="43"/>
        <v>1705000</v>
      </c>
    </row>
    <row r="352" spans="1:36" ht="15" customHeight="1">
      <c r="A352" s="1">
        <v>90</v>
      </c>
      <c r="B352" s="1" t="s">
        <v>612</v>
      </c>
      <c r="C352" s="1" t="s">
        <v>613</v>
      </c>
      <c r="D352" s="1" t="s">
        <v>614</v>
      </c>
      <c r="E352" s="1" t="s">
        <v>613</v>
      </c>
      <c r="F352" s="51" t="s">
        <v>661</v>
      </c>
      <c r="G352" s="54" t="s">
        <v>659</v>
      </c>
      <c r="H352" s="50" t="s">
        <v>660</v>
      </c>
      <c r="I352" s="50" t="s">
        <v>657</v>
      </c>
      <c r="J352" s="1" t="s">
        <v>140</v>
      </c>
      <c r="K352" s="1" t="s">
        <v>141</v>
      </c>
      <c r="L352" s="1">
        <v>1365000123</v>
      </c>
      <c r="M352" s="1" t="s">
        <v>16</v>
      </c>
      <c r="N352" s="1">
        <v>221</v>
      </c>
      <c r="O352" s="47" t="str">
        <f t="shared" si="39"/>
        <v>&gt; 91 Days</v>
      </c>
      <c r="P352" s="1" t="s">
        <v>226</v>
      </c>
      <c r="Q352" s="1">
        <v>1361001647</v>
      </c>
      <c r="R352" s="1" t="s">
        <v>615</v>
      </c>
      <c r="S352" s="1" t="s">
        <v>178</v>
      </c>
      <c r="T352" s="1" t="s">
        <v>179</v>
      </c>
      <c r="U352" s="1" t="s">
        <v>146</v>
      </c>
      <c r="V352" s="1" t="s">
        <v>147</v>
      </c>
      <c r="W352" s="1" t="s">
        <v>228</v>
      </c>
      <c r="X352" s="44">
        <v>0</v>
      </c>
      <c r="Y352" s="44">
        <v>19.73</v>
      </c>
      <c r="Z352" s="44">
        <v>2.04</v>
      </c>
      <c r="AA352" s="44">
        <v>0</v>
      </c>
      <c r="AB352" s="44">
        <v>0</v>
      </c>
      <c r="AC352" s="44">
        <v>408.2</v>
      </c>
      <c r="AD352" s="45">
        <v>377585</v>
      </c>
      <c r="AE352" s="45"/>
      <c r="AF352" s="46">
        <v>377585</v>
      </c>
      <c r="AG352" s="55">
        <f t="shared" si="40"/>
        <v>0</v>
      </c>
      <c r="AH352" s="55">
        <f t="shared" si="41"/>
        <v>0</v>
      </c>
      <c r="AI352" s="55">
        <f t="shared" si="42"/>
        <v>0</v>
      </c>
      <c r="AJ352" s="55">
        <f t="shared" si="43"/>
        <v>377585</v>
      </c>
    </row>
    <row r="353" spans="1:36" ht="15" customHeight="1">
      <c r="A353" s="1">
        <v>90</v>
      </c>
      <c r="B353" s="1" t="s">
        <v>612</v>
      </c>
      <c r="C353" s="1" t="s">
        <v>613</v>
      </c>
      <c r="D353" s="1" t="s">
        <v>614</v>
      </c>
      <c r="E353" s="1" t="s">
        <v>613</v>
      </c>
      <c r="F353" s="51" t="s">
        <v>661</v>
      </c>
      <c r="G353" s="54" t="s">
        <v>659</v>
      </c>
      <c r="H353" s="50" t="s">
        <v>660</v>
      </c>
      <c r="I353" s="50" t="s">
        <v>657</v>
      </c>
      <c r="J353" s="1" t="s">
        <v>140</v>
      </c>
      <c r="K353" s="1" t="s">
        <v>141</v>
      </c>
      <c r="L353" s="1">
        <v>1365000156</v>
      </c>
      <c r="M353" s="1" t="s">
        <v>23</v>
      </c>
      <c r="N353" s="1">
        <v>161</v>
      </c>
      <c r="O353" s="47" t="str">
        <f t="shared" si="39"/>
        <v>&gt; 91 Days</v>
      </c>
      <c r="P353" s="1" t="s">
        <v>226</v>
      </c>
      <c r="Q353" s="1">
        <v>1361001769</v>
      </c>
      <c r="R353" s="1" t="s">
        <v>616</v>
      </c>
      <c r="S353" s="1" t="s">
        <v>178</v>
      </c>
      <c r="T353" s="1" t="s">
        <v>179</v>
      </c>
      <c r="U353" s="1" t="s">
        <v>146</v>
      </c>
      <c r="V353" s="1" t="s">
        <v>147</v>
      </c>
      <c r="W353" s="1" t="s">
        <v>228</v>
      </c>
      <c r="X353" s="44">
        <v>0</v>
      </c>
      <c r="Y353" s="44">
        <v>20.48</v>
      </c>
      <c r="Z353" s="44">
        <v>0.49</v>
      </c>
      <c r="AA353" s="44">
        <v>0</v>
      </c>
      <c r="AB353" s="44">
        <v>0</v>
      </c>
      <c r="AC353" s="44">
        <v>107.52</v>
      </c>
      <c r="AD353" s="45">
        <v>90317</v>
      </c>
      <c r="AE353" s="45"/>
      <c r="AF353" s="46">
        <v>90317</v>
      </c>
      <c r="AG353" s="55">
        <f t="shared" si="40"/>
        <v>0</v>
      </c>
      <c r="AH353" s="55">
        <f t="shared" si="41"/>
        <v>0</v>
      </c>
      <c r="AI353" s="55">
        <f t="shared" si="42"/>
        <v>0</v>
      </c>
      <c r="AJ353" s="55">
        <f t="shared" si="43"/>
        <v>90317</v>
      </c>
    </row>
    <row r="354" spans="1:36" ht="15" customHeight="1">
      <c r="A354" s="1">
        <v>90</v>
      </c>
      <c r="B354" s="1" t="s">
        <v>612</v>
      </c>
      <c r="C354" s="1" t="s">
        <v>613</v>
      </c>
      <c r="D354" s="1" t="s">
        <v>614</v>
      </c>
      <c r="E354" s="1" t="s">
        <v>613</v>
      </c>
      <c r="F354" s="51" t="s">
        <v>661</v>
      </c>
      <c r="G354" s="54" t="s">
        <v>659</v>
      </c>
      <c r="H354" s="50" t="s">
        <v>660</v>
      </c>
      <c r="I354" s="50" t="s">
        <v>657</v>
      </c>
      <c r="J354" s="1" t="s">
        <v>140</v>
      </c>
      <c r="K354" s="1" t="s">
        <v>141</v>
      </c>
      <c r="L354" s="1">
        <v>1365000124</v>
      </c>
      <c r="M354" s="1" t="s">
        <v>36</v>
      </c>
      <c r="N354" s="1">
        <v>220</v>
      </c>
      <c r="O354" s="47" t="str">
        <f t="shared" si="39"/>
        <v>&gt; 91 Days</v>
      </c>
      <c r="P354" s="1" t="s">
        <v>226</v>
      </c>
      <c r="Q354" s="1">
        <v>1361001599</v>
      </c>
      <c r="R354" s="1" t="s">
        <v>617</v>
      </c>
      <c r="S354" s="1" t="s">
        <v>178</v>
      </c>
      <c r="T354" s="1" t="s">
        <v>179</v>
      </c>
      <c r="U354" s="1" t="s">
        <v>146</v>
      </c>
      <c r="V354" s="1" t="s">
        <v>147</v>
      </c>
      <c r="W354" s="1" t="s">
        <v>228</v>
      </c>
      <c r="X354" s="44">
        <v>0</v>
      </c>
      <c r="Y354" s="44">
        <v>21.52</v>
      </c>
      <c r="Z354" s="44">
        <v>0.4</v>
      </c>
      <c r="AA354" s="44">
        <v>0</v>
      </c>
      <c r="AB354" s="44">
        <v>0</v>
      </c>
      <c r="AC354" s="44">
        <v>1361.33</v>
      </c>
      <c r="AD354" s="45">
        <v>1429397</v>
      </c>
      <c r="AE354" s="45"/>
      <c r="AF354" s="46">
        <v>1429397</v>
      </c>
      <c r="AG354" s="55">
        <f t="shared" si="40"/>
        <v>0</v>
      </c>
      <c r="AH354" s="55">
        <f t="shared" si="41"/>
        <v>0</v>
      </c>
      <c r="AI354" s="55">
        <f t="shared" si="42"/>
        <v>0</v>
      </c>
      <c r="AJ354" s="55">
        <f t="shared" si="43"/>
        <v>1429397</v>
      </c>
    </row>
    <row r="355" spans="1:36" ht="15" customHeight="1">
      <c r="A355" s="1">
        <v>90</v>
      </c>
      <c r="B355" s="1" t="s">
        <v>612</v>
      </c>
      <c r="C355" s="1" t="s">
        <v>613</v>
      </c>
      <c r="D355" s="1" t="s">
        <v>614</v>
      </c>
      <c r="E355" s="1" t="s">
        <v>613</v>
      </c>
      <c r="F355" s="51" t="s">
        <v>661</v>
      </c>
      <c r="G355" s="54" t="s">
        <v>659</v>
      </c>
      <c r="H355" s="50" t="s">
        <v>660</v>
      </c>
      <c r="I355" s="50" t="s">
        <v>657</v>
      </c>
      <c r="J355" s="1" t="s">
        <v>140</v>
      </c>
      <c r="K355" s="1" t="s">
        <v>141</v>
      </c>
      <c r="L355" s="1">
        <v>1365000128</v>
      </c>
      <c r="M355" s="1" t="s">
        <v>121</v>
      </c>
      <c r="N355" s="1">
        <v>207</v>
      </c>
      <c r="O355" s="47" t="str">
        <f t="shared" si="39"/>
        <v>&gt; 91 Days</v>
      </c>
      <c r="P355" s="1" t="s">
        <v>226</v>
      </c>
      <c r="Q355" s="1">
        <v>1361001612</v>
      </c>
      <c r="R355" s="1" t="s">
        <v>618</v>
      </c>
      <c r="S355" s="1" t="s">
        <v>178</v>
      </c>
      <c r="T355" s="1" t="s">
        <v>179</v>
      </c>
      <c r="U355" s="1" t="s">
        <v>146</v>
      </c>
      <c r="V355" s="1" t="s">
        <v>147</v>
      </c>
      <c r="W355" s="1" t="s">
        <v>228</v>
      </c>
      <c r="X355" s="44">
        <v>0</v>
      </c>
      <c r="Y355" s="44">
        <v>20.48</v>
      </c>
      <c r="Z355" s="44">
        <v>0.32</v>
      </c>
      <c r="AA355" s="44">
        <v>0</v>
      </c>
      <c r="AB355" s="44">
        <v>0</v>
      </c>
      <c r="AC355" s="44">
        <v>395.97</v>
      </c>
      <c r="AD355" s="45">
        <v>415770</v>
      </c>
      <c r="AE355" s="45"/>
      <c r="AF355" s="46">
        <v>415770</v>
      </c>
      <c r="AG355" s="55">
        <f t="shared" si="40"/>
        <v>0</v>
      </c>
      <c r="AH355" s="55">
        <f t="shared" si="41"/>
        <v>0</v>
      </c>
      <c r="AI355" s="55">
        <f t="shared" si="42"/>
        <v>0</v>
      </c>
      <c r="AJ355" s="55">
        <f t="shared" si="43"/>
        <v>415770</v>
      </c>
    </row>
    <row r="356" spans="1:36" ht="15" customHeight="1">
      <c r="A356" s="1">
        <v>90</v>
      </c>
      <c r="B356" s="1" t="s">
        <v>612</v>
      </c>
      <c r="C356" s="1" t="s">
        <v>613</v>
      </c>
      <c r="D356" s="1" t="s">
        <v>614</v>
      </c>
      <c r="E356" s="1" t="s">
        <v>613</v>
      </c>
      <c r="F356" s="51" t="s">
        <v>661</v>
      </c>
      <c r="G356" s="54" t="s">
        <v>659</v>
      </c>
      <c r="H356" s="50" t="s">
        <v>660</v>
      </c>
      <c r="I356" s="50" t="s">
        <v>657</v>
      </c>
      <c r="J356" s="1" t="s">
        <v>140</v>
      </c>
      <c r="K356" s="1" t="s">
        <v>141</v>
      </c>
      <c r="L356" s="1">
        <v>1365000140</v>
      </c>
      <c r="M356" s="1" t="s">
        <v>122</v>
      </c>
      <c r="N356" s="1">
        <v>191</v>
      </c>
      <c r="O356" s="47" t="str">
        <f t="shared" si="39"/>
        <v>&gt; 91 Days</v>
      </c>
      <c r="P356" s="1" t="s">
        <v>226</v>
      </c>
      <c r="Q356" s="1">
        <v>1361001634</v>
      </c>
      <c r="R356" s="1" t="s">
        <v>619</v>
      </c>
      <c r="S356" s="1" t="s">
        <v>178</v>
      </c>
      <c r="T356" s="1" t="s">
        <v>179</v>
      </c>
      <c r="U356" s="1" t="s">
        <v>146</v>
      </c>
      <c r="V356" s="1" t="s">
        <v>147</v>
      </c>
      <c r="W356" s="1" t="s">
        <v>228</v>
      </c>
      <c r="X356" s="44">
        <v>0</v>
      </c>
      <c r="Y356" s="44">
        <v>21.23</v>
      </c>
      <c r="Z356" s="44">
        <v>0.46</v>
      </c>
      <c r="AA356" s="44">
        <v>0</v>
      </c>
      <c r="AB356" s="44">
        <v>0</v>
      </c>
      <c r="AC356" s="44">
        <v>760.41</v>
      </c>
      <c r="AD356" s="45">
        <v>768014</v>
      </c>
      <c r="AE356" s="45"/>
      <c r="AF356" s="46">
        <v>768014</v>
      </c>
      <c r="AG356" s="55">
        <f t="shared" si="40"/>
        <v>0</v>
      </c>
      <c r="AH356" s="55">
        <f t="shared" si="41"/>
        <v>0</v>
      </c>
      <c r="AI356" s="55">
        <f t="shared" si="42"/>
        <v>0</v>
      </c>
      <c r="AJ356" s="55">
        <f t="shared" si="43"/>
        <v>768014</v>
      </c>
    </row>
    <row r="357" spans="1:36" ht="15" customHeight="1">
      <c r="A357" s="1">
        <v>91</v>
      </c>
      <c r="B357" s="1" t="s">
        <v>620</v>
      </c>
      <c r="C357" s="1" t="s">
        <v>621</v>
      </c>
      <c r="D357" s="1" t="s">
        <v>604</v>
      </c>
      <c r="E357" s="1" t="s">
        <v>621</v>
      </c>
      <c r="F357" s="51" t="s">
        <v>661</v>
      </c>
      <c r="G357" s="54" t="s">
        <v>659</v>
      </c>
      <c r="H357" s="50" t="s">
        <v>660</v>
      </c>
      <c r="I357" s="50" t="s">
        <v>657</v>
      </c>
      <c r="J357" s="1" t="s">
        <v>153</v>
      </c>
      <c r="K357" s="1" t="s">
        <v>141</v>
      </c>
      <c r="L357" s="1">
        <v>1385000057</v>
      </c>
      <c r="M357" s="1" t="s">
        <v>33</v>
      </c>
      <c r="N357" s="1">
        <v>85</v>
      </c>
      <c r="O357" s="47" t="str">
        <f t="shared" si="39"/>
        <v>61-90</v>
      </c>
      <c r="P357" s="1" t="s">
        <v>253</v>
      </c>
      <c r="Q357" s="1">
        <v>1386001669</v>
      </c>
      <c r="R357" s="1"/>
      <c r="S357" s="1" t="s">
        <v>622</v>
      </c>
      <c r="T357" s="1" t="s">
        <v>623</v>
      </c>
      <c r="U357" s="1" t="s">
        <v>146</v>
      </c>
      <c r="V357" s="1" t="s">
        <v>147</v>
      </c>
      <c r="W357" s="1" t="s">
        <v>255</v>
      </c>
      <c r="X357" s="44">
        <v>0</v>
      </c>
      <c r="Y357" s="44">
        <v>0</v>
      </c>
      <c r="Z357" s="44">
        <v>0</v>
      </c>
      <c r="AA357" s="44">
        <v>0</v>
      </c>
      <c r="AB357" s="44">
        <v>0</v>
      </c>
      <c r="AC357" s="44">
        <v>461.39</v>
      </c>
      <c r="AD357" s="45">
        <v>8221157</v>
      </c>
      <c r="AE357" s="45"/>
      <c r="AF357" s="46">
        <v>8221157</v>
      </c>
      <c r="AG357" s="55">
        <f t="shared" si="40"/>
        <v>0</v>
      </c>
      <c r="AH357" s="55">
        <f t="shared" si="41"/>
        <v>0</v>
      </c>
      <c r="AI357" s="55">
        <f t="shared" si="42"/>
        <v>8221157</v>
      </c>
      <c r="AJ357" s="55">
        <f t="shared" si="43"/>
        <v>0</v>
      </c>
    </row>
  </sheetData>
  <autoFilter ref="A8:AJ357" xr:uid="{00000000-0009-0000-0000-000001000000}"/>
  <mergeCells count="3">
    <mergeCell ref="X5:AB7"/>
    <mergeCell ref="AC5:AF5"/>
    <mergeCell ref="AG5:AJ5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A576"/>
  <sheetViews>
    <sheetView showGridLines="0" tabSelected="1" workbookViewId="0">
      <selection activeCell="F1" sqref="F1:I1048576"/>
    </sheetView>
  </sheetViews>
  <sheetFormatPr defaultColWidth="9.1796875" defaultRowHeight="14.5"/>
  <cols>
    <col min="1" max="1" width="4.453125" style="2" customWidth="1"/>
    <col min="2" max="2" width="14.81640625" style="2" customWidth="1"/>
    <col min="3" max="3" width="27" style="2" customWidth="1"/>
    <col min="4" max="4" width="18.1796875" style="2" customWidth="1"/>
    <col min="5" max="5" width="36.54296875" style="2" customWidth="1"/>
    <col min="6" max="6" width="30.26953125" style="2" customWidth="1"/>
    <col min="7" max="7" width="4.453125" style="2" customWidth="1"/>
    <col min="8" max="9" width="12.453125" style="2" customWidth="1"/>
    <col min="10" max="10" width="9.90625" style="2" customWidth="1"/>
    <col min="11" max="11" width="7.81640625" style="2" customWidth="1"/>
    <col min="12" max="12" width="12.453125" style="2" customWidth="1"/>
    <col min="13" max="13" width="36.54296875" style="2" customWidth="1"/>
    <col min="14" max="14" width="18.453125" style="2" customWidth="1"/>
    <col min="15" max="15" width="12.7265625" style="2" customWidth="1"/>
    <col min="16" max="16" width="9.7265625" style="2" customWidth="1"/>
    <col min="17" max="17" width="6.7265625" style="2" customWidth="1"/>
    <col min="18" max="18" width="11.90625" style="2" customWidth="1"/>
    <col min="19" max="19" width="8.1796875" style="40" customWidth="1"/>
    <col min="20" max="20" width="11.26953125" style="40" customWidth="1"/>
    <col min="21" max="23" width="8.1796875" style="40" customWidth="1"/>
    <col min="24" max="24" width="16.54296875" style="18" customWidth="1"/>
    <col min="25" max="25" width="29.7265625" style="18" hidden="1" customWidth="1"/>
    <col min="26" max="26" width="15.08984375" style="18" hidden="1" customWidth="1"/>
    <col min="27" max="27" width="24.1796875" style="18" customWidth="1"/>
    <col min="28" max="16384" width="9.1796875" style="2"/>
  </cols>
  <sheetData>
    <row r="1" spans="1:27">
      <c r="A1" s="4" t="s">
        <v>625</v>
      </c>
      <c r="B1" s="5"/>
      <c r="C1" s="5"/>
      <c r="D1" s="5"/>
      <c r="E1" s="6"/>
      <c r="F1" s="6"/>
      <c r="G1" s="6"/>
      <c r="H1" s="6"/>
      <c r="I1" s="12">
        <v>0</v>
      </c>
      <c r="J1" s="13" t="s">
        <v>629</v>
      </c>
      <c r="K1" s="6"/>
      <c r="L1" s="6"/>
      <c r="M1" s="6"/>
      <c r="N1" s="5"/>
      <c r="O1" s="5"/>
      <c r="P1" s="5"/>
      <c r="Q1" s="5"/>
      <c r="R1" s="5"/>
    </row>
    <row r="2" spans="1:27">
      <c r="A2" s="4" t="s">
        <v>626</v>
      </c>
      <c r="B2" s="5"/>
      <c r="C2" s="5"/>
      <c r="D2" s="5"/>
      <c r="E2" s="6"/>
      <c r="F2" s="6"/>
      <c r="G2" s="6"/>
      <c r="H2" s="6"/>
      <c r="I2" s="12">
        <v>31</v>
      </c>
      <c r="J2" s="13" t="s">
        <v>630</v>
      </c>
      <c r="K2" s="6"/>
      <c r="L2" s="6"/>
      <c r="M2" s="6"/>
      <c r="N2" s="5"/>
      <c r="O2" s="5"/>
      <c r="P2" s="5"/>
      <c r="Q2" s="5"/>
      <c r="R2" s="5"/>
    </row>
    <row r="3" spans="1:27">
      <c r="A3" s="4" t="s">
        <v>644</v>
      </c>
      <c r="B3" s="5"/>
      <c r="C3" s="5"/>
      <c r="D3" s="5"/>
      <c r="E3" s="6"/>
      <c r="F3" s="6"/>
      <c r="G3" s="6"/>
      <c r="H3" s="6"/>
      <c r="I3" s="12">
        <v>61</v>
      </c>
      <c r="J3" s="13" t="s">
        <v>631</v>
      </c>
      <c r="K3" s="6"/>
      <c r="L3" s="6"/>
      <c r="M3" s="6"/>
      <c r="N3" s="5"/>
      <c r="O3" s="5"/>
      <c r="P3" s="5"/>
      <c r="Q3" s="5"/>
      <c r="R3" s="5"/>
    </row>
    <row r="4" spans="1:27">
      <c r="A4" s="7"/>
      <c r="B4" s="5"/>
      <c r="C4" s="5"/>
      <c r="D4" s="5"/>
      <c r="E4" s="6"/>
      <c r="F4" s="6"/>
      <c r="G4" s="6"/>
      <c r="H4" s="6"/>
      <c r="I4" s="12">
        <v>91</v>
      </c>
      <c r="J4" s="13" t="s">
        <v>632</v>
      </c>
      <c r="K4" s="6"/>
      <c r="L4" s="6"/>
      <c r="M4" s="6"/>
      <c r="N4" s="5"/>
      <c r="O4" s="5"/>
      <c r="P4" s="5"/>
      <c r="Q4" s="5"/>
      <c r="R4" s="5"/>
    </row>
    <row r="5" spans="1:27" s="165" customFormat="1" ht="15" customHeight="1">
      <c r="A5" s="8" t="s">
        <v>124</v>
      </c>
      <c r="B5" s="8" t="s">
        <v>627</v>
      </c>
      <c r="C5" s="8" t="s">
        <v>126</v>
      </c>
      <c r="D5" s="8" t="s">
        <v>628</v>
      </c>
      <c r="E5" s="8" t="s">
        <v>128</v>
      </c>
      <c r="F5" s="14" t="s">
        <v>633</v>
      </c>
      <c r="G5" s="14" t="s">
        <v>0</v>
      </c>
      <c r="H5" s="14" t="s">
        <v>634</v>
      </c>
      <c r="I5" s="14" t="s">
        <v>131</v>
      </c>
      <c r="J5" s="14" t="s">
        <v>635</v>
      </c>
      <c r="K5" s="14" t="s">
        <v>132</v>
      </c>
      <c r="L5" s="14" t="s">
        <v>636</v>
      </c>
      <c r="M5" s="19" t="s">
        <v>133</v>
      </c>
      <c r="N5" s="14" t="s">
        <v>134</v>
      </c>
      <c r="O5" s="14" t="s">
        <v>637</v>
      </c>
      <c r="P5" s="14" t="s">
        <v>1</v>
      </c>
      <c r="Q5" s="14" t="s">
        <v>2</v>
      </c>
      <c r="R5" s="181" t="s">
        <v>638</v>
      </c>
      <c r="S5" s="168" t="s">
        <v>123</v>
      </c>
      <c r="T5" s="169"/>
      <c r="U5" s="169"/>
      <c r="V5" s="169"/>
      <c r="W5" s="169"/>
      <c r="X5" s="180" t="s">
        <v>639</v>
      </c>
      <c r="Y5" s="175"/>
      <c r="Z5" s="175"/>
      <c r="AA5" s="176"/>
    </row>
    <row r="6" spans="1:27" s="165" customFormat="1" ht="15" customHeight="1">
      <c r="A6" s="9"/>
      <c r="B6" s="9"/>
      <c r="C6" s="9"/>
      <c r="D6" s="9"/>
      <c r="E6" s="9"/>
      <c r="F6" s="15"/>
      <c r="G6" s="15"/>
      <c r="H6" s="15"/>
      <c r="I6" s="15"/>
      <c r="J6" s="15"/>
      <c r="K6" s="15"/>
      <c r="L6" s="15"/>
      <c r="M6" s="20"/>
      <c r="N6" s="15"/>
      <c r="O6" s="15"/>
      <c r="P6" s="15"/>
      <c r="Q6" s="15"/>
      <c r="R6" s="182"/>
      <c r="S6" s="170"/>
      <c r="T6" s="171"/>
      <c r="U6" s="171"/>
      <c r="V6" s="171"/>
      <c r="W6" s="171"/>
      <c r="X6" s="166" t="s">
        <v>640</v>
      </c>
      <c r="Y6" s="21" t="s">
        <v>641</v>
      </c>
      <c r="Z6" s="21" t="s">
        <v>642</v>
      </c>
      <c r="AA6" s="22" t="s">
        <v>643</v>
      </c>
    </row>
    <row r="7" spans="1:27" s="165" customFormat="1" ht="15" customHeight="1">
      <c r="A7" s="10"/>
      <c r="B7" s="10"/>
      <c r="C7" s="10"/>
      <c r="D7" s="10"/>
      <c r="E7" s="10"/>
      <c r="F7" s="16"/>
      <c r="G7" s="16"/>
      <c r="H7" s="16"/>
      <c r="I7" s="16"/>
      <c r="J7" s="16"/>
      <c r="K7" s="16"/>
      <c r="L7" s="16"/>
      <c r="M7" s="23"/>
      <c r="N7" s="16"/>
      <c r="O7" s="16"/>
      <c r="P7" s="16"/>
      <c r="Q7" s="16"/>
      <c r="R7" s="183"/>
      <c r="S7" s="172"/>
      <c r="T7" s="173"/>
      <c r="U7" s="173"/>
      <c r="V7" s="173"/>
      <c r="W7" s="173"/>
      <c r="X7" s="167"/>
      <c r="Y7" s="24"/>
      <c r="Z7" s="24"/>
      <c r="AA7" s="22"/>
    </row>
    <row r="8" spans="1:27" s="165" customFormat="1" ht="15" customHeight="1">
      <c r="A8" s="11" t="s">
        <v>124</v>
      </c>
      <c r="B8" s="11" t="s">
        <v>627</v>
      </c>
      <c r="C8" s="11" t="s">
        <v>126</v>
      </c>
      <c r="D8" s="11" t="s">
        <v>628</v>
      </c>
      <c r="E8" s="11" t="s">
        <v>128</v>
      </c>
      <c r="F8" s="17" t="s">
        <v>633</v>
      </c>
      <c r="G8" s="17" t="s">
        <v>0</v>
      </c>
      <c r="H8" s="17" t="s">
        <v>634</v>
      </c>
      <c r="I8" s="17" t="s">
        <v>131</v>
      </c>
      <c r="J8" s="17" t="s">
        <v>635</v>
      </c>
      <c r="K8" s="17" t="s">
        <v>132</v>
      </c>
      <c r="L8" s="17" t="s">
        <v>636</v>
      </c>
      <c r="M8" s="25" t="s">
        <v>133</v>
      </c>
      <c r="N8" s="17" t="s">
        <v>134</v>
      </c>
      <c r="O8" s="17" t="s">
        <v>637</v>
      </c>
      <c r="P8" s="17" t="s">
        <v>1</v>
      </c>
      <c r="Q8" s="17" t="s">
        <v>2</v>
      </c>
      <c r="R8" s="17" t="s">
        <v>638</v>
      </c>
      <c r="S8" s="26" t="s">
        <v>3</v>
      </c>
      <c r="T8" s="26" t="s">
        <v>4</v>
      </c>
      <c r="U8" s="26" t="s">
        <v>5</v>
      </c>
      <c r="V8" s="26" t="s">
        <v>135</v>
      </c>
      <c r="W8" s="26" t="s">
        <v>136</v>
      </c>
      <c r="X8" s="27" t="s">
        <v>640</v>
      </c>
      <c r="Y8" s="27" t="s">
        <v>641</v>
      </c>
      <c r="Z8" s="28" t="s">
        <v>642</v>
      </c>
      <c r="AA8" s="29" t="s">
        <v>643</v>
      </c>
    </row>
    <row r="9" spans="1:27" ht="15" customHeight="1">
      <c r="A9" s="1">
        <v>1</v>
      </c>
      <c r="B9" s="1" t="s">
        <v>137</v>
      </c>
      <c r="C9" s="1" t="s">
        <v>138</v>
      </c>
      <c r="D9" s="1" t="s">
        <v>139</v>
      </c>
      <c r="E9" s="1" t="s">
        <v>138</v>
      </c>
      <c r="F9" s="1" t="s">
        <v>140</v>
      </c>
      <c r="G9" s="1" t="s">
        <v>141</v>
      </c>
      <c r="H9" s="1">
        <v>1005002438</v>
      </c>
      <c r="I9" s="1" t="s">
        <v>6</v>
      </c>
      <c r="J9" s="1">
        <v>11</v>
      </c>
      <c r="K9" s="1" t="s">
        <v>142</v>
      </c>
      <c r="L9" s="1">
        <v>1001027102</v>
      </c>
      <c r="M9" s="1" t="s">
        <v>143</v>
      </c>
      <c r="N9" s="1" t="s">
        <v>144</v>
      </c>
      <c r="O9" s="1" t="s">
        <v>145</v>
      </c>
      <c r="P9" s="1" t="s">
        <v>146</v>
      </c>
      <c r="Q9" s="1" t="s">
        <v>147</v>
      </c>
      <c r="R9" s="1" t="s">
        <v>148</v>
      </c>
      <c r="S9" s="44">
        <v>5.65</v>
      </c>
      <c r="T9" s="44">
        <v>0.221</v>
      </c>
      <c r="U9" s="44">
        <v>0</v>
      </c>
      <c r="V9" s="44">
        <v>0</v>
      </c>
      <c r="W9" s="44">
        <v>0</v>
      </c>
      <c r="X9" s="45">
        <v>3489197</v>
      </c>
      <c r="Y9" s="45">
        <v>697839400</v>
      </c>
      <c r="Z9" s="45"/>
      <c r="AA9" s="46">
        <v>697839400</v>
      </c>
    </row>
    <row r="10" spans="1:27" ht="15" customHeight="1">
      <c r="A10" s="56"/>
      <c r="B10" s="56" t="s">
        <v>149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7"/>
      <c r="T10" s="57"/>
      <c r="U10" s="57"/>
      <c r="V10" s="57"/>
      <c r="W10" s="57"/>
      <c r="X10" s="58">
        <f>SUM(X9)</f>
        <v>3489197</v>
      </c>
      <c r="Y10" s="58">
        <f t="shared" ref="Y10:AA10" si="0">SUM(Y9)</f>
        <v>697839400</v>
      </c>
      <c r="Z10" s="58">
        <f t="shared" si="0"/>
        <v>0</v>
      </c>
      <c r="AA10" s="58">
        <f t="shared" si="0"/>
        <v>697839400</v>
      </c>
    </row>
    <row r="11" spans="1:27" ht="15" customHeight="1">
      <c r="A11" s="1">
        <v>2</v>
      </c>
      <c r="B11" s="1" t="s">
        <v>150</v>
      </c>
      <c r="C11" s="1" t="s">
        <v>151</v>
      </c>
      <c r="D11" s="1" t="s">
        <v>152</v>
      </c>
      <c r="E11" s="1" t="s">
        <v>151</v>
      </c>
      <c r="F11" s="1" t="s">
        <v>153</v>
      </c>
      <c r="G11" s="1" t="s">
        <v>141</v>
      </c>
      <c r="H11" s="1">
        <v>1005001253</v>
      </c>
      <c r="I11" s="1" t="s">
        <v>7</v>
      </c>
      <c r="J11" s="1">
        <v>200</v>
      </c>
      <c r="K11" s="1" t="s">
        <v>142</v>
      </c>
      <c r="L11" s="1">
        <v>1001023111</v>
      </c>
      <c r="M11" s="1" t="s">
        <v>154</v>
      </c>
      <c r="N11" s="1" t="s">
        <v>144</v>
      </c>
      <c r="O11" s="1" t="s">
        <v>145</v>
      </c>
      <c r="P11" s="1" t="s">
        <v>146</v>
      </c>
      <c r="Q11" s="1" t="s">
        <v>147</v>
      </c>
      <c r="R11" s="1" t="s">
        <v>148</v>
      </c>
      <c r="S11" s="44">
        <v>5.0199999999999996</v>
      </c>
      <c r="T11" s="44">
        <v>0</v>
      </c>
      <c r="U11" s="44">
        <v>0</v>
      </c>
      <c r="V11" s="44">
        <v>0</v>
      </c>
      <c r="W11" s="44">
        <v>0</v>
      </c>
      <c r="X11" s="45">
        <v>3000362</v>
      </c>
      <c r="Y11" s="45">
        <v>300036200</v>
      </c>
      <c r="Z11" s="45"/>
      <c r="AA11" s="46">
        <v>300036200</v>
      </c>
    </row>
    <row r="12" spans="1:27" ht="15" customHeight="1">
      <c r="A12" s="1">
        <v>2</v>
      </c>
      <c r="B12" s="1" t="s">
        <v>150</v>
      </c>
      <c r="C12" s="1" t="s">
        <v>151</v>
      </c>
      <c r="D12" s="1" t="s">
        <v>152</v>
      </c>
      <c r="E12" s="1" t="s">
        <v>151</v>
      </c>
      <c r="F12" s="1" t="s">
        <v>153</v>
      </c>
      <c r="G12" s="1" t="s">
        <v>141</v>
      </c>
      <c r="H12" s="1">
        <v>1005001254</v>
      </c>
      <c r="I12" s="1" t="s">
        <v>7</v>
      </c>
      <c r="J12" s="1">
        <v>200</v>
      </c>
      <c r="K12" s="1" t="s">
        <v>142</v>
      </c>
      <c r="L12" s="1">
        <v>1001023240</v>
      </c>
      <c r="M12" s="1" t="s">
        <v>155</v>
      </c>
      <c r="N12" s="1" t="s">
        <v>144</v>
      </c>
      <c r="O12" s="1" t="s">
        <v>145</v>
      </c>
      <c r="P12" s="1" t="s">
        <v>146</v>
      </c>
      <c r="Q12" s="1" t="s">
        <v>147</v>
      </c>
      <c r="R12" s="1" t="s">
        <v>148</v>
      </c>
      <c r="S12" s="44">
        <v>5.0199999999999996</v>
      </c>
      <c r="T12" s="44">
        <v>0</v>
      </c>
      <c r="U12" s="44">
        <v>0</v>
      </c>
      <c r="V12" s="44">
        <v>0</v>
      </c>
      <c r="W12" s="44">
        <v>0</v>
      </c>
      <c r="X12" s="45">
        <v>1000000</v>
      </c>
      <c r="Y12" s="45">
        <v>100000000</v>
      </c>
      <c r="Z12" s="45"/>
      <c r="AA12" s="46">
        <v>100000000</v>
      </c>
    </row>
    <row r="13" spans="1:27" ht="15" customHeight="1">
      <c r="A13" s="1">
        <v>2</v>
      </c>
      <c r="B13" s="1" t="s">
        <v>150</v>
      </c>
      <c r="C13" s="1" t="s">
        <v>151</v>
      </c>
      <c r="D13" s="1" t="s">
        <v>152</v>
      </c>
      <c r="E13" s="1" t="s">
        <v>151</v>
      </c>
      <c r="F13" s="1" t="s">
        <v>153</v>
      </c>
      <c r="G13" s="1" t="s">
        <v>141</v>
      </c>
      <c r="H13" s="1">
        <v>1005002060</v>
      </c>
      <c r="I13" s="1" t="s">
        <v>8</v>
      </c>
      <c r="J13" s="1">
        <v>66</v>
      </c>
      <c r="K13" s="1" t="s">
        <v>142</v>
      </c>
      <c r="L13" s="1">
        <v>1001026724</v>
      </c>
      <c r="M13" s="1" t="s">
        <v>156</v>
      </c>
      <c r="N13" s="1" t="s">
        <v>144</v>
      </c>
      <c r="O13" s="1" t="s">
        <v>145</v>
      </c>
      <c r="P13" s="1" t="s">
        <v>146</v>
      </c>
      <c r="Q13" s="1" t="s">
        <v>147</v>
      </c>
      <c r="R13" s="1" t="s">
        <v>148</v>
      </c>
      <c r="S13" s="44">
        <v>5.14</v>
      </c>
      <c r="T13" s="44">
        <v>0.20499999999999999</v>
      </c>
      <c r="U13" s="44">
        <v>0</v>
      </c>
      <c r="V13" s="44">
        <v>0</v>
      </c>
      <c r="W13" s="44">
        <v>0</v>
      </c>
      <c r="X13" s="45">
        <v>4000011</v>
      </c>
      <c r="Y13" s="45">
        <v>400001100</v>
      </c>
      <c r="Z13" s="45"/>
      <c r="AA13" s="46">
        <v>400001100</v>
      </c>
    </row>
    <row r="14" spans="1:27" ht="15" customHeight="1">
      <c r="A14" s="1">
        <v>2</v>
      </c>
      <c r="B14" s="1" t="s">
        <v>150</v>
      </c>
      <c r="C14" s="1" t="s">
        <v>151</v>
      </c>
      <c r="D14" s="1" t="s">
        <v>152</v>
      </c>
      <c r="E14" s="1" t="s">
        <v>151</v>
      </c>
      <c r="F14" s="1" t="s">
        <v>153</v>
      </c>
      <c r="G14" s="1" t="s">
        <v>141</v>
      </c>
      <c r="H14" s="1">
        <v>1005002460</v>
      </c>
      <c r="I14" s="1" t="s">
        <v>9</v>
      </c>
      <c r="J14" s="1">
        <v>9</v>
      </c>
      <c r="K14" s="1" t="s">
        <v>142</v>
      </c>
      <c r="L14" s="1">
        <v>1001027351</v>
      </c>
      <c r="M14" s="1" t="s">
        <v>157</v>
      </c>
      <c r="N14" s="1" t="s">
        <v>144</v>
      </c>
      <c r="O14" s="1" t="s">
        <v>145</v>
      </c>
      <c r="P14" s="1" t="s">
        <v>146</v>
      </c>
      <c r="Q14" s="1" t="s">
        <v>147</v>
      </c>
      <c r="R14" s="1" t="s">
        <v>148</v>
      </c>
      <c r="S14" s="44">
        <v>5.66</v>
      </c>
      <c r="T14" s="44">
        <v>0.23</v>
      </c>
      <c r="U14" s="44">
        <v>0</v>
      </c>
      <c r="V14" s="44">
        <v>0</v>
      </c>
      <c r="W14" s="44">
        <v>0</v>
      </c>
      <c r="X14" s="45">
        <v>2000410</v>
      </c>
      <c r="Y14" s="45">
        <v>400082000</v>
      </c>
      <c r="Z14" s="45"/>
      <c r="AA14" s="46">
        <v>400082000</v>
      </c>
    </row>
    <row r="15" spans="1:27" ht="15" customHeight="1">
      <c r="A15" s="1">
        <v>2</v>
      </c>
      <c r="B15" s="1" t="s">
        <v>150</v>
      </c>
      <c r="C15" s="1" t="s">
        <v>151</v>
      </c>
      <c r="D15" s="1" t="s">
        <v>152</v>
      </c>
      <c r="E15" s="1" t="s">
        <v>151</v>
      </c>
      <c r="F15" s="1" t="s">
        <v>153</v>
      </c>
      <c r="G15" s="1" t="s">
        <v>141</v>
      </c>
      <c r="H15" s="1">
        <v>1005002464</v>
      </c>
      <c r="I15" s="1" t="s">
        <v>9</v>
      </c>
      <c r="J15" s="1">
        <v>9</v>
      </c>
      <c r="K15" s="1" t="s">
        <v>142</v>
      </c>
      <c r="L15" s="1">
        <v>1001027486</v>
      </c>
      <c r="M15" s="1" t="s">
        <v>158</v>
      </c>
      <c r="N15" s="1" t="s">
        <v>144</v>
      </c>
      <c r="O15" s="1" t="s">
        <v>145</v>
      </c>
      <c r="P15" s="1" t="s">
        <v>146</v>
      </c>
      <c r="Q15" s="1" t="s">
        <v>147</v>
      </c>
      <c r="R15" s="1" t="s">
        <v>148</v>
      </c>
      <c r="S15" s="44">
        <v>5.43</v>
      </c>
      <c r="T15" s="44">
        <v>0.22900000000000001</v>
      </c>
      <c r="U15" s="44">
        <v>0</v>
      </c>
      <c r="V15" s="44">
        <v>0</v>
      </c>
      <c r="W15" s="44">
        <v>0</v>
      </c>
      <c r="X15" s="45">
        <v>3000189</v>
      </c>
      <c r="Y15" s="45">
        <v>300018900</v>
      </c>
      <c r="Z15" s="45"/>
      <c r="AA15" s="46">
        <v>300018900</v>
      </c>
    </row>
    <row r="16" spans="1:27" ht="15" customHeight="1">
      <c r="A16" s="1">
        <v>2</v>
      </c>
      <c r="B16" s="1" t="s">
        <v>150</v>
      </c>
      <c r="C16" s="1" t="s">
        <v>151</v>
      </c>
      <c r="D16" s="1" t="s">
        <v>152</v>
      </c>
      <c r="E16" s="1" t="s">
        <v>151</v>
      </c>
      <c r="F16" s="1" t="s">
        <v>153</v>
      </c>
      <c r="G16" s="1" t="s">
        <v>141</v>
      </c>
      <c r="H16" s="1">
        <v>9085000267</v>
      </c>
      <c r="I16" s="1" t="s">
        <v>9</v>
      </c>
      <c r="J16" s="1">
        <v>9</v>
      </c>
      <c r="K16" s="1" t="s">
        <v>142</v>
      </c>
      <c r="L16" s="1">
        <v>9081001570</v>
      </c>
      <c r="M16" s="1" t="s">
        <v>159</v>
      </c>
      <c r="N16" s="1" t="s">
        <v>144</v>
      </c>
      <c r="O16" s="1" t="s">
        <v>145</v>
      </c>
      <c r="P16" s="1" t="s">
        <v>146</v>
      </c>
      <c r="Q16" s="1" t="s">
        <v>147</v>
      </c>
      <c r="R16" s="1" t="s">
        <v>160</v>
      </c>
      <c r="S16" s="44">
        <v>5.87</v>
      </c>
      <c r="T16" s="44">
        <v>0.21299999999999999</v>
      </c>
      <c r="U16" s="44">
        <v>0</v>
      </c>
      <c r="V16" s="44">
        <v>0</v>
      </c>
      <c r="W16" s="44">
        <v>0</v>
      </c>
      <c r="X16" s="45">
        <v>2000451</v>
      </c>
      <c r="Y16" s="45">
        <v>400090200</v>
      </c>
      <c r="Z16" s="45"/>
      <c r="AA16" s="46">
        <v>400090200</v>
      </c>
    </row>
    <row r="17" spans="1:27" ht="15" customHeight="1">
      <c r="A17" s="1">
        <v>2</v>
      </c>
      <c r="B17" s="1" t="s">
        <v>150</v>
      </c>
      <c r="C17" s="1" t="s">
        <v>151</v>
      </c>
      <c r="D17" s="1" t="s">
        <v>152</v>
      </c>
      <c r="E17" s="1" t="s">
        <v>151</v>
      </c>
      <c r="F17" s="1" t="s">
        <v>153</v>
      </c>
      <c r="G17" s="1" t="s">
        <v>141</v>
      </c>
      <c r="H17" s="1">
        <v>9085000268</v>
      </c>
      <c r="I17" s="1" t="s">
        <v>9</v>
      </c>
      <c r="J17" s="1">
        <v>9</v>
      </c>
      <c r="K17" s="1" t="s">
        <v>142</v>
      </c>
      <c r="L17" s="1">
        <v>9081001570</v>
      </c>
      <c r="M17" s="1" t="s">
        <v>159</v>
      </c>
      <c r="N17" s="1" t="s">
        <v>144</v>
      </c>
      <c r="O17" s="1" t="s">
        <v>145</v>
      </c>
      <c r="P17" s="1" t="s">
        <v>146</v>
      </c>
      <c r="Q17" s="1" t="s">
        <v>147</v>
      </c>
      <c r="R17" s="1" t="s">
        <v>160</v>
      </c>
      <c r="S17" s="44">
        <v>5.66</v>
      </c>
      <c r="T17" s="44">
        <v>0.23</v>
      </c>
      <c r="U17" s="44">
        <v>0</v>
      </c>
      <c r="V17" s="44">
        <v>0</v>
      </c>
      <c r="W17" s="44">
        <v>0</v>
      </c>
      <c r="X17" s="45">
        <v>2000000</v>
      </c>
      <c r="Y17" s="45">
        <v>400000000</v>
      </c>
      <c r="Z17" s="45"/>
      <c r="AA17" s="46">
        <v>400000000</v>
      </c>
    </row>
    <row r="18" spans="1:27" ht="15" customHeight="1">
      <c r="A18" s="1">
        <v>2</v>
      </c>
      <c r="B18" s="1" t="s">
        <v>150</v>
      </c>
      <c r="C18" s="1" t="s">
        <v>151</v>
      </c>
      <c r="D18" s="1" t="s">
        <v>152</v>
      </c>
      <c r="E18" s="1" t="s">
        <v>151</v>
      </c>
      <c r="F18" s="1" t="s">
        <v>153</v>
      </c>
      <c r="G18" s="1" t="s">
        <v>141</v>
      </c>
      <c r="H18" s="1">
        <v>9145000205</v>
      </c>
      <c r="I18" s="1" t="s">
        <v>9</v>
      </c>
      <c r="J18" s="1">
        <v>9</v>
      </c>
      <c r="K18" s="1" t="s">
        <v>142</v>
      </c>
      <c r="L18" s="1">
        <v>9141001855</v>
      </c>
      <c r="M18" s="1" t="s">
        <v>161</v>
      </c>
      <c r="N18" s="1" t="s">
        <v>144</v>
      </c>
      <c r="O18" s="1" t="s">
        <v>145</v>
      </c>
      <c r="P18" s="1" t="s">
        <v>146</v>
      </c>
      <c r="Q18" s="1" t="s">
        <v>147</v>
      </c>
      <c r="R18" s="1" t="s">
        <v>162</v>
      </c>
      <c r="S18" s="44">
        <v>5.82</v>
      </c>
      <c r="T18" s="44">
        <v>0.217</v>
      </c>
      <c r="U18" s="44">
        <v>0</v>
      </c>
      <c r="V18" s="44">
        <v>0</v>
      </c>
      <c r="W18" s="44">
        <v>0</v>
      </c>
      <c r="X18" s="45">
        <v>4000008</v>
      </c>
      <c r="Y18" s="45">
        <v>800001600</v>
      </c>
      <c r="Z18" s="45"/>
      <c r="AA18" s="46">
        <v>800001600</v>
      </c>
    </row>
    <row r="19" spans="1:27" ht="15" customHeight="1">
      <c r="A19" s="56"/>
      <c r="B19" s="56" t="s">
        <v>149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7"/>
      <c r="T19" s="57"/>
      <c r="U19" s="57"/>
      <c r="V19" s="57"/>
      <c r="W19" s="57"/>
      <c r="X19" s="58">
        <f>SUM(X11:X18)</f>
        <v>21001431</v>
      </c>
      <c r="Y19" s="58">
        <f t="shared" ref="Y19:AA19" si="1">SUM(Y11:Y18)</f>
        <v>3100230000</v>
      </c>
      <c r="Z19" s="58">
        <f t="shared" si="1"/>
        <v>0</v>
      </c>
      <c r="AA19" s="58">
        <f t="shared" si="1"/>
        <v>3100230000</v>
      </c>
    </row>
    <row r="20" spans="1:27" ht="15" customHeight="1">
      <c r="A20" s="1">
        <v>3</v>
      </c>
      <c r="B20" s="1" t="s">
        <v>163</v>
      </c>
      <c r="C20" s="1" t="s">
        <v>164</v>
      </c>
      <c r="D20" s="1" t="s">
        <v>165</v>
      </c>
      <c r="E20" s="1" t="s">
        <v>164</v>
      </c>
      <c r="F20" s="1" t="s">
        <v>140</v>
      </c>
      <c r="G20" s="1" t="s">
        <v>141</v>
      </c>
      <c r="H20" s="1">
        <v>1005002323</v>
      </c>
      <c r="I20" s="1" t="s">
        <v>10</v>
      </c>
      <c r="J20" s="1">
        <v>31</v>
      </c>
      <c r="K20" s="1" t="s">
        <v>142</v>
      </c>
      <c r="L20" s="1">
        <v>1001026991</v>
      </c>
      <c r="M20" s="1" t="s">
        <v>166</v>
      </c>
      <c r="N20" s="1" t="s">
        <v>144</v>
      </c>
      <c r="O20" s="1" t="s">
        <v>145</v>
      </c>
      <c r="P20" s="1" t="s">
        <v>146</v>
      </c>
      <c r="Q20" s="1" t="s">
        <v>147</v>
      </c>
      <c r="R20" s="1" t="s">
        <v>148</v>
      </c>
      <c r="S20" s="44">
        <v>3.37</v>
      </c>
      <c r="T20" s="44">
        <v>0.7</v>
      </c>
      <c r="U20" s="44">
        <v>0</v>
      </c>
      <c r="V20" s="44">
        <v>0</v>
      </c>
      <c r="W20" s="44">
        <v>0</v>
      </c>
      <c r="X20" s="45">
        <v>17.72</v>
      </c>
      <c r="Y20" s="45">
        <v>249852</v>
      </c>
      <c r="Z20" s="45"/>
      <c r="AA20" s="46">
        <v>249852</v>
      </c>
    </row>
    <row r="21" spans="1:27" ht="15" customHeight="1">
      <c r="A21" s="56"/>
      <c r="B21" s="56" t="s">
        <v>149</v>
      </c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7"/>
      <c r="T21" s="57"/>
      <c r="U21" s="57"/>
      <c r="V21" s="57"/>
      <c r="W21" s="57"/>
      <c r="X21" s="58">
        <f>SUM(X20)</f>
        <v>17.72</v>
      </c>
      <c r="Y21" s="58">
        <f t="shared" ref="Y21:AA21" si="2">SUM(Y20)</f>
        <v>249852</v>
      </c>
      <c r="Z21" s="58">
        <f t="shared" si="2"/>
        <v>0</v>
      </c>
      <c r="AA21" s="58">
        <f t="shared" si="2"/>
        <v>249852</v>
      </c>
    </row>
    <row r="22" spans="1:27" ht="15" customHeight="1">
      <c r="A22" s="1">
        <v>4</v>
      </c>
      <c r="B22" s="1" t="s">
        <v>167</v>
      </c>
      <c r="C22" s="1" t="s">
        <v>168</v>
      </c>
      <c r="D22" s="1" t="s">
        <v>169</v>
      </c>
      <c r="E22" s="1" t="s">
        <v>168</v>
      </c>
      <c r="F22" s="1" t="s">
        <v>170</v>
      </c>
      <c r="G22" s="1" t="s">
        <v>141</v>
      </c>
      <c r="H22" s="1">
        <v>1641000005</v>
      </c>
      <c r="I22" s="1" t="s">
        <v>11</v>
      </c>
      <c r="J22" s="1">
        <v>14</v>
      </c>
      <c r="K22" s="1" t="s">
        <v>171</v>
      </c>
      <c r="L22" s="1">
        <v>1641000171</v>
      </c>
      <c r="M22" s="1" t="s">
        <v>172</v>
      </c>
      <c r="N22" s="1" t="s">
        <v>144</v>
      </c>
      <c r="O22" s="1" t="s">
        <v>145</v>
      </c>
      <c r="P22" s="1" t="s">
        <v>146</v>
      </c>
      <c r="Q22" s="1" t="s">
        <v>147</v>
      </c>
      <c r="R22" s="1" t="s">
        <v>173</v>
      </c>
      <c r="S22" s="44">
        <v>5.42</v>
      </c>
      <c r="T22" s="44">
        <v>0.43</v>
      </c>
      <c r="U22" s="44">
        <v>0</v>
      </c>
      <c r="V22" s="44">
        <v>1.89</v>
      </c>
      <c r="W22" s="44">
        <v>0</v>
      </c>
      <c r="X22" s="45">
        <v>87090</v>
      </c>
      <c r="Y22" s="45">
        <v>15041000</v>
      </c>
      <c r="Z22" s="45"/>
      <c r="AA22" s="46">
        <v>15041000</v>
      </c>
    </row>
    <row r="23" spans="1:27" ht="15" customHeight="1">
      <c r="A23" s="1">
        <v>4</v>
      </c>
      <c r="B23" s="1" t="s">
        <v>167</v>
      </c>
      <c r="C23" s="1" t="s">
        <v>168</v>
      </c>
      <c r="D23" s="1" t="s">
        <v>169</v>
      </c>
      <c r="E23" s="1" t="s">
        <v>168</v>
      </c>
      <c r="F23" s="1" t="s">
        <v>170</v>
      </c>
      <c r="G23" s="1" t="s">
        <v>141</v>
      </c>
      <c r="H23" s="1">
        <v>1641000006</v>
      </c>
      <c r="I23" s="1" t="s">
        <v>11</v>
      </c>
      <c r="J23" s="1">
        <v>14</v>
      </c>
      <c r="K23" s="1" t="s">
        <v>171</v>
      </c>
      <c r="L23" s="1">
        <v>1641000171</v>
      </c>
      <c r="M23" s="1" t="s">
        <v>172</v>
      </c>
      <c r="N23" s="1" t="s">
        <v>144</v>
      </c>
      <c r="O23" s="1" t="s">
        <v>145</v>
      </c>
      <c r="P23" s="1" t="s">
        <v>146</v>
      </c>
      <c r="Q23" s="1" t="s">
        <v>147</v>
      </c>
      <c r="R23" s="1" t="s">
        <v>173</v>
      </c>
      <c r="S23" s="44">
        <v>5.45</v>
      </c>
      <c r="T23" s="44">
        <v>0.43</v>
      </c>
      <c r="U23" s="44">
        <v>0</v>
      </c>
      <c r="V23" s="44">
        <v>1.98</v>
      </c>
      <c r="W23" s="44">
        <v>0</v>
      </c>
      <c r="X23" s="45">
        <v>170140</v>
      </c>
      <c r="Y23" s="45">
        <v>19379000</v>
      </c>
      <c r="Z23" s="45"/>
      <c r="AA23" s="46">
        <v>19379000</v>
      </c>
    </row>
    <row r="24" spans="1:27" ht="15" customHeight="1">
      <c r="A24" s="56"/>
      <c r="B24" s="56" t="s">
        <v>149</v>
      </c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7"/>
      <c r="T24" s="57"/>
      <c r="U24" s="57"/>
      <c r="V24" s="57"/>
      <c r="W24" s="57"/>
      <c r="X24" s="58">
        <f>SUM(X22:X23)</f>
        <v>257230</v>
      </c>
      <c r="Y24" s="58">
        <f t="shared" ref="Y24:AA24" si="3">SUM(Y22:Y23)</f>
        <v>34420000</v>
      </c>
      <c r="Z24" s="58">
        <f t="shared" si="3"/>
        <v>0</v>
      </c>
      <c r="AA24" s="58">
        <f t="shared" si="3"/>
        <v>34420000</v>
      </c>
    </row>
    <row r="25" spans="1:27" ht="15" customHeight="1">
      <c r="A25" s="1">
        <v>5</v>
      </c>
      <c r="B25" s="1" t="s">
        <v>174</v>
      </c>
      <c r="C25" s="1" t="s">
        <v>175</v>
      </c>
      <c r="D25" s="1" t="s">
        <v>176</v>
      </c>
      <c r="E25" s="1" t="s">
        <v>175</v>
      </c>
      <c r="F25" s="1" t="s">
        <v>170</v>
      </c>
      <c r="G25" s="1" t="s">
        <v>141</v>
      </c>
      <c r="H25" s="1">
        <v>1005002444</v>
      </c>
      <c r="I25" s="1" t="s">
        <v>12</v>
      </c>
      <c r="J25" s="1">
        <v>10</v>
      </c>
      <c r="K25" s="1" t="s">
        <v>171</v>
      </c>
      <c r="L25" s="1">
        <v>1001027675</v>
      </c>
      <c r="M25" s="1" t="s">
        <v>177</v>
      </c>
      <c r="N25" s="1" t="s">
        <v>178</v>
      </c>
      <c r="O25" s="1" t="s">
        <v>179</v>
      </c>
      <c r="P25" s="1" t="s">
        <v>146</v>
      </c>
      <c r="Q25" s="1" t="s">
        <v>147</v>
      </c>
      <c r="R25" s="1" t="s">
        <v>148</v>
      </c>
      <c r="S25" s="44">
        <v>0</v>
      </c>
      <c r="T25" s="44">
        <v>20.51</v>
      </c>
      <c r="U25" s="44">
        <v>0.83</v>
      </c>
      <c r="V25" s="44">
        <v>0</v>
      </c>
      <c r="W25" s="44">
        <v>0</v>
      </c>
      <c r="X25" s="45">
        <v>1961.4</v>
      </c>
      <c r="Y25" s="45">
        <v>2059471</v>
      </c>
      <c r="Z25" s="45"/>
      <c r="AA25" s="46">
        <v>2059471</v>
      </c>
    </row>
    <row r="26" spans="1:27" ht="15" customHeight="1">
      <c r="A26" s="56"/>
      <c r="B26" s="56" t="s">
        <v>149</v>
      </c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7"/>
      <c r="T26" s="57"/>
      <c r="U26" s="57"/>
      <c r="V26" s="57"/>
      <c r="W26" s="57"/>
      <c r="X26" s="58">
        <f>SUM(X25)</f>
        <v>1961.4</v>
      </c>
      <c r="Y26" s="58">
        <f t="shared" ref="Y26:AA26" si="4">SUM(Y25)</f>
        <v>2059471</v>
      </c>
      <c r="Z26" s="58">
        <f t="shared" si="4"/>
        <v>0</v>
      </c>
      <c r="AA26" s="58">
        <f t="shared" si="4"/>
        <v>2059471</v>
      </c>
    </row>
    <row r="27" spans="1:27" ht="15" customHeight="1">
      <c r="A27" s="1">
        <v>6</v>
      </c>
      <c r="B27" s="1" t="s">
        <v>180</v>
      </c>
      <c r="C27" s="1" t="s">
        <v>181</v>
      </c>
      <c r="D27" s="1" t="s">
        <v>182</v>
      </c>
      <c r="E27" s="1" t="s">
        <v>181</v>
      </c>
      <c r="F27" s="1" t="s">
        <v>183</v>
      </c>
      <c r="G27" s="1" t="s">
        <v>141</v>
      </c>
      <c r="H27" s="1">
        <v>337</v>
      </c>
      <c r="I27" s="1" t="s">
        <v>13</v>
      </c>
      <c r="J27" s="1">
        <v>1050</v>
      </c>
      <c r="K27" s="1" t="s">
        <v>184</v>
      </c>
      <c r="L27" s="1">
        <v>1001009714</v>
      </c>
      <c r="M27" s="1" t="s">
        <v>185</v>
      </c>
      <c r="N27" s="1" t="s">
        <v>144</v>
      </c>
      <c r="O27" s="1" t="s">
        <v>145</v>
      </c>
      <c r="P27" s="1" t="s">
        <v>146</v>
      </c>
      <c r="Q27" s="1" t="s">
        <v>147</v>
      </c>
      <c r="R27" s="1" t="s">
        <v>148</v>
      </c>
      <c r="S27" s="44">
        <v>0</v>
      </c>
      <c r="T27" s="44">
        <v>0</v>
      </c>
      <c r="U27" s="44">
        <v>0</v>
      </c>
      <c r="V27" s="44">
        <v>0</v>
      </c>
      <c r="W27" s="44">
        <v>0</v>
      </c>
      <c r="X27" s="45">
        <v>1002275</v>
      </c>
      <c r="Y27" s="45">
        <v>9069386</v>
      </c>
      <c r="Z27" s="45"/>
      <c r="AA27" s="46">
        <v>9069386</v>
      </c>
    </row>
    <row r="28" spans="1:27" ht="15" customHeight="1">
      <c r="A28" s="1">
        <v>6</v>
      </c>
      <c r="B28" s="1" t="s">
        <v>180</v>
      </c>
      <c r="C28" s="1" t="s">
        <v>181</v>
      </c>
      <c r="D28" s="1" t="s">
        <v>182</v>
      </c>
      <c r="E28" s="1" t="s">
        <v>181</v>
      </c>
      <c r="F28" s="1" t="s">
        <v>183</v>
      </c>
      <c r="G28" s="1" t="s">
        <v>141</v>
      </c>
      <c r="H28" s="1">
        <v>338</v>
      </c>
      <c r="I28" s="1" t="s">
        <v>13</v>
      </c>
      <c r="J28" s="1">
        <v>1050</v>
      </c>
      <c r="K28" s="1" t="s">
        <v>184</v>
      </c>
      <c r="L28" s="1">
        <v>1001010102</v>
      </c>
      <c r="M28" s="1" t="s">
        <v>185</v>
      </c>
      <c r="N28" s="1" t="s">
        <v>144</v>
      </c>
      <c r="O28" s="1" t="s">
        <v>145</v>
      </c>
      <c r="P28" s="1" t="s">
        <v>146</v>
      </c>
      <c r="Q28" s="1" t="s">
        <v>147</v>
      </c>
      <c r="R28" s="1" t="s">
        <v>148</v>
      </c>
      <c r="S28" s="44">
        <v>0</v>
      </c>
      <c r="T28" s="44">
        <v>0</v>
      </c>
      <c r="U28" s="44">
        <v>0</v>
      </c>
      <c r="V28" s="44">
        <v>0</v>
      </c>
      <c r="W28" s="44">
        <v>0</v>
      </c>
      <c r="X28" s="45">
        <v>1665562</v>
      </c>
      <c r="Y28" s="45">
        <v>45392605</v>
      </c>
      <c r="Z28" s="45"/>
      <c r="AA28" s="46">
        <v>45392605</v>
      </c>
    </row>
    <row r="29" spans="1:27" ht="15" customHeight="1">
      <c r="A29" s="1">
        <v>6</v>
      </c>
      <c r="B29" s="1" t="s">
        <v>180</v>
      </c>
      <c r="C29" s="1" t="s">
        <v>181</v>
      </c>
      <c r="D29" s="1" t="s">
        <v>182</v>
      </c>
      <c r="E29" s="1" t="s">
        <v>181</v>
      </c>
      <c r="F29" s="1" t="s">
        <v>153</v>
      </c>
      <c r="G29" s="1" t="s">
        <v>141</v>
      </c>
      <c r="H29" s="1">
        <v>842</v>
      </c>
      <c r="I29" s="1" t="s">
        <v>14</v>
      </c>
      <c r="J29" s="1">
        <v>858</v>
      </c>
      <c r="K29" s="1" t="s">
        <v>142</v>
      </c>
      <c r="L29" s="1">
        <v>1001009464</v>
      </c>
      <c r="M29" s="1" t="s">
        <v>186</v>
      </c>
      <c r="N29" s="1" t="s">
        <v>144</v>
      </c>
      <c r="O29" s="1" t="s">
        <v>145</v>
      </c>
      <c r="P29" s="1" t="s">
        <v>146</v>
      </c>
      <c r="Q29" s="1" t="s">
        <v>147</v>
      </c>
      <c r="R29" s="1" t="s">
        <v>148</v>
      </c>
      <c r="S29" s="44">
        <v>0</v>
      </c>
      <c r="T29" s="44">
        <v>0</v>
      </c>
      <c r="U29" s="44">
        <v>0</v>
      </c>
      <c r="V29" s="44">
        <v>0</v>
      </c>
      <c r="W29" s="44">
        <v>0</v>
      </c>
      <c r="X29" s="45">
        <v>1219</v>
      </c>
      <c r="Y29" s="45">
        <v>13417533</v>
      </c>
      <c r="Z29" s="45"/>
      <c r="AA29" s="46">
        <v>13417533</v>
      </c>
    </row>
    <row r="30" spans="1:27" ht="15" customHeight="1">
      <c r="A30" s="1">
        <v>6</v>
      </c>
      <c r="B30" s="1" t="s">
        <v>180</v>
      </c>
      <c r="C30" s="1" t="s">
        <v>181</v>
      </c>
      <c r="D30" s="1" t="s">
        <v>182</v>
      </c>
      <c r="E30" s="1" t="s">
        <v>181</v>
      </c>
      <c r="F30" s="1" t="s">
        <v>153</v>
      </c>
      <c r="G30" s="1" t="s">
        <v>141</v>
      </c>
      <c r="H30" s="1">
        <v>865</v>
      </c>
      <c r="I30" s="1" t="s">
        <v>15</v>
      </c>
      <c r="J30" s="1">
        <v>857</v>
      </c>
      <c r="K30" s="1" t="s">
        <v>184</v>
      </c>
      <c r="L30" s="1">
        <v>1001011419</v>
      </c>
      <c r="M30" s="1" t="s">
        <v>187</v>
      </c>
      <c r="N30" s="1" t="s">
        <v>144</v>
      </c>
      <c r="O30" s="1" t="s">
        <v>145</v>
      </c>
      <c r="P30" s="1" t="s">
        <v>146</v>
      </c>
      <c r="Q30" s="1" t="s">
        <v>147</v>
      </c>
      <c r="R30" s="1" t="s">
        <v>148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5">
        <v>1345</v>
      </c>
      <c r="Y30" s="45">
        <v>12967145</v>
      </c>
      <c r="Z30" s="45"/>
      <c r="AA30" s="46">
        <v>12967145</v>
      </c>
    </row>
    <row r="31" spans="1:27" ht="15" customHeight="1">
      <c r="A31" s="1">
        <v>6</v>
      </c>
      <c r="B31" s="1" t="s">
        <v>180</v>
      </c>
      <c r="C31" s="1" t="s">
        <v>181</v>
      </c>
      <c r="D31" s="1" t="s">
        <v>182</v>
      </c>
      <c r="E31" s="1" t="s">
        <v>181</v>
      </c>
      <c r="F31" s="1" t="s">
        <v>153</v>
      </c>
      <c r="G31" s="1" t="s">
        <v>141</v>
      </c>
      <c r="H31" s="1">
        <v>866</v>
      </c>
      <c r="I31" s="1" t="s">
        <v>15</v>
      </c>
      <c r="J31" s="1">
        <v>857</v>
      </c>
      <c r="K31" s="1" t="s">
        <v>184</v>
      </c>
      <c r="L31" s="1">
        <v>1001011955</v>
      </c>
      <c r="M31" s="1" t="s">
        <v>188</v>
      </c>
      <c r="N31" s="1" t="s">
        <v>144</v>
      </c>
      <c r="O31" s="1" t="s">
        <v>145</v>
      </c>
      <c r="P31" s="1" t="s">
        <v>146</v>
      </c>
      <c r="Q31" s="1" t="s">
        <v>147</v>
      </c>
      <c r="R31" s="1" t="s">
        <v>148</v>
      </c>
      <c r="S31" s="44">
        <v>0</v>
      </c>
      <c r="T31" s="44">
        <v>0</v>
      </c>
      <c r="U31" s="44">
        <v>0</v>
      </c>
      <c r="V31" s="44">
        <v>0</v>
      </c>
      <c r="W31" s="44">
        <v>0</v>
      </c>
      <c r="X31" s="45">
        <v>1401</v>
      </c>
      <c r="Y31" s="45">
        <v>14763738</v>
      </c>
      <c r="Z31" s="45"/>
      <c r="AA31" s="46">
        <v>14763738</v>
      </c>
    </row>
    <row r="32" spans="1:27" ht="15" customHeight="1">
      <c r="A32" s="56"/>
      <c r="B32" s="56" t="s">
        <v>149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7"/>
      <c r="T32" s="57"/>
      <c r="U32" s="57"/>
      <c r="V32" s="57"/>
      <c r="W32" s="57"/>
      <c r="X32" s="58">
        <f>SUM(X27:X31)</f>
        <v>2671802</v>
      </c>
      <c r="Y32" s="58">
        <f t="shared" ref="Y32:AA32" si="5">SUM(Y27:Y31)</f>
        <v>95610407</v>
      </c>
      <c r="Z32" s="58">
        <f t="shared" si="5"/>
        <v>0</v>
      </c>
      <c r="AA32" s="58">
        <f t="shared" si="5"/>
        <v>95610407</v>
      </c>
    </row>
    <row r="33" spans="1:27" ht="15" customHeight="1">
      <c r="A33" s="1">
        <v>7</v>
      </c>
      <c r="B33" s="1" t="s">
        <v>189</v>
      </c>
      <c r="C33" s="1" t="s">
        <v>190</v>
      </c>
      <c r="D33" s="1" t="s">
        <v>152</v>
      </c>
      <c r="E33" s="1" t="s">
        <v>190</v>
      </c>
      <c r="F33" s="1" t="s">
        <v>153</v>
      </c>
      <c r="G33" s="1" t="s">
        <v>141</v>
      </c>
      <c r="H33" s="1">
        <v>9085000132</v>
      </c>
      <c r="I33" s="1" t="s">
        <v>16</v>
      </c>
      <c r="J33" s="1">
        <v>221</v>
      </c>
      <c r="K33" s="1" t="s">
        <v>142</v>
      </c>
      <c r="L33" s="1">
        <v>9081001142</v>
      </c>
      <c r="M33" s="1" t="s">
        <v>191</v>
      </c>
      <c r="N33" s="1" t="s">
        <v>192</v>
      </c>
      <c r="O33" s="1" t="s">
        <v>145</v>
      </c>
      <c r="P33" s="1" t="s">
        <v>146</v>
      </c>
      <c r="Q33" s="1" t="s">
        <v>147</v>
      </c>
      <c r="R33" s="1" t="s">
        <v>160</v>
      </c>
      <c r="S33" s="44">
        <v>8.7200000000000006</v>
      </c>
      <c r="T33" s="44">
        <v>0.47</v>
      </c>
      <c r="U33" s="44">
        <v>0</v>
      </c>
      <c r="V33" s="44">
        <v>0</v>
      </c>
      <c r="W33" s="44">
        <v>0</v>
      </c>
      <c r="X33" s="45">
        <v>483670</v>
      </c>
      <c r="Y33" s="45">
        <v>86556000</v>
      </c>
      <c r="Z33" s="45"/>
      <c r="AA33" s="46">
        <v>86556000</v>
      </c>
    </row>
    <row r="34" spans="1:27" ht="15" customHeight="1">
      <c r="A34" s="1">
        <v>7</v>
      </c>
      <c r="B34" s="1" t="s">
        <v>189</v>
      </c>
      <c r="C34" s="1" t="s">
        <v>190</v>
      </c>
      <c r="D34" s="1" t="s">
        <v>152</v>
      </c>
      <c r="E34" s="1" t="s">
        <v>190</v>
      </c>
      <c r="F34" s="1" t="s">
        <v>153</v>
      </c>
      <c r="G34" s="1" t="s">
        <v>141</v>
      </c>
      <c r="H34" s="1">
        <v>9085000133</v>
      </c>
      <c r="I34" s="1" t="s">
        <v>16</v>
      </c>
      <c r="J34" s="1">
        <v>221</v>
      </c>
      <c r="K34" s="1" t="s">
        <v>142</v>
      </c>
      <c r="L34" s="1">
        <v>9081001142</v>
      </c>
      <c r="M34" s="1" t="s">
        <v>191</v>
      </c>
      <c r="N34" s="1" t="s">
        <v>192</v>
      </c>
      <c r="O34" s="1" t="s">
        <v>145</v>
      </c>
      <c r="P34" s="1" t="s">
        <v>146</v>
      </c>
      <c r="Q34" s="1" t="s">
        <v>147</v>
      </c>
      <c r="R34" s="1" t="s">
        <v>160</v>
      </c>
      <c r="S34" s="44">
        <v>8.56</v>
      </c>
      <c r="T34" s="44">
        <v>0.56999999999999995</v>
      </c>
      <c r="U34" s="44">
        <v>0</v>
      </c>
      <c r="V34" s="44">
        <v>0</v>
      </c>
      <c r="W34" s="44">
        <v>0</v>
      </c>
      <c r="X34" s="45">
        <v>27.81</v>
      </c>
      <c r="Y34" s="45">
        <v>348459</v>
      </c>
      <c r="Z34" s="45"/>
      <c r="AA34" s="46">
        <v>348459</v>
      </c>
    </row>
    <row r="35" spans="1:27" ht="15" customHeight="1">
      <c r="A35" s="1">
        <v>7</v>
      </c>
      <c r="B35" s="1" t="s">
        <v>189</v>
      </c>
      <c r="C35" s="1" t="s">
        <v>190</v>
      </c>
      <c r="D35" s="1" t="s">
        <v>152</v>
      </c>
      <c r="E35" s="1" t="s">
        <v>190</v>
      </c>
      <c r="F35" s="1" t="s">
        <v>153</v>
      </c>
      <c r="G35" s="1" t="s">
        <v>141</v>
      </c>
      <c r="H35" s="1">
        <v>9085000140</v>
      </c>
      <c r="I35" s="1" t="s">
        <v>17</v>
      </c>
      <c r="J35" s="1">
        <v>212</v>
      </c>
      <c r="K35" s="1" t="s">
        <v>142</v>
      </c>
      <c r="L35" s="1">
        <v>9081001113</v>
      </c>
      <c r="M35" s="1" t="s">
        <v>193</v>
      </c>
      <c r="N35" s="1" t="s">
        <v>144</v>
      </c>
      <c r="O35" s="1" t="s">
        <v>145</v>
      </c>
      <c r="P35" s="1" t="s">
        <v>146</v>
      </c>
      <c r="Q35" s="1" t="s">
        <v>147</v>
      </c>
      <c r="R35" s="1" t="s">
        <v>160</v>
      </c>
      <c r="S35" s="44">
        <v>6</v>
      </c>
      <c r="T35" s="44">
        <v>0.38</v>
      </c>
      <c r="U35" s="44">
        <v>0</v>
      </c>
      <c r="V35" s="44">
        <v>0</v>
      </c>
      <c r="W35" s="44">
        <v>0</v>
      </c>
      <c r="X35" s="45">
        <v>1001200</v>
      </c>
      <c r="Y35" s="45">
        <v>260547000</v>
      </c>
      <c r="Z35" s="45"/>
      <c r="AA35" s="46">
        <v>260547000</v>
      </c>
    </row>
    <row r="36" spans="1:27" ht="15" customHeight="1">
      <c r="A36" s="1">
        <v>7</v>
      </c>
      <c r="B36" s="1" t="s">
        <v>189</v>
      </c>
      <c r="C36" s="1" t="s">
        <v>190</v>
      </c>
      <c r="D36" s="1" t="s">
        <v>152</v>
      </c>
      <c r="E36" s="1" t="s">
        <v>190</v>
      </c>
      <c r="F36" s="1" t="s">
        <v>153</v>
      </c>
      <c r="G36" s="1" t="s">
        <v>141</v>
      </c>
      <c r="H36" s="1">
        <v>9085000141</v>
      </c>
      <c r="I36" s="1" t="s">
        <v>17</v>
      </c>
      <c r="J36" s="1">
        <v>212</v>
      </c>
      <c r="K36" s="1" t="s">
        <v>142</v>
      </c>
      <c r="L36" s="1">
        <v>9081001113</v>
      </c>
      <c r="M36" s="1" t="s">
        <v>193</v>
      </c>
      <c r="N36" s="1" t="s">
        <v>144</v>
      </c>
      <c r="O36" s="1" t="s">
        <v>145</v>
      </c>
      <c r="P36" s="1" t="s">
        <v>146</v>
      </c>
      <c r="Q36" s="1" t="s">
        <v>147</v>
      </c>
      <c r="R36" s="1" t="s">
        <v>160</v>
      </c>
      <c r="S36" s="44">
        <v>6.43</v>
      </c>
      <c r="T36" s="44">
        <v>0.63</v>
      </c>
      <c r="U36" s="44">
        <v>0</v>
      </c>
      <c r="V36" s="44">
        <v>0</v>
      </c>
      <c r="W36" s="44">
        <v>0</v>
      </c>
      <c r="X36" s="45">
        <v>52.33</v>
      </c>
      <c r="Y36" s="45">
        <v>703629</v>
      </c>
      <c r="Z36" s="45"/>
      <c r="AA36" s="46">
        <v>703629</v>
      </c>
    </row>
    <row r="37" spans="1:27" ht="15" customHeight="1">
      <c r="A37" s="1">
        <v>7</v>
      </c>
      <c r="B37" s="1" t="s">
        <v>189</v>
      </c>
      <c r="C37" s="1" t="s">
        <v>190</v>
      </c>
      <c r="D37" s="1" t="s">
        <v>152</v>
      </c>
      <c r="E37" s="1" t="s">
        <v>190</v>
      </c>
      <c r="F37" s="1" t="s">
        <v>140</v>
      </c>
      <c r="G37" s="1" t="s">
        <v>141</v>
      </c>
      <c r="H37" s="1">
        <v>9085000149</v>
      </c>
      <c r="I37" s="1" t="s">
        <v>18</v>
      </c>
      <c r="J37" s="1">
        <v>206</v>
      </c>
      <c r="K37" s="1" t="s">
        <v>142</v>
      </c>
      <c r="L37" s="1">
        <v>9081001132</v>
      </c>
      <c r="M37" s="1" t="s">
        <v>194</v>
      </c>
      <c r="N37" s="1" t="s">
        <v>144</v>
      </c>
      <c r="O37" s="1" t="s">
        <v>145</v>
      </c>
      <c r="P37" s="1" t="s">
        <v>146</v>
      </c>
      <c r="Q37" s="1" t="s">
        <v>147</v>
      </c>
      <c r="R37" s="1" t="s">
        <v>160</v>
      </c>
      <c r="S37" s="44">
        <v>5.57</v>
      </c>
      <c r="T37" s="44">
        <v>0.3</v>
      </c>
      <c r="U37" s="44">
        <v>0</v>
      </c>
      <c r="V37" s="44">
        <v>0</v>
      </c>
      <c r="W37" s="44">
        <v>0</v>
      </c>
      <c r="X37" s="45">
        <v>1000330</v>
      </c>
      <c r="Y37" s="45">
        <v>162650000</v>
      </c>
      <c r="Z37" s="45"/>
      <c r="AA37" s="46">
        <v>162650000</v>
      </c>
    </row>
    <row r="38" spans="1:27" ht="15" customHeight="1">
      <c r="A38" s="1">
        <v>7</v>
      </c>
      <c r="B38" s="1" t="s">
        <v>189</v>
      </c>
      <c r="C38" s="1" t="s">
        <v>190</v>
      </c>
      <c r="D38" s="1" t="s">
        <v>152</v>
      </c>
      <c r="E38" s="1" t="s">
        <v>190</v>
      </c>
      <c r="F38" s="1" t="s">
        <v>153</v>
      </c>
      <c r="G38" s="1" t="s">
        <v>141</v>
      </c>
      <c r="H38" s="1">
        <v>9085000152</v>
      </c>
      <c r="I38" s="1" t="s">
        <v>7</v>
      </c>
      <c r="J38" s="1">
        <v>200</v>
      </c>
      <c r="K38" s="1" t="s">
        <v>142</v>
      </c>
      <c r="L38" s="1">
        <v>9081001149</v>
      </c>
      <c r="M38" s="1" t="s">
        <v>195</v>
      </c>
      <c r="N38" s="1" t="s">
        <v>144</v>
      </c>
      <c r="O38" s="1" t="s">
        <v>145</v>
      </c>
      <c r="P38" s="1" t="s">
        <v>146</v>
      </c>
      <c r="Q38" s="1" t="s">
        <v>147</v>
      </c>
      <c r="R38" s="1" t="s">
        <v>160</v>
      </c>
      <c r="S38" s="44">
        <v>5.96</v>
      </c>
      <c r="T38" s="44">
        <v>0</v>
      </c>
      <c r="U38" s="44">
        <v>0</v>
      </c>
      <c r="V38" s="44">
        <v>0</v>
      </c>
      <c r="W38" s="44">
        <v>0</v>
      </c>
      <c r="X38" s="45">
        <v>1003400</v>
      </c>
      <c r="Y38" s="45">
        <v>200680000</v>
      </c>
      <c r="Z38" s="45"/>
      <c r="AA38" s="46">
        <v>200680000</v>
      </c>
    </row>
    <row r="39" spans="1:27" ht="15" customHeight="1">
      <c r="A39" s="1">
        <v>7</v>
      </c>
      <c r="B39" s="1" t="s">
        <v>189</v>
      </c>
      <c r="C39" s="1" t="s">
        <v>190</v>
      </c>
      <c r="D39" s="1" t="s">
        <v>152</v>
      </c>
      <c r="E39" s="1" t="s">
        <v>190</v>
      </c>
      <c r="F39" s="1" t="s">
        <v>140</v>
      </c>
      <c r="G39" s="1" t="s">
        <v>141</v>
      </c>
      <c r="H39" s="1">
        <v>9085000153</v>
      </c>
      <c r="I39" s="1" t="s">
        <v>7</v>
      </c>
      <c r="J39" s="1">
        <v>200</v>
      </c>
      <c r="K39" s="1" t="s">
        <v>142</v>
      </c>
      <c r="L39" s="1">
        <v>9081001128</v>
      </c>
      <c r="M39" s="1" t="s">
        <v>196</v>
      </c>
      <c r="N39" s="1" t="s">
        <v>144</v>
      </c>
      <c r="O39" s="1" t="s">
        <v>145</v>
      </c>
      <c r="P39" s="1" t="s">
        <v>146</v>
      </c>
      <c r="Q39" s="1" t="s">
        <v>147</v>
      </c>
      <c r="R39" s="1" t="s">
        <v>160</v>
      </c>
      <c r="S39" s="44">
        <v>5.33</v>
      </c>
      <c r="T39" s="44">
        <v>0.28999999999999998</v>
      </c>
      <c r="U39" s="44">
        <v>0</v>
      </c>
      <c r="V39" s="44">
        <v>0</v>
      </c>
      <c r="W39" s="44">
        <v>0</v>
      </c>
      <c r="X39" s="45">
        <v>998160</v>
      </c>
      <c r="Y39" s="45">
        <v>99816000</v>
      </c>
      <c r="Z39" s="45"/>
      <c r="AA39" s="46">
        <v>99816000</v>
      </c>
    </row>
    <row r="40" spans="1:27" ht="15" customHeight="1">
      <c r="A40" s="1">
        <v>7</v>
      </c>
      <c r="B40" s="1" t="s">
        <v>189</v>
      </c>
      <c r="C40" s="1" t="s">
        <v>190</v>
      </c>
      <c r="D40" s="1" t="s">
        <v>152</v>
      </c>
      <c r="E40" s="1" t="s">
        <v>190</v>
      </c>
      <c r="F40" s="1" t="s">
        <v>153</v>
      </c>
      <c r="G40" s="1" t="s">
        <v>141</v>
      </c>
      <c r="H40" s="1">
        <v>9085000165</v>
      </c>
      <c r="I40" s="1" t="s">
        <v>19</v>
      </c>
      <c r="J40" s="1">
        <v>184</v>
      </c>
      <c r="K40" s="1" t="s">
        <v>142</v>
      </c>
      <c r="L40" s="1">
        <v>9081001175</v>
      </c>
      <c r="M40" s="1" t="s">
        <v>197</v>
      </c>
      <c r="N40" s="1" t="s">
        <v>144</v>
      </c>
      <c r="O40" s="1" t="s">
        <v>145</v>
      </c>
      <c r="P40" s="1" t="s">
        <v>146</v>
      </c>
      <c r="Q40" s="1" t="s">
        <v>147</v>
      </c>
      <c r="R40" s="1" t="s">
        <v>160</v>
      </c>
      <c r="S40" s="44">
        <v>5.48</v>
      </c>
      <c r="T40" s="44">
        <v>0.34</v>
      </c>
      <c r="U40" s="44">
        <v>0</v>
      </c>
      <c r="V40" s="44">
        <v>0</v>
      </c>
      <c r="W40" s="44">
        <v>0</v>
      </c>
      <c r="X40" s="45">
        <v>1011420</v>
      </c>
      <c r="Y40" s="45">
        <v>138432000</v>
      </c>
      <c r="Z40" s="45"/>
      <c r="AA40" s="46">
        <v>138432000</v>
      </c>
    </row>
    <row r="41" spans="1:27" ht="15" customHeight="1">
      <c r="A41" s="1">
        <v>7</v>
      </c>
      <c r="B41" s="1" t="s">
        <v>189</v>
      </c>
      <c r="C41" s="1" t="s">
        <v>190</v>
      </c>
      <c r="D41" s="1" t="s">
        <v>152</v>
      </c>
      <c r="E41" s="1" t="s">
        <v>190</v>
      </c>
      <c r="F41" s="1" t="s">
        <v>153</v>
      </c>
      <c r="G41" s="1" t="s">
        <v>141</v>
      </c>
      <c r="H41" s="1">
        <v>9085000169</v>
      </c>
      <c r="I41" s="1" t="s">
        <v>20</v>
      </c>
      <c r="J41" s="1">
        <v>179</v>
      </c>
      <c r="K41" s="1" t="s">
        <v>142</v>
      </c>
      <c r="L41" s="1">
        <v>9081001197</v>
      </c>
      <c r="M41" s="1" t="s">
        <v>198</v>
      </c>
      <c r="N41" s="1" t="s">
        <v>144</v>
      </c>
      <c r="O41" s="1" t="s">
        <v>145</v>
      </c>
      <c r="P41" s="1" t="s">
        <v>146</v>
      </c>
      <c r="Q41" s="1" t="s">
        <v>147</v>
      </c>
      <c r="R41" s="1" t="s">
        <v>160</v>
      </c>
      <c r="S41" s="44">
        <v>5.44</v>
      </c>
      <c r="T41" s="44">
        <v>0.35</v>
      </c>
      <c r="U41" s="44">
        <v>0</v>
      </c>
      <c r="V41" s="44">
        <v>0</v>
      </c>
      <c r="W41" s="44">
        <v>0</v>
      </c>
      <c r="X41" s="45">
        <v>767710</v>
      </c>
      <c r="Y41" s="45">
        <v>107248000</v>
      </c>
      <c r="Z41" s="45"/>
      <c r="AA41" s="46">
        <v>107248000</v>
      </c>
    </row>
    <row r="42" spans="1:27" ht="15" customHeight="1">
      <c r="A42" s="1">
        <v>7</v>
      </c>
      <c r="B42" s="1" t="s">
        <v>189</v>
      </c>
      <c r="C42" s="1" t="s">
        <v>190</v>
      </c>
      <c r="D42" s="1" t="s">
        <v>152</v>
      </c>
      <c r="E42" s="1" t="s">
        <v>190</v>
      </c>
      <c r="F42" s="1" t="s">
        <v>153</v>
      </c>
      <c r="G42" s="1" t="s">
        <v>141</v>
      </c>
      <c r="H42" s="1">
        <v>9085000173</v>
      </c>
      <c r="I42" s="1" t="s">
        <v>21</v>
      </c>
      <c r="J42" s="1">
        <v>176</v>
      </c>
      <c r="K42" s="1" t="s">
        <v>142</v>
      </c>
      <c r="L42" s="1">
        <v>9081001222</v>
      </c>
      <c r="M42" s="1" t="s">
        <v>199</v>
      </c>
      <c r="N42" s="1" t="s">
        <v>144</v>
      </c>
      <c r="O42" s="1" t="s">
        <v>145</v>
      </c>
      <c r="P42" s="1" t="s">
        <v>146</v>
      </c>
      <c r="Q42" s="1" t="s">
        <v>147</v>
      </c>
      <c r="R42" s="1" t="s">
        <v>160</v>
      </c>
      <c r="S42" s="44">
        <v>5.73</v>
      </c>
      <c r="T42" s="44">
        <v>0.35</v>
      </c>
      <c r="U42" s="44">
        <v>0</v>
      </c>
      <c r="V42" s="44">
        <v>0</v>
      </c>
      <c r="W42" s="44">
        <v>0</v>
      </c>
      <c r="X42" s="45">
        <v>999820</v>
      </c>
      <c r="Y42" s="45">
        <v>197707000</v>
      </c>
      <c r="Z42" s="45"/>
      <c r="AA42" s="46">
        <v>197707000</v>
      </c>
    </row>
    <row r="43" spans="1:27" ht="15" customHeight="1">
      <c r="A43" s="1">
        <v>7</v>
      </c>
      <c r="B43" s="1" t="s">
        <v>189</v>
      </c>
      <c r="C43" s="1" t="s">
        <v>190</v>
      </c>
      <c r="D43" s="1" t="s">
        <v>152</v>
      </c>
      <c r="E43" s="1" t="s">
        <v>190</v>
      </c>
      <c r="F43" s="1" t="s">
        <v>153</v>
      </c>
      <c r="G43" s="1" t="s">
        <v>141</v>
      </c>
      <c r="H43" s="1">
        <v>9085000174</v>
      </c>
      <c r="I43" s="1" t="s">
        <v>21</v>
      </c>
      <c r="J43" s="1">
        <v>176</v>
      </c>
      <c r="K43" s="1" t="s">
        <v>142</v>
      </c>
      <c r="L43" s="1">
        <v>9081001209</v>
      </c>
      <c r="M43" s="1" t="s">
        <v>200</v>
      </c>
      <c r="N43" s="1" t="s">
        <v>144</v>
      </c>
      <c r="O43" s="1" t="s">
        <v>145</v>
      </c>
      <c r="P43" s="1" t="s">
        <v>146</v>
      </c>
      <c r="Q43" s="1" t="s">
        <v>147</v>
      </c>
      <c r="R43" s="1" t="s">
        <v>160</v>
      </c>
      <c r="S43" s="44">
        <v>5.54</v>
      </c>
      <c r="T43" s="44">
        <v>0.36</v>
      </c>
      <c r="U43" s="44">
        <v>0</v>
      </c>
      <c r="V43" s="44">
        <v>0</v>
      </c>
      <c r="W43" s="44">
        <v>0</v>
      </c>
      <c r="X43" s="45">
        <v>1000200</v>
      </c>
      <c r="Y43" s="45">
        <v>149987000</v>
      </c>
      <c r="Z43" s="45"/>
      <c r="AA43" s="46">
        <v>149987000</v>
      </c>
    </row>
    <row r="44" spans="1:27" ht="15" customHeight="1">
      <c r="A44" s="1">
        <v>7</v>
      </c>
      <c r="B44" s="1" t="s">
        <v>189</v>
      </c>
      <c r="C44" s="1" t="s">
        <v>190</v>
      </c>
      <c r="D44" s="1" t="s">
        <v>152</v>
      </c>
      <c r="E44" s="1" t="s">
        <v>190</v>
      </c>
      <c r="F44" s="1" t="s">
        <v>153</v>
      </c>
      <c r="G44" s="1" t="s">
        <v>141</v>
      </c>
      <c r="H44" s="1">
        <v>9085000175</v>
      </c>
      <c r="I44" s="1" t="s">
        <v>21</v>
      </c>
      <c r="J44" s="1">
        <v>176</v>
      </c>
      <c r="K44" s="1" t="s">
        <v>142</v>
      </c>
      <c r="L44" s="1">
        <v>9081001236</v>
      </c>
      <c r="M44" s="1" t="s">
        <v>201</v>
      </c>
      <c r="N44" s="1" t="s">
        <v>144</v>
      </c>
      <c r="O44" s="1" t="s">
        <v>145</v>
      </c>
      <c r="P44" s="1" t="s">
        <v>146</v>
      </c>
      <c r="Q44" s="1" t="s">
        <v>147</v>
      </c>
      <c r="R44" s="1" t="s">
        <v>160</v>
      </c>
      <c r="S44" s="44">
        <v>5.17</v>
      </c>
      <c r="T44" s="44">
        <v>0.32</v>
      </c>
      <c r="U44" s="44">
        <v>0</v>
      </c>
      <c r="V44" s="44">
        <v>0</v>
      </c>
      <c r="W44" s="44">
        <v>0</v>
      </c>
      <c r="X44" s="45">
        <v>999870</v>
      </c>
      <c r="Y44" s="45">
        <v>105125000</v>
      </c>
      <c r="Z44" s="45"/>
      <c r="AA44" s="46">
        <v>105125000</v>
      </c>
    </row>
    <row r="45" spans="1:27" ht="15" customHeight="1">
      <c r="A45" s="1">
        <v>7</v>
      </c>
      <c r="B45" s="1" t="s">
        <v>189</v>
      </c>
      <c r="C45" s="1" t="s">
        <v>190</v>
      </c>
      <c r="D45" s="1" t="s">
        <v>152</v>
      </c>
      <c r="E45" s="1" t="s">
        <v>190</v>
      </c>
      <c r="F45" s="1" t="s">
        <v>153</v>
      </c>
      <c r="G45" s="1" t="s">
        <v>141</v>
      </c>
      <c r="H45" s="1">
        <v>9085000180</v>
      </c>
      <c r="I45" s="1" t="s">
        <v>22</v>
      </c>
      <c r="J45" s="1">
        <v>170</v>
      </c>
      <c r="K45" s="1" t="s">
        <v>142</v>
      </c>
      <c r="L45" s="1">
        <v>9081001255</v>
      </c>
      <c r="M45" s="1" t="s">
        <v>202</v>
      </c>
      <c r="N45" s="1" t="s">
        <v>144</v>
      </c>
      <c r="O45" s="1" t="s">
        <v>145</v>
      </c>
      <c r="P45" s="1" t="s">
        <v>146</v>
      </c>
      <c r="Q45" s="1" t="s">
        <v>147</v>
      </c>
      <c r="R45" s="1" t="s">
        <v>160</v>
      </c>
      <c r="S45" s="44">
        <v>5.74</v>
      </c>
      <c r="T45" s="44">
        <v>0.33</v>
      </c>
      <c r="U45" s="44">
        <v>0</v>
      </c>
      <c r="V45" s="44">
        <v>0</v>
      </c>
      <c r="W45" s="44">
        <v>0</v>
      </c>
      <c r="X45" s="45">
        <v>999060</v>
      </c>
      <c r="Y45" s="45">
        <v>191069000</v>
      </c>
      <c r="Z45" s="45"/>
      <c r="AA45" s="46">
        <v>191069000</v>
      </c>
    </row>
    <row r="46" spans="1:27" ht="15" customHeight="1">
      <c r="A46" s="1">
        <v>7</v>
      </c>
      <c r="B46" s="1" t="s">
        <v>189</v>
      </c>
      <c r="C46" s="1" t="s">
        <v>190</v>
      </c>
      <c r="D46" s="1" t="s">
        <v>152</v>
      </c>
      <c r="E46" s="1" t="s">
        <v>190</v>
      </c>
      <c r="F46" s="1" t="s">
        <v>153</v>
      </c>
      <c r="G46" s="1" t="s">
        <v>141</v>
      </c>
      <c r="H46" s="1">
        <v>9085000181</v>
      </c>
      <c r="I46" s="1" t="s">
        <v>22</v>
      </c>
      <c r="J46" s="1">
        <v>170</v>
      </c>
      <c r="K46" s="1" t="s">
        <v>142</v>
      </c>
      <c r="L46" s="1">
        <v>9081001265</v>
      </c>
      <c r="M46" s="1" t="s">
        <v>203</v>
      </c>
      <c r="N46" s="1" t="s">
        <v>144</v>
      </c>
      <c r="O46" s="1" t="s">
        <v>145</v>
      </c>
      <c r="P46" s="1" t="s">
        <v>146</v>
      </c>
      <c r="Q46" s="1" t="s">
        <v>147</v>
      </c>
      <c r="R46" s="1" t="s">
        <v>160</v>
      </c>
      <c r="S46" s="44">
        <v>5.91</v>
      </c>
      <c r="T46" s="44">
        <v>0.34</v>
      </c>
      <c r="U46" s="44">
        <v>0</v>
      </c>
      <c r="V46" s="44">
        <v>0</v>
      </c>
      <c r="W46" s="44">
        <v>0</v>
      </c>
      <c r="X46" s="45">
        <v>995660</v>
      </c>
      <c r="Y46" s="45">
        <v>223862000</v>
      </c>
      <c r="Z46" s="45"/>
      <c r="AA46" s="46">
        <v>223862000</v>
      </c>
    </row>
    <row r="47" spans="1:27" ht="15" customHeight="1">
      <c r="A47" s="1">
        <v>7</v>
      </c>
      <c r="B47" s="1" t="s">
        <v>189</v>
      </c>
      <c r="C47" s="1" t="s">
        <v>190</v>
      </c>
      <c r="D47" s="1" t="s">
        <v>152</v>
      </c>
      <c r="E47" s="1" t="s">
        <v>190</v>
      </c>
      <c r="F47" s="1" t="s">
        <v>140</v>
      </c>
      <c r="G47" s="1" t="s">
        <v>141</v>
      </c>
      <c r="H47" s="1">
        <v>9085000186</v>
      </c>
      <c r="I47" s="1" t="s">
        <v>23</v>
      </c>
      <c r="J47" s="1">
        <v>161</v>
      </c>
      <c r="K47" s="1" t="s">
        <v>142</v>
      </c>
      <c r="L47" s="1">
        <v>9081001280</v>
      </c>
      <c r="M47" s="1" t="s">
        <v>204</v>
      </c>
      <c r="N47" s="1" t="s">
        <v>144</v>
      </c>
      <c r="O47" s="1" t="s">
        <v>145</v>
      </c>
      <c r="P47" s="1" t="s">
        <v>146</v>
      </c>
      <c r="Q47" s="1" t="s">
        <v>147</v>
      </c>
      <c r="R47" s="1" t="s">
        <v>160</v>
      </c>
      <c r="S47" s="44">
        <v>5.89</v>
      </c>
      <c r="T47" s="44">
        <v>0.32</v>
      </c>
      <c r="U47" s="44">
        <v>0</v>
      </c>
      <c r="V47" s="44">
        <v>0</v>
      </c>
      <c r="W47" s="44">
        <v>0</v>
      </c>
      <c r="X47" s="45">
        <v>900240</v>
      </c>
      <c r="Y47" s="45">
        <v>180048000</v>
      </c>
      <c r="Z47" s="45"/>
      <c r="AA47" s="46">
        <v>180048000</v>
      </c>
    </row>
    <row r="48" spans="1:27" ht="15" customHeight="1">
      <c r="A48" s="1">
        <v>7</v>
      </c>
      <c r="B48" s="1" t="s">
        <v>189</v>
      </c>
      <c r="C48" s="1" t="s">
        <v>190</v>
      </c>
      <c r="D48" s="1" t="s">
        <v>152</v>
      </c>
      <c r="E48" s="1" t="s">
        <v>190</v>
      </c>
      <c r="F48" s="1" t="s">
        <v>140</v>
      </c>
      <c r="G48" s="1" t="s">
        <v>141</v>
      </c>
      <c r="H48" s="1">
        <v>9085000192</v>
      </c>
      <c r="I48" s="1" t="s">
        <v>24</v>
      </c>
      <c r="J48" s="1">
        <v>158</v>
      </c>
      <c r="K48" s="1" t="s">
        <v>142</v>
      </c>
      <c r="L48" s="1">
        <v>9081001286</v>
      </c>
      <c r="M48" s="1" t="s">
        <v>205</v>
      </c>
      <c r="N48" s="1" t="s">
        <v>144</v>
      </c>
      <c r="O48" s="1" t="s">
        <v>145</v>
      </c>
      <c r="P48" s="1" t="s">
        <v>146</v>
      </c>
      <c r="Q48" s="1" t="s">
        <v>147</v>
      </c>
      <c r="R48" s="1" t="s">
        <v>160</v>
      </c>
      <c r="S48" s="44">
        <v>6.62</v>
      </c>
      <c r="T48" s="44">
        <v>0.32</v>
      </c>
      <c r="U48" s="44">
        <v>0</v>
      </c>
      <c r="V48" s="44">
        <v>0</v>
      </c>
      <c r="W48" s="44">
        <v>0</v>
      </c>
      <c r="X48" s="45">
        <v>172660</v>
      </c>
      <c r="Y48" s="45">
        <v>138128000</v>
      </c>
      <c r="Z48" s="45"/>
      <c r="AA48" s="46">
        <v>138128000</v>
      </c>
    </row>
    <row r="49" spans="1:27" ht="15" customHeight="1">
      <c r="A49" s="1">
        <v>7</v>
      </c>
      <c r="B49" s="1" t="s">
        <v>189</v>
      </c>
      <c r="C49" s="1" t="s">
        <v>190</v>
      </c>
      <c r="D49" s="1" t="s">
        <v>152</v>
      </c>
      <c r="E49" s="1" t="s">
        <v>190</v>
      </c>
      <c r="F49" s="1" t="s">
        <v>153</v>
      </c>
      <c r="G49" s="1" t="s">
        <v>141</v>
      </c>
      <c r="H49" s="1">
        <v>9085000228</v>
      </c>
      <c r="I49" s="1" t="s">
        <v>25</v>
      </c>
      <c r="J49" s="1">
        <v>95</v>
      </c>
      <c r="K49" s="1" t="s">
        <v>142</v>
      </c>
      <c r="L49" s="1">
        <v>9081001364</v>
      </c>
      <c r="M49" s="1" t="s">
        <v>206</v>
      </c>
      <c r="N49" s="1" t="s">
        <v>144</v>
      </c>
      <c r="O49" s="1" t="s">
        <v>145</v>
      </c>
      <c r="P49" s="1" t="s">
        <v>146</v>
      </c>
      <c r="Q49" s="1" t="s">
        <v>147</v>
      </c>
      <c r="R49" s="1" t="s">
        <v>160</v>
      </c>
      <c r="S49" s="44">
        <v>4.6100000000000003</v>
      </c>
      <c r="T49" s="44">
        <v>0.55000000000000004</v>
      </c>
      <c r="U49" s="44">
        <v>0</v>
      </c>
      <c r="V49" s="44">
        <v>0</v>
      </c>
      <c r="W49" s="44">
        <v>0</v>
      </c>
      <c r="X49" s="45">
        <v>7.11</v>
      </c>
      <c r="Y49" s="45">
        <v>106373</v>
      </c>
      <c r="Z49" s="45"/>
      <c r="AA49" s="46">
        <v>106373</v>
      </c>
    </row>
    <row r="50" spans="1:27" ht="15" customHeight="1">
      <c r="A50" s="1">
        <v>7</v>
      </c>
      <c r="B50" s="1" t="s">
        <v>189</v>
      </c>
      <c r="C50" s="1" t="s">
        <v>190</v>
      </c>
      <c r="D50" s="1" t="s">
        <v>152</v>
      </c>
      <c r="E50" s="1" t="s">
        <v>190</v>
      </c>
      <c r="F50" s="1" t="s">
        <v>153</v>
      </c>
      <c r="G50" s="1" t="s">
        <v>141</v>
      </c>
      <c r="H50" s="1">
        <v>9085000240</v>
      </c>
      <c r="I50" s="1" t="s">
        <v>26</v>
      </c>
      <c r="J50" s="1">
        <v>67</v>
      </c>
      <c r="K50" s="1" t="s">
        <v>142</v>
      </c>
      <c r="L50" s="1">
        <v>9081001501</v>
      </c>
      <c r="M50" s="1" t="s">
        <v>207</v>
      </c>
      <c r="N50" s="1" t="s">
        <v>144</v>
      </c>
      <c r="O50" s="1" t="s">
        <v>145</v>
      </c>
      <c r="P50" s="1" t="s">
        <v>146</v>
      </c>
      <c r="Q50" s="1" t="s">
        <v>147</v>
      </c>
      <c r="R50" s="1" t="s">
        <v>160</v>
      </c>
      <c r="S50" s="44">
        <v>5.13</v>
      </c>
      <c r="T50" s="44">
        <v>0.49</v>
      </c>
      <c r="U50" s="44">
        <v>0</v>
      </c>
      <c r="V50" s="44">
        <v>0</v>
      </c>
      <c r="W50" s="44">
        <v>0</v>
      </c>
      <c r="X50" s="45">
        <v>17300</v>
      </c>
      <c r="Y50" s="45">
        <v>1730000</v>
      </c>
      <c r="Z50" s="45"/>
      <c r="AA50" s="46">
        <v>1730000</v>
      </c>
    </row>
    <row r="51" spans="1:27" ht="15" customHeight="1">
      <c r="A51" s="1">
        <v>7</v>
      </c>
      <c r="B51" s="1" t="s">
        <v>189</v>
      </c>
      <c r="C51" s="1" t="s">
        <v>190</v>
      </c>
      <c r="D51" s="1" t="s">
        <v>152</v>
      </c>
      <c r="E51" s="1" t="s">
        <v>190</v>
      </c>
      <c r="F51" s="1" t="s">
        <v>153</v>
      </c>
      <c r="G51" s="1" t="s">
        <v>141</v>
      </c>
      <c r="H51" s="1">
        <v>9085000241</v>
      </c>
      <c r="I51" s="1" t="s">
        <v>26</v>
      </c>
      <c r="J51" s="1">
        <v>67</v>
      </c>
      <c r="K51" s="1" t="s">
        <v>142</v>
      </c>
      <c r="L51" s="1">
        <v>9081001385</v>
      </c>
      <c r="M51" s="1" t="s">
        <v>208</v>
      </c>
      <c r="N51" s="1" t="s">
        <v>144</v>
      </c>
      <c r="O51" s="1" t="s">
        <v>145</v>
      </c>
      <c r="P51" s="1" t="s">
        <v>146</v>
      </c>
      <c r="Q51" s="1" t="s">
        <v>147</v>
      </c>
      <c r="R51" s="1" t="s">
        <v>160</v>
      </c>
      <c r="S51" s="44">
        <v>4.7300000000000004</v>
      </c>
      <c r="T51" s="44">
        <v>0.86</v>
      </c>
      <c r="U51" s="44">
        <v>0</v>
      </c>
      <c r="V51" s="44">
        <v>0</v>
      </c>
      <c r="W51" s="44">
        <v>0</v>
      </c>
      <c r="X51" s="45">
        <v>130.79</v>
      </c>
      <c r="Y51" s="45">
        <v>1917643</v>
      </c>
      <c r="Z51" s="45"/>
      <c r="AA51" s="46">
        <v>1917643</v>
      </c>
    </row>
    <row r="52" spans="1:27" ht="15" customHeight="1">
      <c r="A52" s="1">
        <v>7</v>
      </c>
      <c r="B52" s="1" t="s">
        <v>189</v>
      </c>
      <c r="C52" s="1" t="s">
        <v>190</v>
      </c>
      <c r="D52" s="1" t="s">
        <v>152</v>
      </c>
      <c r="E52" s="1" t="s">
        <v>190</v>
      </c>
      <c r="F52" s="1" t="s">
        <v>153</v>
      </c>
      <c r="G52" s="1" t="s">
        <v>141</v>
      </c>
      <c r="H52" s="1">
        <v>9085000243</v>
      </c>
      <c r="I52" s="1" t="s">
        <v>27</v>
      </c>
      <c r="J52" s="1">
        <v>60</v>
      </c>
      <c r="K52" s="1" t="s">
        <v>142</v>
      </c>
      <c r="L52" s="1">
        <v>9081001513</v>
      </c>
      <c r="M52" s="1" t="s">
        <v>209</v>
      </c>
      <c r="N52" s="1" t="s">
        <v>144</v>
      </c>
      <c r="O52" s="1" t="s">
        <v>145</v>
      </c>
      <c r="P52" s="1" t="s">
        <v>146</v>
      </c>
      <c r="Q52" s="1" t="s">
        <v>147</v>
      </c>
      <c r="R52" s="1" t="s">
        <v>160</v>
      </c>
      <c r="S52" s="44">
        <v>5.36</v>
      </c>
      <c r="T52" s="44">
        <v>0.65</v>
      </c>
      <c r="U52" s="44">
        <v>0</v>
      </c>
      <c r="V52" s="44">
        <v>0</v>
      </c>
      <c r="W52" s="44">
        <v>0</v>
      </c>
      <c r="X52" s="45">
        <v>25.76</v>
      </c>
      <c r="Y52" s="45">
        <v>373134</v>
      </c>
      <c r="Z52" s="45"/>
      <c r="AA52" s="46">
        <v>373134</v>
      </c>
    </row>
    <row r="53" spans="1:27" ht="15" customHeight="1">
      <c r="A53" s="1">
        <v>7</v>
      </c>
      <c r="B53" s="1" t="s">
        <v>189</v>
      </c>
      <c r="C53" s="1" t="s">
        <v>190</v>
      </c>
      <c r="D53" s="1" t="s">
        <v>152</v>
      </c>
      <c r="E53" s="1" t="s">
        <v>190</v>
      </c>
      <c r="F53" s="1" t="s">
        <v>153</v>
      </c>
      <c r="G53" s="1" t="s">
        <v>141</v>
      </c>
      <c r="H53" s="1">
        <v>9085000244</v>
      </c>
      <c r="I53" s="1" t="s">
        <v>27</v>
      </c>
      <c r="J53" s="1">
        <v>60</v>
      </c>
      <c r="K53" s="1" t="s">
        <v>142</v>
      </c>
      <c r="L53" s="1">
        <v>9081001513</v>
      </c>
      <c r="M53" s="1" t="s">
        <v>209</v>
      </c>
      <c r="N53" s="1" t="s">
        <v>144</v>
      </c>
      <c r="O53" s="1" t="s">
        <v>145</v>
      </c>
      <c r="P53" s="1" t="s">
        <v>146</v>
      </c>
      <c r="Q53" s="1" t="s">
        <v>147</v>
      </c>
      <c r="R53" s="1" t="s">
        <v>160</v>
      </c>
      <c r="S53" s="44">
        <v>5.37</v>
      </c>
      <c r="T53" s="44">
        <v>0.52</v>
      </c>
      <c r="U53" s="44">
        <v>0</v>
      </c>
      <c r="V53" s="44">
        <v>0</v>
      </c>
      <c r="W53" s="44">
        <v>0</v>
      </c>
      <c r="X53" s="45">
        <v>99830</v>
      </c>
      <c r="Y53" s="45">
        <v>9983000</v>
      </c>
      <c r="Z53" s="45"/>
      <c r="AA53" s="46">
        <v>9983000</v>
      </c>
    </row>
    <row r="54" spans="1:27" ht="15" customHeight="1">
      <c r="A54" s="56"/>
      <c r="B54" s="56" t="s">
        <v>149</v>
      </c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7"/>
      <c r="T54" s="57"/>
      <c r="U54" s="57"/>
      <c r="V54" s="57"/>
      <c r="W54" s="57"/>
      <c r="X54" s="58">
        <f>SUM(X33:X53)</f>
        <v>12450773.799999999</v>
      </c>
      <c r="Y54" s="58">
        <f t="shared" ref="Y54:AA54" si="6">SUM(Y33:Y53)</f>
        <v>2257017238</v>
      </c>
      <c r="Z54" s="58">
        <f t="shared" si="6"/>
        <v>0</v>
      </c>
      <c r="AA54" s="58">
        <f t="shared" si="6"/>
        <v>2257017238</v>
      </c>
    </row>
    <row r="55" spans="1:27" ht="15" customHeight="1">
      <c r="A55" s="1">
        <v>8</v>
      </c>
      <c r="B55" s="1" t="s">
        <v>210</v>
      </c>
      <c r="C55" s="1" t="s">
        <v>211</v>
      </c>
      <c r="D55" s="1" t="s">
        <v>212</v>
      </c>
      <c r="E55" s="1" t="s">
        <v>211</v>
      </c>
      <c r="F55" s="1" t="s">
        <v>170</v>
      </c>
      <c r="G55" s="1" t="s">
        <v>141</v>
      </c>
      <c r="H55" s="1">
        <v>1005002054</v>
      </c>
      <c r="I55" s="1" t="s">
        <v>8</v>
      </c>
      <c r="J55" s="1">
        <v>66</v>
      </c>
      <c r="K55" s="1" t="s">
        <v>171</v>
      </c>
      <c r="L55" s="1">
        <v>1001023967</v>
      </c>
      <c r="M55" s="1" t="s">
        <v>213</v>
      </c>
      <c r="N55" s="1" t="s">
        <v>178</v>
      </c>
      <c r="O55" s="1" t="s">
        <v>179</v>
      </c>
      <c r="P55" s="1" t="s">
        <v>146</v>
      </c>
      <c r="Q55" s="1" t="s">
        <v>147</v>
      </c>
      <c r="R55" s="1" t="s">
        <v>148</v>
      </c>
      <c r="S55" s="44">
        <v>0</v>
      </c>
      <c r="T55" s="44">
        <v>22.61</v>
      </c>
      <c r="U55" s="44">
        <v>0.71</v>
      </c>
      <c r="V55" s="44">
        <v>0</v>
      </c>
      <c r="W55" s="44">
        <v>0</v>
      </c>
      <c r="X55" s="45">
        <v>409.77</v>
      </c>
      <c r="Y55" s="45">
        <v>363056</v>
      </c>
      <c r="Z55" s="45"/>
      <c r="AA55" s="46">
        <v>363056</v>
      </c>
    </row>
    <row r="56" spans="1:27" ht="15" customHeight="1">
      <c r="A56" s="1">
        <v>8</v>
      </c>
      <c r="B56" s="1" t="s">
        <v>210</v>
      </c>
      <c r="C56" s="1" t="s">
        <v>211</v>
      </c>
      <c r="D56" s="1" t="s">
        <v>212</v>
      </c>
      <c r="E56" s="1" t="s">
        <v>211</v>
      </c>
      <c r="F56" s="1" t="s">
        <v>170</v>
      </c>
      <c r="G56" s="1" t="s">
        <v>141</v>
      </c>
      <c r="H56" s="1">
        <v>1005002055</v>
      </c>
      <c r="I56" s="1" t="s">
        <v>8</v>
      </c>
      <c r="J56" s="1">
        <v>66</v>
      </c>
      <c r="K56" s="1" t="s">
        <v>171</v>
      </c>
      <c r="L56" s="1">
        <v>1001024501</v>
      </c>
      <c r="M56" s="1" t="s">
        <v>214</v>
      </c>
      <c r="N56" s="1" t="s">
        <v>178</v>
      </c>
      <c r="O56" s="1" t="s">
        <v>179</v>
      </c>
      <c r="P56" s="1" t="s">
        <v>146</v>
      </c>
      <c r="Q56" s="1" t="s">
        <v>147</v>
      </c>
      <c r="R56" s="1" t="s">
        <v>148</v>
      </c>
      <c r="S56" s="44">
        <v>0</v>
      </c>
      <c r="T56" s="44">
        <v>22.89</v>
      </c>
      <c r="U56" s="44">
        <v>0.77</v>
      </c>
      <c r="V56" s="44">
        <v>0</v>
      </c>
      <c r="W56" s="44">
        <v>0</v>
      </c>
      <c r="X56" s="45">
        <v>2886.31</v>
      </c>
      <c r="Y56" s="45">
        <v>2557271</v>
      </c>
      <c r="Z56" s="45"/>
      <c r="AA56" s="46">
        <v>2557271</v>
      </c>
    </row>
    <row r="57" spans="1:27" ht="15" customHeight="1">
      <c r="A57" s="56"/>
      <c r="B57" s="56" t="s">
        <v>149</v>
      </c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7"/>
      <c r="T57" s="57"/>
      <c r="U57" s="57"/>
      <c r="V57" s="57"/>
      <c r="W57" s="57"/>
      <c r="X57" s="58">
        <f>SUM(X55:X56)</f>
        <v>3296.08</v>
      </c>
      <c r="Y57" s="58">
        <f t="shared" ref="Y57:AA57" si="7">SUM(Y55:Y56)</f>
        <v>2920327</v>
      </c>
      <c r="Z57" s="58">
        <f t="shared" si="7"/>
        <v>0</v>
      </c>
      <c r="AA57" s="58">
        <f t="shared" si="7"/>
        <v>2920327</v>
      </c>
    </row>
    <row r="58" spans="1:27" ht="15" customHeight="1">
      <c r="A58" s="1">
        <v>9</v>
      </c>
      <c r="B58" s="1" t="s">
        <v>215</v>
      </c>
      <c r="C58" s="1" t="s">
        <v>216</v>
      </c>
      <c r="D58" s="1" t="s">
        <v>217</v>
      </c>
      <c r="E58" s="1" t="s">
        <v>216</v>
      </c>
      <c r="F58" s="1" t="s">
        <v>170</v>
      </c>
      <c r="G58" s="1" t="s">
        <v>141</v>
      </c>
      <c r="H58" s="1">
        <v>1005002475</v>
      </c>
      <c r="I58" s="1" t="s">
        <v>28</v>
      </c>
      <c r="J58" s="1">
        <v>8</v>
      </c>
      <c r="K58" s="1" t="s">
        <v>171</v>
      </c>
      <c r="L58" s="1">
        <v>1001026184</v>
      </c>
      <c r="M58" s="1" t="s">
        <v>218</v>
      </c>
      <c r="N58" s="1" t="s">
        <v>178</v>
      </c>
      <c r="O58" s="1" t="s">
        <v>179</v>
      </c>
      <c r="P58" s="1" t="s">
        <v>146</v>
      </c>
      <c r="Q58" s="1" t="s">
        <v>147</v>
      </c>
      <c r="R58" s="1" t="s">
        <v>148</v>
      </c>
      <c r="S58" s="44">
        <v>0</v>
      </c>
      <c r="T58" s="44">
        <v>20.69</v>
      </c>
      <c r="U58" s="44">
        <v>0.8</v>
      </c>
      <c r="V58" s="44">
        <v>0</v>
      </c>
      <c r="W58" s="44">
        <v>0</v>
      </c>
      <c r="X58" s="45">
        <v>3492.5</v>
      </c>
      <c r="Y58" s="45">
        <v>4540250</v>
      </c>
      <c r="Z58" s="45"/>
      <c r="AA58" s="46">
        <v>4540250</v>
      </c>
    </row>
    <row r="59" spans="1:27" ht="15" customHeight="1">
      <c r="A59" s="56"/>
      <c r="B59" s="56" t="s">
        <v>149</v>
      </c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7"/>
      <c r="T59" s="57"/>
      <c r="U59" s="57"/>
      <c r="V59" s="57"/>
      <c r="W59" s="57"/>
      <c r="X59" s="58">
        <f>SUM(X58)</f>
        <v>3492.5</v>
      </c>
      <c r="Y59" s="58">
        <f t="shared" ref="Y59:AA59" si="8">SUM(Y58)</f>
        <v>4540250</v>
      </c>
      <c r="Z59" s="58">
        <f t="shared" si="8"/>
        <v>0</v>
      </c>
      <c r="AA59" s="58">
        <f t="shared" si="8"/>
        <v>4540250</v>
      </c>
    </row>
    <row r="60" spans="1:27" ht="15" customHeight="1">
      <c r="A60" s="1">
        <v>10</v>
      </c>
      <c r="B60" s="1" t="s">
        <v>219</v>
      </c>
      <c r="C60" s="1" t="s">
        <v>220</v>
      </c>
      <c r="D60" s="1" t="s">
        <v>221</v>
      </c>
      <c r="E60" s="1" t="s">
        <v>220</v>
      </c>
      <c r="F60" s="1" t="s">
        <v>170</v>
      </c>
      <c r="G60" s="1" t="s">
        <v>141</v>
      </c>
      <c r="H60" s="1">
        <v>1005002476</v>
      </c>
      <c r="I60" s="1" t="s">
        <v>28</v>
      </c>
      <c r="J60" s="1">
        <v>8</v>
      </c>
      <c r="K60" s="1" t="s">
        <v>171</v>
      </c>
      <c r="L60" s="1">
        <v>1001027576</v>
      </c>
      <c r="M60" s="1" t="s">
        <v>222</v>
      </c>
      <c r="N60" s="1" t="s">
        <v>178</v>
      </c>
      <c r="O60" s="1" t="s">
        <v>179</v>
      </c>
      <c r="P60" s="1" t="s">
        <v>146</v>
      </c>
      <c r="Q60" s="1" t="s">
        <v>147</v>
      </c>
      <c r="R60" s="1" t="s">
        <v>148</v>
      </c>
      <c r="S60" s="44">
        <v>0</v>
      </c>
      <c r="T60" s="44">
        <v>20.61</v>
      </c>
      <c r="U60" s="44">
        <v>0.82</v>
      </c>
      <c r="V60" s="44">
        <v>0</v>
      </c>
      <c r="W60" s="44">
        <v>0</v>
      </c>
      <c r="X60" s="45">
        <v>1837.19</v>
      </c>
      <c r="Y60" s="45">
        <v>1708587</v>
      </c>
      <c r="Z60" s="45"/>
      <c r="AA60" s="46">
        <v>1708587</v>
      </c>
    </row>
    <row r="61" spans="1:27" ht="15" customHeight="1">
      <c r="A61" s="56"/>
      <c r="B61" s="56" t="s">
        <v>149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7"/>
      <c r="T61" s="57"/>
      <c r="U61" s="57"/>
      <c r="V61" s="57"/>
      <c r="W61" s="57"/>
      <c r="X61" s="58">
        <f>SUM(X60)</f>
        <v>1837.19</v>
      </c>
      <c r="Y61" s="58">
        <f t="shared" ref="Y61:AA61" si="9">SUM(Y60)</f>
        <v>1708587</v>
      </c>
      <c r="Z61" s="58">
        <f t="shared" si="9"/>
        <v>0</v>
      </c>
      <c r="AA61" s="58">
        <f t="shared" si="9"/>
        <v>1708587</v>
      </c>
    </row>
    <row r="62" spans="1:27" ht="15" customHeight="1">
      <c r="A62" s="1">
        <v>11</v>
      </c>
      <c r="B62" s="1" t="s">
        <v>223</v>
      </c>
      <c r="C62" s="1" t="s">
        <v>224</v>
      </c>
      <c r="D62" s="1" t="s">
        <v>225</v>
      </c>
      <c r="E62" s="1" t="s">
        <v>224</v>
      </c>
      <c r="F62" s="1" t="s">
        <v>140</v>
      </c>
      <c r="G62" s="1" t="s">
        <v>141</v>
      </c>
      <c r="H62" s="1">
        <v>1365000166</v>
      </c>
      <c r="I62" s="1" t="s">
        <v>29</v>
      </c>
      <c r="J62" s="1">
        <v>135</v>
      </c>
      <c r="K62" s="1" t="s">
        <v>226</v>
      </c>
      <c r="L62" s="1">
        <v>1361001721</v>
      </c>
      <c r="M62" s="1" t="s">
        <v>227</v>
      </c>
      <c r="N62" s="1" t="s">
        <v>178</v>
      </c>
      <c r="O62" s="1" t="s">
        <v>179</v>
      </c>
      <c r="P62" s="1" t="s">
        <v>146</v>
      </c>
      <c r="Q62" s="1" t="s">
        <v>147</v>
      </c>
      <c r="R62" s="1" t="s">
        <v>228</v>
      </c>
      <c r="S62" s="44">
        <v>0</v>
      </c>
      <c r="T62" s="44">
        <v>22</v>
      </c>
      <c r="U62" s="44">
        <v>0.91</v>
      </c>
      <c r="V62" s="44">
        <v>0</v>
      </c>
      <c r="W62" s="44">
        <v>0</v>
      </c>
      <c r="X62" s="45">
        <v>502</v>
      </c>
      <c r="Y62" s="45">
        <v>428206</v>
      </c>
      <c r="Z62" s="45"/>
      <c r="AA62" s="46">
        <v>428206</v>
      </c>
    </row>
    <row r="63" spans="1:27" ht="15" customHeight="1">
      <c r="A63" s="1">
        <v>11</v>
      </c>
      <c r="B63" s="1" t="s">
        <v>223</v>
      </c>
      <c r="C63" s="1" t="s">
        <v>224</v>
      </c>
      <c r="D63" s="1" t="s">
        <v>225</v>
      </c>
      <c r="E63" s="1" t="s">
        <v>224</v>
      </c>
      <c r="F63" s="1" t="s">
        <v>140</v>
      </c>
      <c r="G63" s="1" t="s">
        <v>141</v>
      </c>
      <c r="H63" s="1">
        <v>1365000188</v>
      </c>
      <c r="I63" s="1" t="s">
        <v>30</v>
      </c>
      <c r="J63" s="1">
        <v>70</v>
      </c>
      <c r="K63" s="1" t="s">
        <v>226</v>
      </c>
      <c r="L63" s="1">
        <v>1361001765</v>
      </c>
      <c r="M63" s="1" t="s">
        <v>229</v>
      </c>
      <c r="N63" s="1" t="s">
        <v>178</v>
      </c>
      <c r="O63" s="1" t="s">
        <v>179</v>
      </c>
      <c r="P63" s="1" t="s">
        <v>146</v>
      </c>
      <c r="Q63" s="1" t="s">
        <v>147</v>
      </c>
      <c r="R63" s="1" t="s">
        <v>228</v>
      </c>
      <c r="S63" s="44">
        <v>0</v>
      </c>
      <c r="T63" s="44">
        <v>22</v>
      </c>
      <c r="U63" s="44">
        <v>0.91</v>
      </c>
      <c r="V63" s="44">
        <v>0</v>
      </c>
      <c r="W63" s="44">
        <v>0</v>
      </c>
      <c r="X63" s="45">
        <v>162.19999999999999</v>
      </c>
      <c r="Y63" s="45">
        <v>138357</v>
      </c>
      <c r="Z63" s="45"/>
      <c r="AA63" s="46">
        <v>138357</v>
      </c>
    </row>
    <row r="64" spans="1:27" ht="15" customHeight="1">
      <c r="A64" s="1">
        <v>11</v>
      </c>
      <c r="B64" s="1" t="s">
        <v>223</v>
      </c>
      <c r="C64" s="1" t="s">
        <v>224</v>
      </c>
      <c r="D64" s="1" t="s">
        <v>225</v>
      </c>
      <c r="E64" s="1" t="s">
        <v>224</v>
      </c>
      <c r="F64" s="1" t="s">
        <v>140</v>
      </c>
      <c r="G64" s="1" t="s">
        <v>141</v>
      </c>
      <c r="H64" s="1">
        <v>1365000186</v>
      </c>
      <c r="I64" s="1" t="s">
        <v>30</v>
      </c>
      <c r="J64" s="1">
        <v>70</v>
      </c>
      <c r="K64" s="1" t="s">
        <v>226</v>
      </c>
      <c r="L64" s="1">
        <v>1361001762</v>
      </c>
      <c r="M64" s="1" t="s">
        <v>230</v>
      </c>
      <c r="N64" s="1" t="s">
        <v>178</v>
      </c>
      <c r="O64" s="1" t="s">
        <v>179</v>
      </c>
      <c r="P64" s="1" t="s">
        <v>146</v>
      </c>
      <c r="Q64" s="1" t="s">
        <v>147</v>
      </c>
      <c r="R64" s="1" t="s">
        <v>228</v>
      </c>
      <c r="S64" s="44">
        <v>0</v>
      </c>
      <c r="T64" s="44">
        <v>22.09</v>
      </c>
      <c r="U64" s="44">
        <v>0.72</v>
      </c>
      <c r="V64" s="44">
        <v>0</v>
      </c>
      <c r="W64" s="44">
        <v>0</v>
      </c>
      <c r="X64" s="45">
        <v>1228.92</v>
      </c>
      <c r="Y64" s="45">
        <v>1189595</v>
      </c>
      <c r="Z64" s="45"/>
      <c r="AA64" s="46">
        <v>1189595</v>
      </c>
    </row>
    <row r="65" spans="1:27" ht="15" customHeight="1">
      <c r="A65" s="1">
        <v>11</v>
      </c>
      <c r="B65" s="1" t="s">
        <v>223</v>
      </c>
      <c r="C65" s="1" t="s">
        <v>224</v>
      </c>
      <c r="D65" s="1" t="s">
        <v>225</v>
      </c>
      <c r="E65" s="1" t="s">
        <v>224</v>
      </c>
      <c r="F65" s="1" t="s">
        <v>140</v>
      </c>
      <c r="G65" s="1" t="s">
        <v>141</v>
      </c>
      <c r="H65" s="1">
        <v>1365000187</v>
      </c>
      <c r="I65" s="1" t="s">
        <v>30</v>
      </c>
      <c r="J65" s="1">
        <v>70</v>
      </c>
      <c r="K65" s="1" t="s">
        <v>226</v>
      </c>
      <c r="L65" s="1">
        <v>1361001763</v>
      </c>
      <c r="M65" s="1" t="s">
        <v>231</v>
      </c>
      <c r="N65" s="1" t="s">
        <v>178</v>
      </c>
      <c r="O65" s="1" t="s">
        <v>179</v>
      </c>
      <c r="P65" s="1" t="s">
        <v>146</v>
      </c>
      <c r="Q65" s="1" t="s">
        <v>147</v>
      </c>
      <c r="R65" s="1" t="s">
        <v>228</v>
      </c>
      <c r="S65" s="44">
        <v>0</v>
      </c>
      <c r="T65" s="44">
        <v>23.3</v>
      </c>
      <c r="U65" s="44">
        <v>0.73</v>
      </c>
      <c r="V65" s="44">
        <v>0</v>
      </c>
      <c r="W65" s="44">
        <v>0</v>
      </c>
      <c r="X65" s="45">
        <v>4388.2</v>
      </c>
      <c r="Y65" s="45">
        <v>4247778</v>
      </c>
      <c r="Z65" s="45"/>
      <c r="AA65" s="46">
        <v>4247778</v>
      </c>
    </row>
    <row r="66" spans="1:27" ht="15" customHeight="1">
      <c r="A66" s="1">
        <v>11</v>
      </c>
      <c r="B66" s="1" t="s">
        <v>223</v>
      </c>
      <c r="C66" s="1" t="s">
        <v>224</v>
      </c>
      <c r="D66" s="1" t="s">
        <v>225</v>
      </c>
      <c r="E66" s="1" t="s">
        <v>224</v>
      </c>
      <c r="F66" s="1" t="s">
        <v>140</v>
      </c>
      <c r="G66" s="1" t="s">
        <v>141</v>
      </c>
      <c r="H66" s="1">
        <v>1365000189</v>
      </c>
      <c r="I66" s="1" t="s">
        <v>30</v>
      </c>
      <c r="J66" s="1">
        <v>70</v>
      </c>
      <c r="K66" s="1" t="s">
        <v>226</v>
      </c>
      <c r="L66" s="1">
        <v>1361001809</v>
      </c>
      <c r="M66" s="1" t="s">
        <v>232</v>
      </c>
      <c r="N66" s="1" t="s">
        <v>178</v>
      </c>
      <c r="O66" s="1" t="s">
        <v>179</v>
      </c>
      <c r="P66" s="1" t="s">
        <v>146</v>
      </c>
      <c r="Q66" s="1" t="s">
        <v>147</v>
      </c>
      <c r="R66" s="1" t="s">
        <v>228</v>
      </c>
      <c r="S66" s="44">
        <v>0</v>
      </c>
      <c r="T66" s="44">
        <v>22.17</v>
      </c>
      <c r="U66" s="44">
        <v>0.66</v>
      </c>
      <c r="V66" s="44">
        <v>0</v>
      </c>
      <c r="W66" s="44">
        <v>0</v>
      </c>
      <c r="X66" s="45">
        <v>754.51</v>
      </c>
      <c r="Y66" s="45">
        <v>730366</v>
      </c>
      <c r="Z66" s="45">
        <v>80340.259999999995</v>
      </c>
      <c r="AA66" s="46">
        <v>810706.26</v>
      </c>
    </row>
    <row r="67" spans="1:27" ht="15" customHeight="1">
      <c r="A67" s="1">
        <v>11</v>
      </c>
      <c r="B67" s="1" t="s">
        <v>223</v>
      </c>
      <c r="C67" s="1" t="s">
        <v>224</v>
      </c>
      <c r="D67" s="1" t="s">
        <v>225</v>
      </c>
      <c r="E67" s="1" t="s">
        <v>224</v>
      </c>
      <c r="F67" s="1" t="s">
        <v>140</v>
      </c>
      <c r="G67" s="1" t="s">
        <v>141</v>
      </c>
      <c r="H67" s="1">
        <v>1365000221</v>
      </c>
      <c r="I67" s="1" t="s">
        <v>31</v>
      </c>
      <c r="J67" s="1">
        <v>18</v>
      </c>
      <c r="K67" s="1" t="s">
        <v>226</v>
      </c>
      <c r="L67" s="1">
        <v>1361001896</v>
      </c>
      <c r="M67" s="1" t="s">
        <v>233</v>
      </c>
      <c r="N67" s="1" t="s">
        <v>178</v>
      </c>
      <c r="O67" s="1" t="s">
        <v>179</v>
      </c>
      <c r="P67" s="1" t="s">
        <v>146</v>
      </c>
      <c r="Q67" s="1" t="s">
        <v>147</v>
      </c>
      <c r="R67" s="1" t="s">
        <v>228</v>
      </c>
      <c r="S67" s="44">
        <v>0</v>
      </c>
      <c r="T67" s="44">
        <v>21.35</v>
      </c>
      <c r="U67" s="44">
        <v>0.67</v>
      </c>
      <c r="V67" s="44">
        <v>0</v>
      </c>
      <c r="W67" s="44">
        <v>0</v>
      </c>
      <c r="X67" s="45">
        <v>1159.94</v>
      </c>
      <c r="Y67" s="45">
        <v>1235336</v>
      </c>
      <c r="Z67" s="45"/>
      <c r="AA67" s="46">
        <v>1235336</v>
      </c>
    </row>
    <row r="68" spans="1:27" ht="15" customHeight="1">
      <c r="A68" s="56"/>
      <c r="B68" s="56" t="s">
        <v>149</v>
      </c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7"/>
      <c r="T68" s="57"/>
      <c r="U68" s="57"/>
      <c r="V68" s="57"/>
      <c r="W68" s="57"/>
      <c r="X68" s="58">
        <f>SUM(X62:X67)</f>
        <v>8195.77</v>
      </c>
      <c r="Y68" s="58">
        <f t="shared" ref="Y68:AA68" si="10">SUM(Y62:Y67)</f>
        <v>7969638</v>
      </c>
      <c r="Z68" s="58">
        <f t="shared" si="10"/>
        <v>80340.259999999995</v>
      </c>
      <c r="AA68" s="58">
        <f t="shared" si="10"/>
        <v>8049978.2599999998</v>
      </c>
    </row>
    <row r="69" spans="1:27" ht="15" customHeight="1">
      <c r="A69" s="1">
        <v>12</v>
      </c>
      <c r="B69" s="1" t="s">
        <v>234</v>
      </c>
      <c r="C69" s="1" t="s">
        <v>235</v>
      </c>
      <c r="D69" s="1" t="s">
        <v>225</v>
      </c>
      <c r="E69" s="1" t="s">
        <v>235</v>
      </c>
      <c r="F69" s="1" t="s">
        <v>140</v>
      </c>
      <c r="G69" s="1" t="s">
        <v>141</v>
      </c>
      <c r="H69" s="1">
        <v>1365000163</v>
      </c>
      <c r="I69" s="1" t="s">
        <v>32</v>
      </c>
      <c r="J69" s="1">
        <v>137</v>
      </c>
      <c r="K69" s="1" t="s">
        <v>226</v>
      </c>
      <c r="L69" s="1">
        <v>1361001683</v>
      </c>
      <c r="M69" s="1" t="s">
        <v>236</v>
      </c>
      <c r="N69" s="1" t="s">
        <v>178</v>
      </c>
      <c r="O69" s="1" t="s">
        <v>179</v>
      </c>
      <c r="P69" s="1" t="s">
        <v>146</v>
      </c>
      <c r="Q69" s="1" t="s">
        <v>147</v>
      </c>
      <c r="R69" s="1" t="s">
        <v>228</v>
      </c>
      <c r="S69" s="44">
        <v>0</v>
      </c>
      <c r="T69" s="44">
        <v>20.59</v>
      </c>
      <c r="U69" s="44">
        <v>0.46</v>
      </c>
      <c r="V69" s="44">
        <v>0</v>
      </c>
      <c r="W69" s="44">
        <v>0</v>
      </c>
      <c r="X69" s="45">
        <v>22.72</v>
      </c>
      <c r="Y69" s="45">
        <v>23061</v>
      </c>
      <c r="Z69" s="45">
        <v>2536.71</v>
      </c>
      <c r="AA69" s="46">
        <v>25597.71</v>
      </c>
    </row>
    <row r="70" spans="1:27" ht="15" customHeight="1">
      <c r="A70" s="1">
        <v>12</v>
      </c>
      <c r="B70" s="1" t="s">
        <v>234</v>
      </c>
      <c r="C70" s="1" t="s">
        <v>235</v>
      </c>
      <c r="D70" s="1" t="s">
        <v>225</v>
      </c>
      <c r="E70" s="1" t="s">
        <v>235</v>
      </c>
      <c r="F70" s="1" t="s">
        <v>140</v>
      </c>
      <c r="G70" s="1" t="s">
        <v>141</v>
      </c>
      <c r="H70" s="1">
        <v>1365000183</v>
      </c>
      <c r="I70" s="1" t="s">
        <v>33</v>
      </c>
      <c r="J70" s="1">
        <v>85</v>
      </c>
      <c r="K70" s="1" t="s">
        <v>226</v>
      </c>
      <c r="L70" s="1">
        <v>1361001797</v>
      </c>
      <c r="M70" s="1" t="s">
        <v>237</v>
      </c>
      <c r="N70" s="1" t="s">
        <v>178</v>
      </c>
      <c r="O70" s="1" t="s">
        <v>179</v>
      </c>
      <c r="P70" s="1" t="s">
        <v>146</v>
      </c>
      <c r="Q70" s="1" t="s">
        <v>147</v>
      </c>
      <c r="R70" s="1" t="s">
        <v>228</v>
      </c>
      <c r="S70" s="44">
        <v>0</v>
      </c>
      <c r="T70" s="44">
        <v>20.65</v>
      </c>
      <c r="U70" s="44">
        <v>0.52</v>
      </c>
      <c r="V70" s="44">
        <v>0</v>
      </c>
      <c r="W70" s="44">
        <v>0</v>
      </c>
      <c r="X70" s="45">
        <v>207.55</v>
      </c>
      <c r="Y70" s="45">
        <v>238683</v>
      </c>
      <c r="Z70" s="45">
        <v>26255.13</v>
      </c>
      <c r="AA70" s="46">
        <v>264938.13</v>
      </c>
    </row>
    <row r="71" spans="1:27" ht="15" customHeight="1">
      <c r="A71" s="1">
        <v>12</v>
      </c>
      <c r="B71" s="1" t="s">
        <v>234</v>
      </c>
      <c r="C71" s="1" t="s">
        <v>235</v>
      </c>
      <c r="D71" s="1" t="s">
        <v>225</v>
      </c>
      <c r="E71" s="1" t="s">
        <v>235</v>
      </c>
      <c r="F71" s="1" t="s">
        <v>140</v>
      </c>
      <c r="G71" s="1" t="s">
        <v>141</v>
      </c>
      <c r="H71" s="1">
        <v>9271000329</v>
      </c>
      <c r="I71" s="1" t="s">
        <v>34</v>
      </c>
      <c r="J71" s="1">
        <v>437</v>
      </c>
      <c r="K71" s="1" t="s">
        <v>226</v>
      </c>
      <c r="L71" s="1">
        <v>1361001389</v>
      </c>
      <c r="M71" s="1" t="s">
        <v>238</v>
      </c>
      <c r="N71" s="1" t="s">
        <v>178</v>
      </c>
      <c r="O71" s="1" t="s">
        <v>179</v>
      </c>
      <c r="P71" s="1" t="s">
        <v>146</v>
      </c>
      <c r="Q71" s="1" t="s">
        <v>147</v>
      </c>
      <c r="R71" s="1" t="s">
        <v>228</v>
      </c>
      <c r="S71" s="44">
        <v>0</v>
      </c>
      <c r="T71" s="44">
        <v>0</v>
      </c>
      <c r="U71" s="44">
        <v>0</v>
      </c>
      <c r="V71" s="44">
        <v>0</v>
      </c>
      <c r="W71" s="44">
        <v>0</v>
      </c>
      <c r="X71" s="45">
        <v>1057.79</v>
      </c>
      <c r="Y71" s="45">
        <v>973167</v>
      </c>
      <c r="Z71" s="45"/>
      <c r="AA71" s="46">
        <v>973167</v>
      </c>
    </row>
    <row r="72" spans="1:27" ht="15" customHeight="1">
      <c r="A72" s="1">
        <v>12</v>
      </c>
      <c r="B72" s="1" t="s">
        <v>234</v>
      </c>
      <c r="C72" s="1" t="s">
        <v>235</v>
      </c>
      <c r="D72" s="1" t="s">
        <v>225</v>
      </c>
      <c r="E72" s="1" t="s">
        <v>235</v>
      </c>
      <c r="F72" s="1" t="s">
        <v>140</v>
      </c>
      <c r="G72" s="1" t="s">
        <v>141</v>
      </c>
      <c r="H72" s="1">
        <v>9271000330</v>
      </c>
      <c r="I72" s="1" t="s">
        <v>34</v>
      </c>
      <c r="J72" s="1">
        <v>437</v>
      </c>
      <c r="K72" s="1" t="s">
        <v>226</v>
      </c>
      <c r="L72" s="1">
        <v>1361001389</v>
      </c>
      <c r="M72" s="1" t="s">
        <v>238</v>
      </c>
      <c r="N72" s="1" t="s">
        <v>178</v>
      </c>
      <c r="O72" s="1" t="s">
        <v>179</v>
      </c>
      <c r="P72" s="1" t="s">
        <v>146</v>
      </c>
      <c r="Q72" s="1" t="s">
        <v>147</v>
      </c>
      <c r="R72" s="1" t="s">
        <v>228</v>
      </c>
      <c r="S72" s="44">
        <v>0</v>
      </c>
      <c r="T72" s="44">
        <v>0</v>
      </c>
      <c r="U72" s="44">
        <v>0</v>
      </c>
      <c r="V72" s="44">
        <v>0</v>
      </c>
      <c r="W72" s="44">
        <v>0</v>
      </c>
      <c r="X72" s="45">
        <v>0.1</v>
      </c>
      <c r="Y72" s="45">
        <v>107048</v>
      </c>
      <c r="Z72" s="45"/>
      <c r="AA72" s="46">
        <v>107048</v>
      </c>
    </row>
    <row r="73" spans="1:27" ht="15" customHeight="1">
      <c r="A73" s="56"/>
      <c r="B73" s="56" t="s">
        <v>149</v>
      </c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7"/>
      <c r="T73" s="57"/>
      <c r="U73" s="57"/>
      <c r="V73" s="57"/>
      <c r="W73" s="57"/>
      <c r="X73" s="58">
        <f>SUM(X69:X72)</f>
        <v>1288.1599999999999</v>
      </c>
      <c r="Y73" s="58">
        <f t="shared" ref="Y73:AA73" si="11">SUM(Y69:Y72)</f>
        <v>1341959</v>
      </c>
      <c r="Z73" s="58">
        <f t="shared" si="11"/>
        <v>28791.84</v>
      </c>
      <c r="AA73" s="58">
        <f t="shared" si="11"/>
        <v>1370750.84</v>
      </c>
    </row>
    <row r="74" spans="1:27" ht="15" customHeight="1">
      <c r="A74" s="1">
        <v>13</v>
      </c>
      <c r="B74" s="1" t="s">
        <v>239</v>
      </c>
      <c r="C74" s="1" t="s">
        <v>240</v>
      </c>
      <c r="D74" s="1" t="s">
        <v>241</v>
      </c>
      <c r="E74" s="1" t="s">
        <v>240</v>
      </c>
      <c r="F74" s="1" t="s">
        <v>183</v>
      </c>
      <c r="G74" s="1" t="s">
        <v>141</v>
      </c>
      <c r="H74" s="1">
        <v>9145000090</v>
      </c>
      <c r="I74" s="1" t="s">
        <v>35</v>
      </c>
      <c r="J74" s="1">
        <v>224</v>
      </c>
      <c r="K74" s="1" t="s">
        <v>184</v>
      </c>
      <c r="L74" s="1">
        <v>9141001251</v>
      </c>
      <c r="M74" s="1">
        <v>1131000076</v>
      </c>
      <c r="N74" s="1" t="s">
        <v>144</v>
      </c>
      <c r="O74" s="1" t="s">
        <v>145</v>
      </c>
      <c r="P74" s="1" t="s">
        <v>146</v>
      </c>
      <c r="Q74" s="1" t="s">
        <v>147</v>
      </c>
      <c r="R74" s="1" t="s">
        <v>162</v>
      </c>
      <c r="S74" s="44">
        <v>5.32</v>
      </c>
      <c r="T74" s="44">
        <v>0.26</v>
      </c>
      <c r="U74" s="44">
        <v>0</v>
      </c>
      <c r="V74" s="44">
        <v>0</v>
      </c>
      <c r="W74" s="44">
        <v>0</v>
      </c>
      <c r="X74" s="45">
        <v>592450</v>
      </c>
      <c r="Y74" s="45">
        <v>31629500</v>
      </c>
      <c r="Z74" s="45"/>
      <c r="AA74" s="46">
        <v>31629500</v>
      </c>
    </row>
    <row r="75" spans="1:27" ht="15" customHeight="1">
      <c r="A75" s="1">
        <v>13</v>
      </c>
      <c r="B75" s="1" t="s">
        <v>239</v>
      </c>
      <c r="C75" s="1" t="s">
        <v>240</v>
      </c>
      <c r="D75" s="1" t="s">
        <v>241</v>
      </c>
      <c r="E75" s="1" t="s">
        <v>240</v>
      </c>
      <c r="F75" s="1" t="s">
        <v>183</v>
      </c>
      <c r="G75" s="1" t="s">
        <v>141</v>
      </c>
      <c r="H75" s="1">
        <v>9145000091</v>
      </c>
      <c r="I75" s="1" t="s">
        <v>35</v>
      </c>
      <c r="J75" s="1">
        <v>224</v>
      </c>
      <c r="K75" s="1" t="s">
        <v>184</v>
      </c>
      <c r="L75" s="1">
        <v>9141001276</v>
      </c>
      <c r="M75" s="1">
        <v>1131000077</v>
      </c>
      <c r="N75" s="1" t="s">
        <v>144</v>
      </c>
      <c r="O75" s="1" t="s">
        <v>145</v>
      </c>
      <c r="P75" s="1" t="s">
        <v>146</v>
      </c>
      <c r="Q75" s="1" t="s">
        <v>147</v>
      </c>
      <c r="R75" s="1" t="s">
        <v>162</v>
      </c>
      <c r="S75" s="44">
        <v>5.13</v>
      </c>
      <c r="T75" s="44">
        <v>0.24</v>
      </c>
      <c r="U75" s="44">
        <v>0</v>
      </c>
      <c r="V75" s="44">
        <v>0</v>
      </c>
      <c r="W75" s="44">
        <v>0</v>
      </c>
      <c r="X75" s="45">
        <v>910540</v>
      </c>
      <c r="Y75" s="45">
        <v>45527000</v>
      </c>
      <c r="Z75" s="45"/>
      <c r="AA75" s="46">
        <v>45527000</v>
      </c>
    </row>
    <row r="76" spans="1:27" ht="15" customHeight="1">
      <c r="A76" s="1">
        <v>13</v>
      </c>
      <c r="B76" s="1" t="s">
        <v>239</v>
      </c>
      <c r="C76" s="1" t="s">
        <v>240</v>
      </c>
      <c r="D76" s="1" t="s">
        <v>241</v>
      </c>
      <c r="E76" s="1" t="s">
        <v>240</v>
      </c>
      <c r="F76" s="1" t="s">
        <v>183</v>
      </c>
      <c r="G76" s="1" t="s">
        <v>141</v>
      </c>
      <c r="H76" s="1">
        <v>9145000092</v>
      </c>
      <c r="I76" s="1" t="s">
        <v>36</v>
      </c>
      <c r="J76" s="1">
        <v>220</v>
      </c>
      <c r="K76" s="1" t="s">
        <v>184</v>
      </c>
      <c r="L76" s="1">
        <v>9141001277</v>
      </c>
      <c r="M76" s="1">
        <v>1131000078</v>
      </c>
      <c r="N76" s="1" t="s">
        <v>144</v>
      </c>
      <c r="O76" s="1" t="s">
        <v>145</v>
      </c>
      <c r="P76" s="1" t="s">
        <v>146</v>
      </c>
      <c r="Q76" s="1" t="s">
        <v>147</v>
      </c>
      <c r="R76" s="1" t="s">
        <v>162</v>
      </c>
      <c r="S76" s="44">
        <v>5.27</v>
      </c>
      <c r="T76" s="44">
        <v>0.27</v>
      </c>
      <c r="U76" s="44">
        <v>0</v>
      </c>
      <c r="V76" s="44">
        <v>0</v>
      </c>
      <c r="W76" s="44">
        <v>0</v>
      </c>
      <c r="X76" s="45">
        <v>1012100</v>
      </c>
      <c r="Y76" s="45">
        <v>50605000</v>
      </c>
      <c r="Z76" s="45"/>
      <c r="AA76" s="46">
        <v>50605000</v>
      </c>
    </row>
    <row r="77" spans="1:27" ht="15" customHeight="1">
      <c r="A77" s="1">
        <v>13</v>
      </c>
      <c r="B77" s="1" t="s">
        <v>239</v>
      </c>
      <c r="C77" s="1" t="s">
        <v>240</v>
      </c>
      <c r="D77" s="1" t="s">
        <v>241</v>
      </c>
      <c r="E77" s="1" t="s">
        <v>240</v>
      </c>
      <c r="F77" s="1" t="s">
        <v>183</v>
      </c>
      <c r="G77" s="1" t="s">
        <v>141</v>
      </c>
      <c r="H77" s="1">
        <v>9145000093</v>
      </c>
      <c r="I77" s="1" t="s">
        <v>36</v>
      </c>
      <c r="J77" s="1">
        <v>220</v>
      </c>
      <c r="K77" s="1" t="s">
        <v>184</v>
      </c>
      <c r="L77" s="1">
        <v>9141001278</v>
      </c>
      <c r="M77" s="1">
        <v>1131000079</v>
      </c>
      <c r="N77" s="1" t="s">
        <v>144</v>
      </c>
      <c r="O77" s="1" t="s">
        <v>145</v>
      </c>
      <c r="P77" s="1" t="s">
        <v>146</v>
      </c>
      <c r="Q77" s="1" t="s">
        <v>147</v>
      </c>
      <c r="R77" s="1" t="s">
        <v>162</v>
      </c>
      <c r="S77" s="44">
        <v>5.28</v>
      </c>
      <c r="T77" s="44">
        <v>0.22</v>
      </c>
      <c r="U77" s="44">
        <v>0</v>
      </c>
      <c r="V77" s="44">
        <v>0</v>
      </c>
      <c r="W77" s="44">
        <v>0</v>
      </c>
      <c r="X77" s="45">
        <v>985070</v>
      </c>
      <c r="Y77" s="45">
        <v>49253500</v>
      </c>
      <c r="Z77" s="45"/>
      <c r="AA77" s="46">
        <v>49253500</v>
      </c>
    </row>
    <row r="78" spans="1:27" ht="15" customHeight="1">
      <c r="A78" s="1">
        <v>13</v>
      </c>
      <c r="B78" s="1" t="s">
        <v>239</v>
      </c>
      <c r="C78" s="1" t="s">
        <v>240</v>
      </c>
      <c r="D78" s="1" t="s">
        <v>241</v>
      </c>
      <c r="E78" s="1" t="s">
        <v>240</v>
      </c>
      <c r="F78" s="1" t="s">
        <v>183</v>
      </c>
      <c r="G78" s="1" t="s">
        <v>141</v>
      </c>
      <c r="H78" s="1">
        <v>9145000094</v>
      </c>
      <c r="I78" s="1" t="s">
        <v>36</v>
      </c>
      <c r="J78" s="1">
        <v>220</v>
      </c>
      <c r="K78" s="1" t="s">
        <v>184</v>
      </c>
      <c r="L78" s="1">
        <v>9141001279</v>
      </c>
      <c r="M78" s="1">
        <v>1131000080</v>
      </c>
      <c r="N78" s="1" t="s">
        <v>144</v>
      </c>
      <c r="O78" s="1" t="s">
        <v>145</v>
      </c>
      <c r="P78" s="1" t="s">
        <v>146</v>
      </c>
      <c r="Q78" s="1" t="s">
        <v>147</v>
      </c>
      <c r="R78" s="1" t="s">
        <v>162</v>
      </c>
      <c r="S78" s="44">
        <v>5.3</v>
      </c>
      <c r="T78" s="44">
        <v>0.32</v>
      </c>
      <c r="U78" s="44">
        <v>0</v>
      </c>
      <c r="V78" s="44">
        <v>0</v>
      </c>
      <c r="W78" s="44">
        <v>0</v>
      </c>
      <c r="X78" s="45">
        <v>1010710</v>
      </c>
      <c r="Y78" s="45">
        <v>50535500</v>
      </c>
      <c r="Z78" s="45"/>
      <c r="AA78" s="46">
        <v>50535500</v>
      </c>
    </row>
    <row r="79" spans="1:27" ht="15" customHeight="1">
      <c r="A79" s="1">
        <v>13</v>
      </c>
      <c r="B79" s="1" t="s">
        <v>239</v>
      </c>
      <c r="C79" s="1" t="s">
        <v>240</v>
      </c>
      <c r="D79" s="1" t="s">
        <v>241</v>
      </c>
      <c r="E79" s="1" t="s">
        <v>240</v>
      </c>
      <c r="F79" s="1" t="s">
        <v>183</v>
      </c>
      <c r="G79" s="1" t="s">
        <v>141</v>
      </c>
      <c r="H79" s="1">
        <v>9145000095</v>
      </c>
      <c r="I79" s="1" t="s">
        <v>36</v>
      </c>
      <c r="J79" s="1">
        <v>220</v>
      </c>
      <c r="K79" s="1" t="s">
        <v>184</v>
      </c>
      <c r="L79" s="1">
        <v>9141001290</v>
      </c>
      <c r="M79" s="1">
        <v>1131000083</v>
      </c>
      <c r="N79" s="1" t="s">
        <v>144</v>
      </c>
      <c r="O79" s="1" t="s">
        <v>145</v>
      </c>
      <c r="P79" s="1" t="s">
        <v>146</v>
      </c>
      <c r="Q79" s="1" t="s">
        <v>147</v>
      </c>
      <c r="R79" s="1" t="s">
        <v>162</v>
      </c>
      <c r="S79" s="44">
        <v>5.28</v>
      </c>
      <c r="T79" s="44">
        <v>0.27</v>
      </c>
      <c r="U79" s="44">
        <v>0</v>
      </c>
      <c r="V79" s="44">
        <v>0</v>
      </c>
      <c r="W79" s="44">
        <v>0</v>
      </c>
      <c r="X79" s="45">
        <v>1014500</v>
      </c>
      <c r="Y79" s="45">
        <v>50725000</v>
      </c>
      <c r="Z79" s="45"/>
      <c r="AA79" s="46">
        <v>50725000</v>
      </c>
    </row>
    <row r="80" spans="1:27" ht="15" customHeight="1">
      <c r="A80" s="1">
        <v>13</v>
      </c>
      <c r="B80" s="1" t="s">
        <v>239</v>
      </c>
      <c r="C80" s="1" t="s">
        <v>240</v>
      </c>
      <c r="D80" s="1" t="s">
        <v>241</v>
      </c>
      <c r="E80" s="1" t="s">
        <v>240</v>
      </c>
      <c r="F80" s="1" t="s">
        <v>183</v>
      </c>
      <c r="G80" s="1" t="s">
        <v>141</v>
      </c>
      <c r="H80" s="1">
        <v>9145000096</v>
      </c>
      <c r="I80" s="1" t="s">
        <v>36</v>
      </c>
      <c r="J80" s="1">
        <v>220</v>
      </c>
      <c r="K80" s="1" t="s">
        <v>184</v>
      </c>
      <c r="L80" s="1">
        <v>9141001291</v>
      </c>
      <c r="M80" s="1">
        <v>1131000084</v>
      </c>
      <c r="N80" s="1" t="s">
        <v>144</v>
      </c>
      <c r="O80" s="1" t="s">
        <v>145</v>
      </c>
      <c r="P80" s="1" t="s">
        <v>146</v>
      </c>
      <c r="Q80" s="1" t="s">
        <v>147</v>
      </c>
      <c r="R80" s="1" t="s">
        <v>162</v>
      </c>
      <c r="S80" s="44">
        <v>5.32</v>
      </c>
      <c r="T80" s="44">
        <v>0.28000000000000003</v>
      </c>
      <c r="U80" s="44">
        <v>0</v>
      </c>
      <c r="V80" s="44">
        <v>0</v>
      </c>
      <c r="W80" s="44">
        <v>0</v>
      </c>
      <c r="X80" s="45">
        <v>876930</v>
      </c>
      <c r="Y80" s="45">
        <v>43846500</v>
      </c>
      <c r="Z80" s="45"/>
      <c r="AA80" s="46">
        <v>43846500</v>
      </c>
    </row>
    <row r="81" spans="1:27" ht="15" customHeight="1">
      <c r="A81" s="1">
        <v>13</v>
      </c>
      <c r="B81" s="1" t="s">
        <v>239</v>
      </c>
      <c r="C81" s="1" t="s">
        <v>240</v>
      </c>
      <c r="D81" s="1" t="s">
        <v>241</v>
      </c>
      <c r="E81" s="1" t="s">
        <v>240</v>
      </c>
      <c r="F81" s="1" t="s">
        <v>183</v>
      </c>
      <c r="G81" s="1" t="s">
        <v>141</v>
      </c>
      <c r="H81" s="1">
        <v>9145000097</v>
      </c>
      <c r="I81" s="1" t="s">
        <v>36</v>
      </c>
      <c r="J81" s="1">
        <v>220</v>
      </c>
      <c r="K81" s="1" t="s">
        <v>184</v>
      </c>
      <c r="L81" s="1">
        <v>9141001311</v>
      </c>
      <c r="M81" s="1">
        <v>1131000091</v>
      </c>
      <c r="N81" s="1" t="s">
        <v>144</v>
      </c>
      <c r="O81" s="1" t="s">
        <v>145</v>
      </c>
      <c r="P81" s="1" t="s">
        <v>146</v>
      </c>
      <c r="Q81" s="1" t="s">
        <v>147</v>
      </c>
      <c r="R81" s="1" t="s">
        <v>162</v>
      </c>
      <c r="S81" s="44">
        <v>5.24</v>
      </c>
      <c r="T81" s="44">
        <v>0.28000000000000003</v>
      </c>
      <c r="U81" s="44">
        <v>0</v>
      </c>
      <c r="V81" s="44">
        <v>0</v>
      </c>
      <c r="W81" s="44">
        <v>0</v>
      </c>
      <c r="X81" s="45">
        <v>759090</v>
      </c>
      <c r="Y81" s="45">
        <v>37954500</v>
      </c>
      <c r="Z81" s="45"/>
      <c r="AA81" s="46">
        <v>37954500</v>
      </c>
    </row>
    <row r="82" spans="1:27" ht="15" customHeight="1">
      <c r="A82" s="1">
        <v>13</v>
      </c>
      <c r="B82" s="1" t="s">
        <v>239</v>
      </c>
      <c r="C82" s="1" t="s">
        <v>240</v>
      </c>
      <c r="D82" s="1" t="s">
        <v>241</v>
      </c>
      <c r="E82" s="1" t="s">
        <v>240</v>
      </c>
      <c r="F82" s="1" t="s">
        <v>183</v>
      </c>
      <c r="G82" s="1" t="s">
        <v>141</v>
      </c>
      <c r="H82" s="1">
        <v>9145000098</v>
      </c>
      <c r="I82" s="1" t="s">
        <v>36</v>
      </c>
      <c r="J82" s="1">
        <v>220</v>
      </c>
      <c r="K82" s="1" t="s">
        <v>184</v>
      </c>
      <c r="L82" s="1">
        <v>9141001312</v>
      </c>
      <c r="M82" s="1">
        <v>1131000092</v>
      </c>
      <c r="N82" s="1" t="s">
        <v>144</v>
      </c>
      <c r="O82" s="1" t="s">
        <v>145</v>
      </c>
      <c r="P82" s="1" t="s">
        <v>146</v>
      </c>
      <c r="Q82" s="1" t="s">
        <v>147</v>
      </c>
      <c r="R82" s="1" t="s">
        <v>162</v>
      </c>
      <c r="S82" s="44">
        <v>5.29</v>
      </c>
      <c r="T82" s="44">
        <v>0.26</v>
      </c>
      <c r="U82" s="44">
        <v>0</v>
      </c>
      <c r="V82" s="44">
        <v>0</v>
      </c>
      <c r="W82" s="44">
        <v>0</v>
      </c>
      <c r="X82" s="45">
        <v>1003590</v>
      </c>
      <c r="Y82" s="45">
        <v>50179500</v>
      </c>
      <c r="Z82" s="45"/>
      <c r="AA82" s="46">
        <v>50179500</v>
      </c>
    </row>
    <row r="83" spans="1:27" ht="15" customHeight="1">
      <c r="A83" s="1">
        <v>13</v>
      </c>
      <c r="B83" s="1" t="s">
        <v>239</v>
      </c>
      <c r="C83" s="1" t="s">
        <v>240</v>
      </c>
      <c r="D83" s="1" t="s">
        <v>241</v>
      </c>
      <c r="E83" s="1" t="s">
        <v>240</v>
      </c>
      <c r="F83" s="1" t="s">
        <v>183</v>
      </c>
      <c r="G83" s="1" t="s">
        <v>141</v>
      </c>
      <c r="H83" s="1">
        <v>9145000099</v>
      </c>
      <c r="I83" s="1" t="s">
        <v>36</v>
      </c>
      <c r="J83" s="1">
        <v>220</v>
      </c>
      <c r="K83" s="1" t="s">
        <v>184</v>
      </c>
      <c r="L83" s="1">
        <v>9141001317</v>
      </c>
      <c r="M83" s="1">
        <v>1131000094</v>
      </c>
      <c r="N83" s="1" t="s">
        <v>144</v>
      </c>
      <c r="O83" s="1" t="s">
        <v>145</v>
      </c>
      <c r="P83" s="1" t="s">
        <v>146</v>
      </c>
      <c r="Q83" s="1" t="s">
        <v>147</v>
      </c>
      <c r="R83" s="1" t="s">
        <v>162</v>
      </c>
      <c r="S83" s="44">
        <v>5.3</v>
      </c>
      <c r="T83" s="44">
        <v>0.31</v>
      </c>
      <c r="U83" s="44">
        <v>0</v>
      </c>
      <c r="V83" s="44">
        <v>0</v>
      </c>
      <c r="W83" s="44">
        <v>0</v>
      </c>
      <c r="X83" s="45">
        <v>1000620</v>
      </c>
      <c r="Y83" s="45">
        <v>50031000</v>
      </c>
      <c r="Z83" s="45"/>
      <c r="AA83" s="46">
        <v>50031000</v>
      </c>
    </row>
    <row r="84" spans="1:27" ht="15" customHeight="1">
      <c r="A84" s="1">
        <v>13</v>
      </c>
      <c r="B84" s="1" t="s">
        <v>239</v>
      </c>
      <c r="C84" s="1" t="s">
        <v>240</v>
      </c>
      <c r="D84" s="1" t="s">
        <v>241</v>
      </c>
      <c r="E84" s="1" t="s">
        <v>240</v>
      </c>
      <c r="F84" s="1" t="s">
        <v>183</v>
      </c>
      <c r="G84" s="1" t="s">
        <v>141</v>
      </c>
      <c r="H84" s="1">
        <v>9145000100</v>
      </c>
      <c r="I84" s="1" t="s">
        <v>36</v>
      </c>
      <c r="J84" s="1">
        <v>220</v>
      </c>
      <c r="K84" s="1" t="s">
        <v>184</v>
      </c>
      <c r="L84" s="1">
        <v>9141001318</v>
      </c>
      <c r="M84" s="1">
        <v>1131000095</v>
      </c>
      <c r="N84" s="1" t="s">
        <v>144</v>
      </c>
      <c r="O84" s="1" t="s">
        <v>145</v>
      </c>
      <c r="P84" s="1" t="s">
        <v>146</v>
      </c>
      <c r="Q84" s="1" t="s">
        <v>147</v>
      </c>
      <c r="R84" s="1" t="s">
        <v>162</v>
      </c>
      <c r="S84" s="44">
        <v>5.22</v>
      </c>
      <c r="T84" s="44">
        <v>0.22</v>
      </c>
      <c r="U84" s="44">
        <v>0</v>
      </c>
      <c r="V84" s="44">
        <v>0</v>
      </c>
      <c r="W84" s="44">
        <v>0</v>
      </c>
      <c r="X84" s="45">
        <v>514120</v>
      </c>
      <c r="Y84" s="45">
        <v>25706000</v>
      </c>
      <c r="Z84" s="45"/>
      <c r="AA84" s="46">
        <v>25706000</v>
      </c>
    </row>
    <row r="85" spans="1:27" ht="15" customHeight="1">
      <c r="A85" s="1">
        <v>13</v>
      </c>
      <c r="B85" s="1" t="s">
        <v>239</v>
      </c>
      <c r="C85" s="1" t="s">
        <v>240</v>
      </c>
      <c r="D85" s="1" t="s">
        <v>241</v>
      </c>
      <c r="E85" s="1" t="s">
        <v>240</v>
      </c>
      <c r="F85" s="1" t="s">
        <v>183</v>
      </c>
      <c r="G85" s="1" t="s">
        <v>141</v>
      </c>
      <c r="H85" s="1">
        <v>9145000101</v>
      </c>
      <c r="I85" s="1" t="s">
        <v>36</v>
      </c>
      <c r="J85" s="1">
        <v>220</v>
      </c>
      <c r="K85" s="1" t="s">
        <v>184</v>
      </c>
      <c r="L85" s="1">
        <v>9141001326</v>
      </c>
      <c r="M85" s="1">
        <v>1131000096</v>
      </c>
      <c r="N85" s="1" t="s">
        <v>144</v>
      </c>
      <c r="O85" s="1" t="s">
        <v>145</v>
      </c>
      <c r="P85" s="1" t="s">
        <v>146</v>
      </c>
      <c r="Q85" s="1" t="s">
        <v>147</v>
      </c>
      <c r="R85" s="1" t="s">
        <v>162</v>
      </c>
      <c r="S85" s="44">
        <v>5.26</v>
      </c>
      <c r="T85" s="44">
        <v>0.21</v>
      </c>
      <c r="U85" s="44">
        <v>0</v>
      </c>
      <c r="V85" s="44">
        <v>0</v>
      </c>
      <c r="W85" s="44">
        <v>0</v>
      </c>
      <c r="X85" s="45">
        <v>584850</v>
      </c>
      <c r="Y85" s="45">
        <v>29242500</v>
      </c>
      <c r="Z85" s="45"/>
      <c r="AA85" s="46">
        <v>29242500</v>
      </c>
    </row>
    <row r="86" spans="1:27" ht="15" customHeight="1">
      <c r="A86" s="1">
        <v>13</v>
      </c>
      <c r="B86" s="1" t="s">
        <v>239</v>
      </c>
      <c r="C86" s="1" t="s">
        <v>240</v>
      </c>
      <c r="D86" s="1" t="s">
        <v>241</v>
      </c>
      <c r="E86" s="1" t="s">
        <v>240</v>
      </c>
      <c r="F86" s="1" t="s">
        <v>183</v>
      </c>
      <c r="G86" s="1" t="s">
        <v>141</v>
      </c>
      <c r="H86" s="1">
        <v>9145000102</v>
      </c>
      <c r="I86" s="1" t="s">
        <v>36</v>
      </c>
      <c r="J86" s="1">
        <v>220</v>
      </c>
      <c r="K86" s="1" t="s">
        <v>184</v>
      </c>
      <c r="L86" s="1">
        <v>9141001327</v>
      </c>
      <c r="M86" s="1">
        <v>1131000097</v>
      </c>
      <c r="N86" s="1" t="s">
        <v>144</v>
      </c>
      <c r="O86" s="1" t="s">
        <v>145</v>
      </c>
      <c r="P86" s="1" t="s">
        <v>146</v>
      </c>
      <c r="Q86" s="1" t="s">
        <v>147</v>
      </c>
      <c r="R86" s="1" t="s">
        <v>162</v>
      </c>
      <c r="S86" s="44">
        <v>5.36</v>
      </c>
      <c r="T86" s="44">
        <v>0.19</v>
      </c>
      <c r="U86" s="44">
        <v>0</v>
      </c>
      <c r="V86" s="44">
        <v>0</v>
      </c>
      <c r="W86" s="44">
        <v>0</v>
      </c>
      <c r="X86" s="45">
        <v>299140</v>
      </c>
      <c r="Y86" s="45">
        <v>14957000</v>
      </c>
      <c r="Z86" s="45"/>
      <c r="AA86" s="46">
        <v>14957000</v>
      </c>
    </row>
    <row r="87" spans="1:27" ht="15" customHeight="1">
      <c r="A87" s="1">
        <v>13</v>
      </c>
      <c r="B87" s="1" t="s">
        <v>239</v>
      </c>
      <c r="C87" s="1" t="s">
        <v>240</v>
      </c>
      <c r="D87" s="1" t="s">
        <v>241</v>
      </c>
      <c r="E87" s="1" t="s">
        <v>240</v>
      </c>
      <c r="F87" s="1" t="s">
        <v>183</v>
      </c>
      <c r="G87" s="1" t="s">
        <v>141</v>
      </c>
      <c r="H87" s="1">
        <v>9145000103</v>
      </c>
      <c r="I87" s="1" t="s">
        <v>37</v>
      </c>
      <c r="J87" s="1">
        <v>219</v>
      </c>
      <c r="K87" s="1" t="s">
        <v>184</v>
      </c>
      <c r="L87" s="1">
        <v>9141001337</v>
      </c>
      <c r="M87" s="1">
        <v>1131000101</v>
      </c>
      <c r="N87" s="1" t="s">
        <v>144</v>
      </c>
      <c r="O87" s="1" t="s">
        <v>145</v>
      </c>
      <c r="P87" s="1" t="s">
        <v>146</v>
      </c>
      <c r="Q87" s="1" t="s">
        <v>147</v>
      </c>
      <c r="R87" s="1" t="s">
        <v>162</v>
      </c>
      <c r="S87" s="44">
        <v>5.54</v>
      </c>
      <c r="T87" s="44">
        <v>0.25</v>
      </c>
      <c r="U87" s="44">
        <v>0</v>
      </c>
      <c r="V87" s="44">
        <v>0</v>
      </c>
      <c r="W87" s="44">
        <v>0</v>
      </c>
      <c r="X87" s="45">
        <v>1015290</v>
      </c>
      <c r="Y87" s="45">
        <v>203058000</v>
      </c>
      <c r="Z87" s="45"/>
      <c r="AA87" s="46">
        <v>203058000</v>
      </c>
    </row>
    <row r="88" spans="1:27" ht="15" customHeight="1">
      <c r="A88" s="1">
        <v>13</v>
      </c>
      <c r="B88" s="1" t="s">
        <v>239</v>
      </c>
      <c r="C88" s="1" t="s">
        <v>240</v>
      </c>
      <c r="D88" s="1" t="s">
        <v>241</v>
      </c>
      <c r="E88" s="1" t="s">
        <v>240</v>
      </c>
      <c r="F88" s="1" t="s">
        <v>183</v>
      </c>
      <c r="G88" s="1" t="s">
        <v>141</v>
      </c>
      <c r="H88" s="1">
        <v>9145000104</v>
      </c>
      <c r="I88" s="1" t="s">
        <v>37</v>
      </c>
      <c r="J88" s="1">
        <v>219</v>
      </c>
      <c r="K88" s="1" t="s">
        <v>184</v>
      </c>
      <c r="L88" s="1">
        <v>9141001383</v>
      </c>
      <c r="M88" s="1">
        <v>1131000113</v>
      </c>
      <c r="N88" s="1" t="s">
        <v>144</v>
      </c>
      <c r="O88" s="1" t="s">
        <v>145</v>
      </c>
      <c r="P88" s="1" t="s">
        <v>146</v>
      </c>
      <c r="Q88" s="1" t="s">
        <v>147</v>
      </c>
      <c r="R88" s="1" t="s">
        <v>162</v>
      </c>
      <c r="S88" s="44">
        <v>5.9</v>
      </c>
      <c r="T88" s="44">
        <v>0.24</v>
      </c>
      <c r="U88" s="44">
        <v>0</v>
      </c>
      <c r="V88" s="44">
        <v>0</v>
      </c>
      <c r="W88" s="44">
        <v>0</v>
      </c>
      <c r="X88" s="45">
        <v>1014400</v>
      </c>
      <c r="Y88" s="45">
        <v>202880000</v>
      </c>
      <c r="Z88" s="45"/>
      <c r="AA88" s="46">
        <v>202880000</v>
      </c>
    </row>
    <row r="89" spans="1:27" ht="15" customHeight="1">
      <c r="A89" s="1">
        <v>13</v>
      </c>
      <c r="B89" s="1" t="s">
        <v>239</v>
      </c>
      <c r="C89" s="1" t="s">
        <v>240</v>
      </c>
      <c r="D89" s="1" t="s">
        <v>241</v>
      </c>
      <c r="E89" s="1" t="s">
        <v>240</v>
      </c>
      <c r="F89" s="1" t="s">
        <v>183</v>
      </c>
      <c r="G89" s="1" t="s">
        <v>141</v>
      </c>
      <c r="H89" s="1">
        <v>9145000105</v>
      </c>
      <c r="I89" s="1" t="s">
        <v>37</v>
      </c>
      <c r="J89" s="1">
        <v>219</v>
      </c>
      <c r="K89" s="1" t="s">
        <v>184</v>
      </c>
      <c r="L89" s="1">
        <v>9141001384</v>
      </c>
      <c r="M89" s="1">
        <v>1131000114</v>
      </c>
      <c r="N89" s="1" t="s">
        <v>144</v>
      </c>
      <c r="O89" s="1" t="s">
        <v>145</v>
      </c>
      <c r="P89" s="1" t="s">
        <v>146</v>
      </c>
      <c r="Q89" s="1" t="s">
        <v>147</v>
      </c>
      <c r="R89" s="1" t="s">
        <v>162</v>
      </c>
      <c r="S89" s="44">
        <v>5.65</v>
      </c>
      <c r="T89" s="44">
        <v>0.23</v>
      </c>
      <c r="U89" s="44">
        <v>0</v>
      </c>
      <c r="V89" s="44">
        <v>0</v>
      </c>
      <c r="W89" s="44">
        <v>0</v>
      </c>
      <c r="X89" s="45">
        <v>1015790</v>
      </c>
      <c r="Y89" s="45">
        <v>203158000</v>
      </c>
      <c r="Z89" s="45"/>
      <c r="AA89" s="46">
        <v>203158000</v>
      </c>
    </row>
    <row r="90" spans="1:27" ht="15" customHeight="1">
      <c r="A90" s="1">
        <v>13</v>
      </c>
      <c r="B90" s="1" t="s">
        <v>239</v>
      </c>
      <c r="C90" s="1" t="s">
        <v>240</v>
      </c>
      <c r="D90" s="1" t="s">
        <v>241</v>
      </c>
      <c r="E90" s="1" t="s">
        <v>240</v>
      </c>
      <c r="F90" s="1" t="s">
        <v>183</v>
      </c>
      <c r="G90" s="1" t="s">
        <v>141</v>
      </c>
      <c r="H90" s="1">
        <v>9145000106</v>
      </c>
      <c r="I90" s="1" t="s">
        <v>37</v>
      </c>
      <c r="J90" s="1">
        <v>219</v>
      </c>
      <c r="K90" s="1" t="s">
        <v>184</v>
      </c>
      <c r="L90" s="1">
        <v>9141001429</v>
      </c>
      <c r="M90" s="1">
        <v>1131000122</v>
      </c>
      <c r="N90" s="1" t="s">
        <v>144</v>
      </c>
      <c r="O90" s="1" t="s">
        <v>145</v>
      </c>
      <c r="P90" s="1" t="s">
        <v>146</v>
      </c>
      <c r="Q90" s="1" t="s">
        <v>147</v>
      </c>
      <c r="R90" s="1" t="s">
        <v>162</v>
      </c>
      <c r="S90" s="44">
        <v>6.01</v>
      </c>
      <c r="T90" s="44">
        <v>0.23</v>
      </c>
      <c r="U90" s="44">
        <v>0</v>
      </c>
      <c r="V90" s="44">
        <v>0</v>
      </c>
      <c r="W90" s="44">
        <v>0</v>
      </c>
      <c r="X90" s="45">
        <v>1012510</v>
      </c>
      <c r="Y90" s="45">
        <v>405004000</v>
      </c>
      <c r="Z90" s="45"/>
      <c r="AA90" s="46">
        <v>405004000</v>
      </c>
    </row>
    <row r="91" spans="1:27" ht="15" customHeight="1">
      <c r="A91" s="1">
        <v>13</v>
      </c>
      <c r="B91" s="1" t="s">
        <v>239</v>
      </c>
      <c r="C91" s="1" t="s">
        <v>240</v>
      </c>
      <c r="D91" s="1" t="s">
        <v>241</v>
      </c>
      <c r="E91" s="1" t="s">
        <v>240</v>
      </c>
      <c r="F91" s="1" t="s">
        <v>183</v>
      </c>
      <c r="G91" s="1" t="s">
        <v>141</v>
      </c>
      <c r="H91" s="1">
        <v>9145000107</v>
      </c>
      <c r="I91" s="1" t="s">
        <v>37</v>
      </c>
      <c r="J91" s="1">
        <v>219</v>
      </c>
      <c r="K91" s="1" t="s">
        <v>184</v>
      </c>
      <c r="L91" s="1">
        <v>9141001430</v>
      </c>
      <c r="M91" s="1">
        <v>1131000123</v>
      </c>
      <c r="N91" s="1" t="s">
        <v>144</v>
      </c>
      <c r="O91" s="1" t="s">
        <v>145</v>
      </c>
      <c r="P91" s="1" t="s">
        <v>146</v>
      </c>
      <c r="Q91" s="1" t="s">
        <v>147</v>
      </c>
      <c r="R91" s="1" t="s">
        <v>162</v>
      </c>
      <c r="S91" s="44">
        <v>5.9</v>
      </c>
      <c r="T91" s="44">
        <v>0.24</v>
      </c>
      <c r="U91" s="44">
        <v>0</v>
      </c>
      <c r="V91" s="44">
        <v>0</v>
      </c>
      <c r="W91" s="44">
        <v>0</v>
      </c>
      <c r="X91" s="45">
        <v>1013110</v>
      </c>
      <c r="Y91" s="45">
        <v>202622000</v>
      </c>
      <c r="Z91" s="45"/>
      <c r="AA91" s="46">
        <v>202622000</v>
      </c>
    </row>
    <row r="92" spans="1:27" ht="15" customHeight="1">
      <c r="A92" s="1">
        <v>13</v>
      </c>
      <c r="B92" s="1" t="s">
        <v>239</v>
      </c>
      <c r="C92" s="1" t="s">
        <v>240</v>
      </c>
      <c r="D92" s="1" t="s">
        <v>241</v>
      </c>
      <c r="E92" s="1" t="s">
        <v>240</v>
      </c>
      <c r="F92" s="1" t="s">
        <v>183</v>
      </c>
      <c r="G92" s="1" t="s">
        <v>141</v>
      </c>
      <c r="H92" s="1">
        <v>9145000108</v>
      </c>
      <c r="I92" s="1" t="s">
        <v>37</v>
      </c>
      <c r="J92" s="1">
        <v>219</v>
      </c>
      <c r="K92" s="1" t="s">
        <v>184</v>
      </c>
      <c r="L92" s="1">
        <v>9141001437</v>
      </c>
      <c r="M92" s="1">
        <v>1131000126</v>
      </c>
      <c r="N92" s="1" t="s">
        <v>144</v>
      </c>
      <c r="O92" s="1" t="s">
        <v>145</v>
      </c>
      <c r="P92" s="1" t="s">
        <v>146</v>
      </c>
      <c r="Q92" s="1" t="s">
        <v>147</v>
      </c>
      <c r="R92" s="1" t="s">
        <v>162</v>
      </c>
      <c r="S92" s="44">
        <v>6.05</v>
      </c>
      <c r="T92" s="44">
        <v>0.25</v>
      </c>
      <c r="U92" s="44">
        <v>0</v>
      </c>
      <c r="V92" s="44">
        <v>0</v>
      </c>
      <c r="W92" s="44">
        <v>0</v>
      </c>
      <c r="X92" s="45">
        <v>1014650</v>
      </c>
      <c r="Y92" s="45">
        <v>405860000</v>
      </c>
      <c r="Z92" s="45"/>
      <c r="AA92" s="46">
        <v>405860000</v>
      </c>
    </row>
    <row r="93" spans="1:27" ht="15" customHeight="1">
      <c r="A93" s="1">
        <v>13</v>
      </c>
      <c r="B93" s="1" t="s">
        <v>239</v>
      </c>
      <c r="C93" s="1" t="s">
        <v>240</v>
      </c>
      <c r="D93" s="1" t="s">
        <v>241</v>
      </c>
      <c r="E93" s="1" t="s">
        <v>240</v>
      </c>
      <c r="F93" s="1" t="s">
        <v>183</v>
      </c>
      <c r="G93" s="1" t="s">
        <v>141</v>
      </c>
      <c r="H93" s="1">
        <v>9145000109</v>
      </c>
      <c r="I93" s="1" t="s">
        <v>37</v>
      </c>
      <c r="J93" s="1">
        <v>219</v>
      </c>
      <c r="K93" s="1" t="s">
        <v>184</v>
      </c>
      <c r="L93" s="1">
        <v>9141001438</v>
      </c>
      <c r="M93" s="1">
        <v>1131000127</v>
      </c>
      <c r="N93" s="1" t="s">
        <v>144</v>
      </c>
      <c r="O93" s="1" t="s">
        <v>145</v>
      </c>
      <c r="P93" s="1" t="s">
        <v>146</v>
      </c>
      <c r="Q93" s="1" t="s">
        <v>147</v>
      </c>
      <c r="R93" s="1" t="s">
        <v>162</v>
      </c>
      <c r="S93" s="44">
        <v>6.12</v>
      </c>
      <c r="T93" s="44">
        <v>0.25</v>
      </c>
      <c r="U93" s="44">
        <v>0</v>
      </c>
      <c r="V93" s="44">
        <v>0</v>
      </c>
      <c r="W93" s="44">
        <v>0</v>
      </c>
      <c r="X93" s="45">
        <v>1006460</v>
      </c>
      <c r="Y93" s="45">
        <v>402584000</v>
      </c>
      <c r="Z93" s="45"/>
      <c r="AA93" s="46">
        <v>402584000</v>
      </c>
    </row>
    <row r="94" spans="1:27" ht="15" customHeight="1">
      <c r="A94" s="1">
        <v>13</v>
      </c>
      <c r="B94" s="1" t="s">
        <v>239</v>
      </c>
      <c r="C94" s="1" t="s">
        <v>240</v>
      </c>
      <c r="D94" s="1" t="s">
        <v>241</v>
      </c>
      <c r="E94" s="1" t="s">
        <v>240</v>
      </c>
      <c r="F94" s="1" t="s">
        <v>183</v>
      </c>
      <c r="G94" s="1" t="s">
        <v>141</v>
      </c>
      <c r="H94" s="1">
        <v>9145000131</v>
      </c>
      <c r="I94" s="1" t="s">
        <v>38</v>
      </c>
      <c r="J94" s="1">
        <v>157</v>
      </c>
      <c r="K94" s="1" t="s">
        <v>184</v>
      </c>
      <c r="L94" s="1">
        <v>9141001450</v>
      </c>
      <c r="M94" s="1">
        <v>1131000131</v>
      </c>
      <c r="N94" s="1" t="s">
        <v>144</v>
      </c>
      <c r="O94" s="1" t="s">
        <v>145</v>
      </c>
      <c r="P94" s="1" t="s">
        <v>146</v>
      </c>
      <c r="Q94" s="1" t="s">
        <v>147</v>
      </c>
      <c r="R94" s="1" t="s">
        <v>162</v>
      </c>
      <c r="S94" s="44">
        <v>6.22</v>
      </c>
      <c r="T94" s="44">
        <v>0.23</v>
      </c>
      <c r="U94" s="44">
        <v>0</v>
      </c>
      <c r="V94" s="44">
        <v>0</v>
      </c>
      <c r="W94" s="44">
        <v>0</v>
      </c>
      <c r="X94" s="45">
        <v>918810</v>
      </c>
      <c r="Y94" s="45">
        <v>403384000</v>
      </c>
      <c r="Z94" s="45"/>
      <c r="AA94" s="46">
        <v>403384000</v>
      </c>
    </row>
    <row r="95" spans="1:27" ht="15" customHeight="1">
      <c r="A95" s="1">
        <v>13</v>
      </c>
      <c r="B95" s="1" t="s">
        <v>239</v>
      </c>
      <c r="C95" s="1" t="s">
        <v>240</v>
      </c>
      <c r="D95" s="1" t="s">
        <v>241</v>
      </c>
      <c r="E95" s="1" t="s">
        <v>240</v>
      </c>
      <c r="F95" s="1" t="s">
        <v>183</v>
      </c>
      <c r="G95" s="1" t="s">
        <v>141</v>
      </c>
      <c r="H95" s="1">
        <v>9145000132</v>
      </c>
      <c r="I95" s="1" t="s">
        <v>38</v>
      </c>
      <c r="J95" s="1">
        <v>157</v>
      </c>
      <c r="K95" s="1" t="s">
        <v>184</v>
      </c>
      <c r="L95" s="1">
        <v>9141001451</v>
      </c>
      <c r="M95" s="1">
        <v>1131000132</v>
      </c>
      <c r="N95" s="1" t="s">
        <v>144</v>
      </c>
      <c r="O95" s="1" t="s">
        <v>145</v>
      </c>
      <c r="P95" s="1" t="s">
        <v>146</v>
      </c>
      <c r="Q95" s="1" t="s">
        <v>147</v>
      </c>
      <c r="R95" s="1" t="s">
        <v>162</v>
      </c>
      <c r="S95" s="44">
        <v>6.78</v>
      </c>
      <c r="T95" s="44">
        <v>0.23</v>
      </c>
      <c r="U95" s="44">
        <v>0</v>
      </c>
      <c r="V95" s="44">
        <v>0</v>
      </c>
      <c r="W95" s="44">
        <v>0</v>
      </c>
      <c r="X95" s="45">
        <v>502690</v>
      </c>
      <c r="Y95" s="45">
        <v>100302000</v>
      </c>
      <c r="Z95" s="45"/>
      <c r="AA95" s="46">
        <v>100302000</v>
      </c>
    </row>
    <row r="96" spans="1:27" ht="15" customHeight="1">
      <c r="A96" s="1">
        <v>13</v>
      </c>
      <c r="B96" s="1" t="s">
        <v>239</v>
      </c>
      <c r="C96" s="1" t="s">
        <v>240</v>
      </c>
      <c r="D96" s="1" t="s">
        <v>241</v>
      </c>
      <c r="E96" s="1" t="s">
        <v>240</v>
      </c>
      <c r="F96" s="1" t="s">
        <v>183</v>
      </c>
      <c r="G96" s="1" t="s">
        <v>141</v>
      </c>
      <c r="H96" s="1">
        <v>9145000133</v>
      </c>
      <c r="I96" s="1" t="s">
        <v>38</v>
      </c>
      <c r="J96" s="1">
        <v>157</v>
      </c>
      <c r="K96" s="1" t="s">
        <v>184</v>
      </c>
      <c r="L96" s="1">
        <v>9141001463</v>
      </c>
      <c r="M96" s="1">
        <v>1131000138</v>
      </c>
      <c r="N96" s="1" t="s">
        <v>144</v>
      </c>
      <c r="O96" s="1" t="s">
        <v>145</v>
      </c>
      <c r="P96" s="1" t="s">
        <v>146</v>
      </c>
      <c r="Q96" s="1" t="s">
        <v>147</v>
      </c>
      <c r="R96" s="1" t="s">
        <v>162</v>
      </c>
      <c r="S96" s="44">
        <v>6.58</v>
      </c>
      <c r="T96" s="44">
        <v>0.24</v>
      </c>
      <c r="U96" s="44">
        <v>0</v>
      </c>
      <c r="V96" s="44">
        <v>0</v>
      </c>
      <c r="W96" s="44">
        <v>0</v>
      </c>
      <c r="X96" s="45">
        <v>702480</v>
      </c>
      <c r="Y96" s="45">
        <v>200034000</v>
      </c>
      <c r="Z96" s="45"/>
      <c r="AA96" s="46">
        <v>200034000</v>
      </c>
    </row>
    <row r="97" spans="1:27" ht="15" customHeight="1">
      <c r="A97" s="1">
        <v>13</v>
      </c>
      <c r="B97" s="1" t="s">
        <v>239</v>
      </c>
      <c r="C97" s="1" t="s">
        <v>240</v>
      </c>
      <c r="D97" s="1" t="s">
        <v>241</v>
      </c>
      <c r="E97" s="1" t="s">
        <v>240</v>
      </c>
      <c r="F97" s="1" t="s">
        <v>183</v>
      </c>
      <c r="G97" s="1" t="s">
        <v>141</v>
      </c>
      <c r="H97" s="1">
        <v>9145000134</v>
      </c>
      <c r="I97" s="1" t="s">
        <v>38</v>
      </c>
      <c r="J97" s="1">
        <v>157</v>
      </c>
      <c r="K97" s="1" t="s">
        <v>184</v>
      </c>
      <c r="L97" s="1">
        <v>9141001464</v>
      </c>
      <c r="M97" s="1">
        <v>1131000139</v>
      </c>
      <c r="N97" s="1" t="s">
        <v>144</v>
      </c>
      <c r="O97" s="1" t="s">
        <v>145</v>
      </c>
      <c r="P97" s="1" t="s">
        <v>146</v>
      </c>
      <c r="Q97" s="1" t="s">
        <v>147</v>
      </c>
      <c r="R97" s="1" t="s">
        <v>162</v>
      </c>
      <c r="S97" s="44">
        <v>6.69</v>
      </c>
      <c r="T97" s="44">
        <v>0.24</v>
      </c>
      <c r="U97" s="44">
        <v>0</v>
      </c>
      <c r="V97" s="44">
        <v>0</v>
      </c>
      <c r="W97" s="44">
        <v>0</v>
      </c>
      <c r="X97" s="45">
        <v>719270</v>
      </c>
      <c r="Y97" s="45">
        <v>201340000</v>
      </c>
      <c r="Z97" s="45"/>
      <c r="AA97" s="46">
        <v>201340000</v>
      </c>
    </row>
    <row r="98" spans="1:27" ht="15" customHeight="1">
      <c r="A98" s="1">
        <v>13</v>
      </c>
      <c r="B98" s="1" t="s">
        <v>239</v>
      </c>
      <c r="C98" s="1" t="s">
        <v>240</v>
      </c>
      <c r="D98" s="1" t="s">
        <v>241</v>
      </c>
      <c r="E98" s="1" t="s">
        <v>240</v>
      </c>
      <c r="F98" s="1" t="s">
        <v>183</v>
      </c>
      <c r="G98" s="1" t="s">
        <v>141</v>
      </c>
      <c r="H98" s="1">
        <v>9145000135</v>
      </c>
      <c r="I98" s="1" t="s">
        <v>38</v>
      </c>
      <c r="J98" s="1">
        <v>157</v>
      </c>
      <c r="K98" s="1" t="s">
        <v>184</v>
      </c>
      <c r="L98" s="1">
        <v>9141001466</v>
      </c>
      <c r="M98" s="1">
        <v>1131000141</v>
      </c>
      <c r="N98" s="1" t="s">
        <v>144</v>
      </c>
      <c r="O98" s="1" t="s">
        <v>145</v>
      </c>
      <c r="P98" s="1" t="s">
        <v>146</v>
      </c>
      <c r="Q98" s="1" t="s">
        <v>147</v>
      </c>
      <c r="R98" s="1" t="s">
        <v>162</v>
      </c>
      <c r="S98" s="44">
        <v>6.59</v>
      </c>
      <c r="T98" s="44">
        <v>0.25</v>
      </c>
      <c r="U98" s="44">
        <v>0</v>
      </c>
      <c r="V98" s="44">
        <v>0</v>
      </c>
      <c r="W98" s="44">
        <v>0</v>
      </c>
      <c r="X98" s="45">
        <v>707350</v>
      </c>
      <c r="Y98" s="45">
        <v>201556000</v>
      </c>
      <c r="Z98" s="45"/>
      <c r="AA98" s="46">
        <v>201556000</v>
      </c>
    </row>
    <row r="99" spans="1:27" ht="15" customHeight="1">
      <c r="A99" s="1">
        <v>13</v>
      </c>
      <c r="B99" s="1" t="s">
        <v>239</v>
      </c>
      <c r="C99" s="1" t="s">
        <v>240</v>
      </c>
      <c r="D99" s="1" t="s">
        <v>241</v>
      </c>
      <c r="E99" s="1" t="s">
        <v>240</v>
      </c>
      <c r="F99" s="1" t="s">
        <v>183</v>
      </c>
      <c r="G99" s="1" t="s">
        <v>141</v>
      </c>
      <c r="H99" s="1">
        <v>9145000136</v>
      </c>
      <c r="I99" s="1" t="s">
        <v>38</v>
      </c>
      <c r="J99" s="1">
        <v>157</v>
      </c>
      <c r="K99" s="1" t="s">
        <v>184</v>
      </c>
      <c r="L99" s="1">
        <v>9141001467</v>
      </c>
      <c r="M99" s="1">
        <v>1131000142</v>
      </c>
      <c r="N99" s="1" t="s">
        <v>144</v>
      </c>
      <c r="O99" s="1" t="s">
        <v>145</v>
      </c>
      <c r="P99" s="1" t="s">
        <v>146</v>
      </c>
      <c r="Q99" s="1" t="s">
        <v>147</v>
      </c>
      <c r="R99" s="1" t="s">
        <v>162</v>
      </c>
      <c r="S99" s="44">
        <v>6.36</v>
      </c>
      <c r="T99" s="44">
        <v>0.25</v>
      </c>
      <c r="U99" s="44">
        <v>0</v>
      </c>
      <c r="V99" s="44">
        <v>0</v>
      </c>
      <c r="W99" s="44">
        <v>0</v>
      </c>
      <c r="X99" s="45">
        <v>866170</v>
      </c>
      <c r="Y99" s="45">
        <v>201100000</v>
      </c>
      <c r="Z99" s="45"/>
      <c r="AA99" s="46">
        <v>201100000</v>
      </c>
    </row>
    <row r="100" spans="1:27" ht="15" customHeight="1">
      <c r="A100" s="1">
        <v>13</v>
      </c>
      <c r="B100" s="1" t="s">
        <v>239</v>
      </c>
      <c r="C100" s="1" t="s">
        <v>240</v>
      </c>
      <c r="D100" s="1" t="s">
        <v>241</v>
      </c>
      <c r="E100" s="1" t="s">
        <v>240</v>
      </c>
      <c r="F100" s="1" t="s">
        <v>183</v>
      </c>
      <c r="G100" s="1" t="s">
        <v>141</v>
      </c>
      <c r="H100" s="1">
        <v>9145000137</v>
      </c>
      <c r="I100" s="1" t="s">
        <v>38</v>
      </c>
      <c r="J100" s="1">
        <v>157</v>
      </c>
      <c r="K100" s="1" t="s">
        <v>184</v>
      </c>
      <c r="L100" s="1">
        <v>9141001483</v>
      </c>
      <c r="M100" s="1">
        <v>1131000147</v>
      </c>
      <c r="N100" s="1" t="s">
        <v>144</v>
      </c>
      <c r="O100" s="1" t="s">
        <v>145</v>
      </c>
      <c r="P100" s="1" t="s">
        <v>146</v>
      </c>
      <c r="Q100" s="1" t="s">
        <v>147</v>
      </c>
      <c r="R100" s="1" t="s">
        <v>162</v>
      </c>
      <c r="S100" s="44">
        <v>6.03</v>
      </c>
      <c r="T100" s="44">
        <v>0.4</v>
      </c>
      <c r="U100" s="44">
        <v>0</v>
      </c>
      <c r="V100" s="44">
        <v>0</v>
      </c>
      <c r="W100" s="44">
        <v>0</v>
      </c>
      <c r="X100" s="45">
        <v>957410</v>
      </c>
      <c r="Y100" s="45">
        <v>201822000</v>
      </c>
      <c r="Z100" s="45"/>
      <c r="AA100" s="46">
        <v>201822000</v>
      </c>
    </row>
    <row r="101" spans="1:27" ht="15" customHeight="1">
      <c r="A101" s="1">
        <v>13</v>
      </c>
      <c r="B101" s="1" t="s">
        <v>239</v>
      </c>
      <c r="C101" s="1" t="s">
        <v>240</v>
      </c>
      <c r="D101" s="1" t="s">
        <v>241</v>
      </c>
      <c r="E101" s="1" t="s">
        <v>240</v>
      </c>
      <c r="F101" s="1" t="s">
        <v>183</v>
      </c>
      <c r="G101" s="1" t="s">
        <v>141</v>
      </c>
      <c r="H101" s="1">
        <v>9145000138</v>
      </c>
      <c r="I101" s="1" t="s">
        <v>38</v>
      </c>
      <c r="J101" s="1">
        <v>157</v>
      </c>
      <c r="K101" s="1" t="s">
        <v>184</v>
      </c>
      <c r="L101" s="1">
        <v>9141001484</v>
      </c>
      <c r="M101" s="1">
        <v>1131000148</v>
      </c>
      <c r="N101" s="1" t="s">
        <v>144</v>
      </c>
      <c r="O101" s="1" t="s">
        <v>145</v>
      </c>
      <c r="P101" s="1" t="s">
        <v>146</v>
      </c>
      <c r="Q101" s="1" t="s">
        <v>147</v>
      </c>
      <c r="R101" s="1" t="s">
        <v>162</v>
      </c>
      <c r="S101" s="44">
        <v>5.74</v>
      </c>
      <c r="T101" s="44">
        <v>0.25</v>
      </c>
      <c r="U101" s="44">
        <v>0</v>
      </c>
      <c r="V101" s="44">
        <v>0</v>
      </c>
      <c r="W101" s="44">
        <v>0</v>
      </c>
      <c r="X101" s="45">
        <v>798630</v>
      </c>
      <c r="Y101" s="45">
        <v>100933000</v>
      </c>
      <c r="Z101" s="45"/>
      <c r="AA101" s="46">
        <v>100933000</v>
      </c>
    </row>
    <row r="102" spans="1:27" ht="15" customHeight="1">
      <c r="A102" s="1">
        <v>13</v>
      </c>
      <c r="B102" s="1" t="s">
        <v>239</v>
      </c>
      <c r="C102" s="1" t="s">
        <v>240</v>
      </c>
      <c r="D102" s="1" t="s">
        <v>241</v>
      </c>
      <c r="E102" s="1" t="s">
        <v>240</v>
      </c>
      <c r="F102" s="1" t="s">
        <v>183</v>
      </c>
      <c r="G102" s="1" t="s">
        <v>141</v>
      </c>
      <c r="H102" s="1">
        <v>9145000139</v>
      </c>
      <c r="I102" s="1" t="s">
        <v>38</v>
      </c>
      <c r="J102" s="1">
        <v>157</v>
      </c>
      <c r="K102" s="1" t="s">
        <v>184</v>
      </c>
      <c r="L102" s="1">
        <v>9141001488</v>
      </c>
      <c r="M102" s="1">
        <v>1131000149</v>
      </c>
      <c r="N102" s="1" t="s">
        <v>144</v>
      </c>
      <c r="O102" s="1" t="s">
        <v>145</v>
      </c>
      <c r="P102" s="1" t="s">
        <v>146</v>
      </c>
      <c r="Q102" s="1" t="s">
        <v>147</v>
      </c>
      <c r="R102" s="1" t="s">
        <v>162</v>
      </c>
      <c r="S102" s="44">
        <v>5.87</v>
      </c>
      <c r="T102" s="44">
        <v>0.26</v>
      </c>
      <c r="U102" s="44">
        <v>0</v>
      </c>
      <c r="V102" s="44">
        <v>0</v>
      </c>
      <c r="W102" s="44">
        <v>0</v>
      </c>
      <c r="X102" s="45">
        <v>1011890</v>
      </c>
      <c r="Y102" s="45">
        <v>202378000</v>
      </c>
      <c r="Z102" s="45"/>
      <c r="AA102" s="46">
        <v>202378000</v>
      </c>
    </row>
    <row r="103" spans="1:27" ht="15" customHeight="1">
      <c r="A103" s="1">
        <v>13</v>
      </c>
      <c r="B103" s="1" t="s">
        <v>239</v>
      </c>
      <c r="C103" s="1" t="s">
        <v>240</v>
      </c>
      <c r="D103" s="1" t="s">
        <v>241</v>
      </c>
      <c r="E103" s="1" t="s">
        <v>240</v>
      </c>
      <c r="F103" s="1" t="s">
        <v>183</v>
      </c>
      <c r="G103" s="1" t="s">
        <v>141</v>
      </c>
      <c r="H103" s="1">
        <v>9145000140</v>
      </c>
      <c r="I103" s="1" t="s">
        <v>38</v>
      </c>
      <c r="J103" s="1">
        <v>157</v>
      </c>
      <c r="K103" s="1" t="s">
        <v>184</v>
      </c>
      <c r="L103" s="1">
        <v>9141001489</v>
      </c>
      <c r="M103" s="1">
        <v>1131000150</v>
      </c>
      <c r="N103" s="1" t="s">
        <v>144</v>
      </c>
      <c r="O103" s="1" t="s">
        <v>145</v>
      </c>
      <c r="P103" s="1" t="s">
        <v>146</v>
      </c>
      <c r="Q103" s="1" t="s">
        <v>147</v>
      </c>
      <c r="R103" s="1" t="s">
        <v>162</v>
      </c>
      <c r="S103" s="44">
        <v>5.47</v>
      </c>
      <c r="T103" s="44">
        <v>0.24</v>
      </c>
      <c r="U103" s="44">
        <v>0</v>
      </c>
      <c r="V103" s="44">
        <v>0</v>
      </c>
      <c r="W103" s="44">
        <v>0</v>
      </c>
      <c r="X103" s="45">
        <v>856110</v>
      </c>
      <c r="Y103" s="45">
        <v>100417000</v>
      </c>
      <c r="Z103" s="45"/>
      <c r="AA103" s="46">
        <v>100417000</v>
      </c>
    </row>
    <row r="104" spans="1:27" ht="15" customHeight="1">
      <c r="A104" s="1">
        <v>13</v>
      </c>
      <c r="B104" s="1" t="s">
        <v>239</v>
      </c>
      <c r="C104" s="1" t="s">
        <v>240</v>
      </c>
      <c r="D104" s="1" t="s">
        <v>241</v>
      </c>
      <c r="E104" s="1" t="s">
        <v>240</v>
      </c>
      <c r="F104" s="1" t="s">
        <v>183</v>
      </c>
      <c r="G104" s="1" t="s">
        <v>141</v>
      </c>
      <c r="H104" s="1">
        <v>9145000162</v>
      </c>
      <c r="I104" s="1" t="s">
        <v>39</v>
      </c>
      <c r="J104" s="1">
        <v>65</v>
      </c>
      <c r="K104" s="1" t="s">
        <v>184</v>
      </c>
      <c r="L104" s="1">
        <v>9141001658</v>
      </c>
      <c r="M104" s="1">
        <v>1131000191</v>
      </c>
      <c r="N104" s="1" t="s">
        <v>144</v>
      </c>
      <c r="O104" s="1" t="s">
        <v>145</v>
      </c>
      <c r="P104" s="1" t="s">
        <v>146</v>
      </c>
      <c r="Q104" s="1" t="s">
        <v>147</v>
      </c>
      <c r="R104" s="1" t="s">
        <v>162</v>
      </c>
      <c r="S104" s="44">
        <v>5.63</v>
      </c>
      <c r="T104" s="44">
        <v>0.27</v>
      </c>
      <c r="U104" s="44">
        <v>0</v>
      </c>
      <c r="V104" s="44">
        <v>0</v>
      </c>
      <c r="W104" s="44">
        <v>0</v>
      </c>
      <c r="X104" s="45">
        <v>1007140</v>
      </c>
      <c r="Y104" s="45">
        <v>201428000</v>
      </c>
      <c r="Z104" s="45">
        <v>22157080</v>
      </c>
      <c r="AA104" s="46">
        <v>223585080</v>
      </c>
    </row>
    <row r="105" spans="1:27" ht="15" customHeight="1">
      <c r="A105" s="1">
        <v>13</v>
      </c>
      <c r="B105" s="1" t="s">
        <v>239</v>
      </c>
      <c r="C105" s="1" t="s">
        <v>240</v>
      </c>
      <c r="D105" s="1" t="s">
        <v>241</v>
      </c>
      <c r="E105" s="1" t="s">
        <v>240</v>
      </c>
      <c r="F105" s="1" t="s">
        <v>183</v>
      </c>
      <c r="G105" s="1" t="s">
        <v>141</v>
      </c>
      <c r="H105" s="1">
        <v>9145000163</v>
      </c>
      <c r="I105" s="1" t="s">
        <v>39</v>
      </c>
      <c r="J105" s="1">
        <v>65</v>
      </c>
      <c r="K105" s="1" t="s">
        <v>184</v>
      </c>
      <c r="L105" s="1">
        <v>9141001666</v>
      </c>
      <c r="M105" s="1">
        <v>1131000194</v>
      </c>
      <c r="N105" s="1" t="s">
        <v>144</v>
      </c>
      <c r="O105" s="1" t="s">
        <v>145</v>
      </c>
      <c r="P105" s="1" t="s">
        <v>146</v>
      </c>
      <c r="Q105" s="1" t="s">
        <v>147</v>
      </c>
      <c r="R105" s="1" t="s">
        <v>162</v>
      </c>
      <c r="S105" s="44">
        <v>5.63</v>
      </c>
      <c r="T105" s="44">
        <v>0.28000000000000003</v>
      </c>
      <c r="U105" s="44">
        <v>0</v>
      </c>
      <c r="V105" s="44">
        <v>0</v>
      </c>
      <c r="W105" s="44">
        <v>0</v>
      </c>
      <c r="X105" s="45">
        <v>1000420</v>
      </c>
      <c r="Y105" s="45">
        <v>200084000</v>
      </c>
      <c r="Z105" s="45">
        <v>22009240</v>
      </c>
      <c r="AA105" s="46">
        <v>222093240</v>
      </c>
    </row>
    <row r="106" spans="1:27" ht="15" customHeight="1">
      <c r="A106" s="1">
        <v>13</v>
      </c>
      <c r="B106" s="1" t="s">
        <v>239</v>
      </c>
      <c r="C106" s="1" t="s">
        <v>240</v>
      </c>
      <c r="D106" s="1" t="s">
        <v>241</v>
      </c>
      <c r="E106" s="1" t="s">
        <v>240</v>
      </c>
      <c r="F106" s="1" t="s">
        <v>183</v>
      </c>
      <c r="G106" s="1" t="s">
        <v>141</v>
      </c>
      <c r="H106" s="1">
        <v>9145000164</v>
      </c>
      <c r="I106" s="1" t="s">
        <v>39</v>
      </c>
      <c r="J106" s="1">
        <v>65</v>
      </c>
      <c r="K106" s="1" t="s">
        <v>184</v>
      </c>
      <c r="L106" s="1">
        <v>9141001701</v>
      </c>
      <c r="M106" s="1">
        <v>1131000195</v>
      </c>
      <c r="N106" s="1" t="s">
        <v>144</v>
      </c>
      <c r="O106" s="1" t="s">
        <v>145</v>
      </c>
      <c r="P106" s="1" t="s">
        <v>146</v>
      </c>
      <c r="Q106" s="1" t="s">
        <v>147</v>
      </c>
      <c r="R106" s="1" t="s">
        <v>162</v>
      </c>
      <c r="S106" s="44">
        <v>5.64</v>
      </c>
      <c r="T106" s="44">
        <v>0.28000000000000003</v>
      </c>
      <c r="U106" s="44">
        <v>0</v>
      </c>
      <c r="V106" s="44">
        <v>0</v>
      </c>
      <c r="W106" s="44">
        <v>0</v>
      </c>
      <c r="X106" s="45">
        <v>1009790</v>
      </c>
      <c r="Y106" s="45">
        <v>201958000</v>
      </c>
      <c r="Z106" s="45">
        <v>22215380</v>
      </c>
      <c r="AA106" s="46">
        <v>224173380</v>
      </c>
    </row>
    <row r="107" spans="1:27" ht="15" customHeight="1">
      <c r="A107" s="1">
        <v>13</v>
      </c>
      <c r="B107" s="1" t="s">
        <v>239</v>
      </c>
      <c r="C107" s="1" t="s">
        <v>240</v>
      </c>
      <c r="D107" s="1" t="s">
        <v>241</v>
      </c>
      <c r="E107" s="1" t="s">
        <v>240</v>
      </c>
      <c r="F107" s="1" t="s">
        <v>183</v>
      </c>
      <c r="G107" s="1" t="s">
        <v>141</v>
      </c>
      <c r="H107" s="1">
        <v>9145000165</v>
      </c>
      <c r="I107" s="1" t="s">
        <v>39</v>
      </c>
      <c r="J107" s="1">
        <v>65</v>
      </c>
      <c r="K107" s="1" t="s">
        <v>184</v>
      </c>
      <c r="L107" s="1">
        <v>9141001702</v>
      </c>
      <c r="M107" s="1">
        <v>1131000196</v>
      </c>
      <c r="N107" s="1" t="s">
        <v>144</v>
      </c>
      <c r="O107" s="1" t="s">
        <v>145</v>
      </c>
      <c r="P107" s="1" t="s">
        <v>146</v>
      </c>
      <c r="Q107" s="1" t="s">
        <v>147</v>
      </c>
      <c r="R107" s="1" t="s">
        <v>162</v>
      </c>
      <c r="S107" s="44">
        <v>5.87</v>
      </c>
      <c r="T107" s="44">
        <v>0.28000000000000003</v>
      </c>
      <c r="U107" s="44">
        <v>0</v>
      </c>
      <c r="V107" s="44">
        <v>0</v>
      </c>
      <c r="W107" s="44">
        <v>0</v>
      </c>
      <c r="X107" s="45">
        <v>1018770</v>
      </c>
      <c r="Y107" s="45">
        <v>203754000</v>
      </c>
      <c r="Z107" s="45">
        <v>22412940</v>
      </c>
      <c r="AA107" s="46">
        <v>226166940</v>
      </c>
    </row>
    <row r="108" spans="1:27" ht="15" customHeight="1">
      <c r="A108" s="1">
        <v>13</v>
      </c>
      <c r="B108" s="1" t="s">
        <v>239</v>
      </c>
      <c r="C108" s="1" t="s">
        <v>240</v>
      </c>
      <c r="D108" s="1" t="s">
        <v>241</v>
      </c>
      <c r="E108" s="1" t="s">
        <v>240</v>
      </c>
      <c r="F108" s="1" t="s">
        <v>183</v>
      </c>
      <c r="G108" s="1" t="s">
        <v>141</v>
      </c>
      <c r="H108" s="1">
        <v>9145000166</v>
      </c>
      <c r="I108" s="1" t="s">
        <v>39</v>
      </c>
      <c r="J108" s="1">
        <v>65</v>
      </c>
      <c r="K108" s="1" t="s">
        <v>184</v>
      </c>
      <c r="L108" s="1">
        <v>9141001710</v>
      </c>
      <c r="M108" s="1">
        <v>1131000197</v>
      </c>
      <c r="N108" s="1" t="s">
        <v>144</v>
      </c>
      <c r="O108" s="1" t="s">
        <v>145</v>
      </c>
      <c r="P108" s="1" t="s">
        <v>146</v>
      </c>
      <c r="Q108" s="1" t="s">
        <v>147</v>
      </c>
      <c r="R108" s="1" t="s">
        <v>162</v>
      </c>
      <c r="S108" s="44">
        <v>5.81</v>
      </c>
      <c r="T108" s="44">
        <v>0.28000000000000003</v>
      </c>
      <c r="U108" s="44">
        <v>0</v>
      </c>
      <c r="V108" s="44">
        <v>0</v>
      </c>
      <c r="W108" s="44">
        <v>0</v>
      </c>
      <c r="X108" s="45">
        <v>1003230</v>
      </c>
      <c r="Y108" s="45">
        <v>200646000</v>
      </c>
      <c r="Z108" s="45">
        <v>22071060</v>
      </c>
      <c r="AA108" s="46">
        <v>222717060</v>
      </c>
    </row>
    <row r="109" spans="1:27" ht="15" customHeight="1">
      <c r="A109" s="1">
        <v>13</v>
      </c>
      <c r="B109" s="1" t="s">
        <v>239</v>
      </c>
      <c r="C109" s="1" t="s">
        <v>240</v>
      </c>
      <c r="D109" s="1" t="s">
        <v>241</v>
      </c>
      <c r="E109" s="1" t="s">
        <v>240</v>
      </c>
      <c r="F109" s="1" t="s">
        <v>183</v>
      </c>
      <c r="G109" s="1" t="s">
        <v>141</v>
      </c>
      <c r="H109" s="1">
        <v>9145000167</v>
      </c>
      <c r="I109" s="1" t="s">
        <v>39</v>
      </c>
      <c r="J109" s="1">
        <v>65</v>
      </c>
      <c r="K109" s="1" t="s">
        <v>184</v>
      </c>
      <c r="L109" s="1">
        <v>9141001711</v>
      </c>
      <c r="M109" s="1">
        <v>1131000198</v>
      </c>
      <c r="N109" s="1" t="s">
        <v>144</v>
      </c>
      <c r="O109" s="1" t="s">
        <v>145</v>
      </c>
      <c r="P109" s="1" t="s">
        <v>146</v>
      </c>
      <c r="Q109" s="1" t="s">
        <v>147</v>
      </c>
      <c r="R109" s="1" t="s">
        <v>162</v>
      </c>
      <c r="S109" s="44">
        <v>5.75</v>
      </c>
      <c r="T109" s="44">
        <v>0.28000000000000003</v>
      </c>
      <c r="U109" s="44">
        <v>0</v>
      </c>
      <c r="V109" s="44">
        <v>0</v>
      </c>
      <c r="W109" s="44">
        <v>0</v>
      </c>
      <c r="X109" s="45">
        <v>1006860</v>
      </c>
      <c r="Y109" s="45">
        <v>201372000</v>
      </c>
      <c r="Z109" s="45">
        <v>22150920</v>
      </c>
      <c r="AA109" s="46">
        <v>223522920</v>
      </c>
    </row>
    <row r="110" spans="1:27" ht="15" customHeight="1">
      <c r="A110" s="1">
        <v>13</v>
      </c>
      <c r="B110" s="1" t="s">
        <v>239</v>
      </c>
      <c r="C110" s="1" t="s">
        <v>240</v>
      </c>
      <c r="D110" s="1" t="s">
        <v>241</v>
      </c>
      <c r="E110" s="1" t="s">
        <v>240</v>
      </c>
      <c r="F110" s="1" t="s">
        <v>183</v>
      </c>
      <c r="G110" s="1" t="s">
        <v>141</v>
      </c>
      <c r="H110" s="1">
        <v>9145000168</v>
      </c>
      <c r="I110" s="1" t="s">
        <v>39</v>
      </c>
      <c r="J110" s="1">
        <v>65</v>
      </c>
      <c r="K110" s="1" t="s">
        <v>184</v>
      </c>
      <c r="L110" s="1">
        <v>9141001721</v>
      </c>
      <c r="M110" s="1">
        <v>1131000201</v>
      </c>
      <c r="N110" s="1" t="s">
        <v>144</v>
      </c>
      <c r="O110" s="1" t="s">
        <v>145</v>
      </c>
      <c r="P110" s="1" t="s">
        <v>146</v>
      </c>
      <c r="Q110" s="1" t="s">
        <v>147</v>
      </c>
      <c r="R110" s="1" t="s">
        <v>162</v>
      </c>
      <c r="S110" s="44">
        <v>6.02</v>
      </c>
      <c r="T110" s="44">
        <v>0.28000000000000003</v>
      </c>
      <c r="U110" s="44">
        <v>0</v>
      </c>
      <c r="V110" s="44">
        <v>0</v>
      </c>
      <c r="W110" s="44">
        <v>0</v>
      </c>
      <c r="X110" s="45">
        <v>997610</v>
      </c>
      <c r="Y110" s="45">
        <v>199522000</v>
      </c>
      <c r="Z110" s="45">
        <v>21947420</v>
      </c>
      <c r="AA110" s="46">
        <v>221469420</v>
      </c>
    </row>
    <row r="111" spans="1:27" ht="15" customHeight="1">
      <c r="A111" s="1">
        <v>13</v>
      </c>
      <c r="B111" s="1" t="s">
        <v>239</v>
      </c>
      <c r="C111" s="1" t="s">
        <v>240</v>
      </c>
      <c r="D111" s="1" t="s">
        <v>241</v>
      </c>
      <c r="E111" s="1" t="s">
        <v>240</v>
      </c>
      <c r="F111" s="1" t="s">
        <v>183</v>
      </c>
      <c r="G111" s="1" t="s">
        <v>141</v>
      </c>
      <c r="H111" s="1">
        <v>9145000169</v>
      </c>
      <c r="I111" s="1" t="s">
        <v>39</v>
      </c>
      <c r="J111" s="1">
        <v>65</v>
      </c>
      <c r="K111" s="1" t="s">
        <v>184</v>
      </c>
      <c r="L111" s="1">
        <v>9141001724</v>
      </c>
      <c r="M111" s="1">
        <v>1131000202</v>
      </c>
      <c r="N111" s="1" t="s">
        <v>144</v>
      </c>
      <c r="O111" s="1" t="s">
        <v>145</v>
      </c>
      <c r="P111" s="1" t="s">
        <v>146</v>
      </c>
      <c r="Q111" s="1" t="s">
        <v>147</v>
      </c>
      <c r="R111" s="1" t="s">
        <v>162</v>
      </c>
      <c r="S111" s="44">
        <v>5.78</v>
      </c>
      <c r="T111" s="44">
        <v>0.26</v>
      </c>
      <c r="U111" s="44">
        <v>0</v>
      </c>
      <c r="V111" s="44">
        <v>0</v>
      </c>
      <c r="W111" s="44">
        <v>0</v>
      </c>
      <c r="X111" s="45">
        <v>1018510</v>
      </c>
      <c r="Y111" s="45">
        <v>203702000</v>
      </c>
      <c r="Z111" s="45">
        <v>22407220</v>
      </c>
      <c r="AA111" s="46">
        <v>226109220</v>
      </c>
    </row>
    <row r="112" spans="1:27" ht="15" customHeight="1">
      <c r="A112" s="1">
        <v>13</v>
      </c>
      <c r="B112" s="1" t="s">
        <v>239</v>
      </c>
      <c r="C112" s="1" t="s">
        <v>240</v>
      </c>
      <c r="D112" s="1" t="s">
        <v>241</v>
      </c>
      <c r="E112" s="1" t="s">
        <v>240</v>
      </c>
      <c r="F112" s="1" t="s">
        <v>183</v>
      </c>
      <c r="G112" s="1" t="s">
        <v>141</v>
      </c>
      <c r="H112" s="1">
        <v>9145000179</v>
      </c>
      <c r="I112" s="1" t="s">
        <v>40</v>
      </c>
      <c r="J112" s="1">
        <v>37</v>
      </c>
      <c r="K112" s="1" t="s">
        <v>184</v>
      </c>
      <c r="L112" s="1">
        <v>9141001740</v>
      </c>
      <c r="M112" s="1">
        <v>1131000204</v>
      </c>
      <c r="N112" s="1" t="s">
        <v>144</v>
      </c>
      <c r="O112" s="1" t="s">
        <v>145</v>
      </c>
      <c r="P112" s="1" t="s">
        <v>146</v>
      </c>
      <c r="Q112" s="1" t="s">
        <v>147</v>
      </c>
      <c r="R112" s="1" t="s">
        <v>162</v>
      </c>
      <c r="S112" s="44">
        <v>6.57</v>
      </c>
      <c r="T112" s="44">
        <v>0.27</v>
      </c>
      <c r="U112" s="44">
        <v>0</v>
      </c>
      <c r="V112" s="44">
        <v>0</v>
      </c>
      <c r="W112" s="44">
        <v>0</v>
      </c>
      <c r="X112" s="45">
        <v>830030</v>
      </c>
      <c r="Y112" s="45">
        <v>971007000</v>
      </c>
      <c r="Z112" s="45">
        <v>106810770</v>
      </c>
      <c r="AA112" s="46">
        <v>1077817770</v>
      </c>
    </row>
    <row r="113" spans="1:27" ht="15" customHeight="1">
      <c r="A113" s="1">
        <v>13</v>
      </c>
      <c r="B113" s="1" t="s">
        <v>239</v>
      </c>
      <c r="C113" s="1" t="s">
        <v>240</v>
      </c>
      <c r="D113" s="1" t="s">
        <v>241</v>
      </c>
      <c r="E113" s="1" t="s">
        <v>240</v>
      </c>
      <c r="F113" s="1" t="s">
        <v>183</v>
      </c>
      <c r="G113" s="1" t="s">
        <v>141</v>
      </c>
      <c r="H113" s="1">
        <v>9145000180</v>
      </c>
      <c r="I113" s="1" t="s">
        <v>40</v>
      </c>
      <c r="J113" s="1">
        <v>37</v>
      </c>
      <c r="K113" s="1" t="s">
        <v>184</v>
      </c>
      <c r="L113" s="1">
        <v>9141001739</v>
      </c>
      <c r="M113" s="1">
        <v>1131000205</v>
      </c>
      <c r="N113" s="1" t="s">
        <v>144</v>
      </c>
      <c r="O113" s="1" t="s">
        <v>145</v>
      </c>
      <c r="P113" s="1" t="s">
        <v>146</v>
      </c>
      <c r="Q113" s="1" t="s">
        <v>147</v>
      </c>
      <c r="R113" s="1" t="s">
        <v>162</v>
      </c>
      <c r="S113" s="44">
        <v>6.5</v>
      </c>
      <c r="T113" s="44">
        <v>0.27</v>
      </c>
      <c r="U113" s="44">
        <v>0</v>
      </c>
      <c r="V113" s="44">
        <v>0</v>
      </c>
      <c r="W113" s="44">
        <v>0</v>
      </c>
      <c r="X113" s="45">
        <v>913340</v>
      </c>
      <c r="Y113" s="45">
        <v>1001583000</v>
      </c>
      <c r="Z113" s="45">
        <v>110174130</v>
      </c>
      <c r="AA113" s="46">
        <v>1111757130</v>
      </c>
    </row>
    <row r="114" spans="1:27" ht="15" customHeight="1">
      <c r="A114" s="1">
        <v>13</v>
      </c>
      <c r="B114" s="1" t="s">
        <v>239</v>
      </c>
      <c r="C114" s="1" t="s">
        <v>240</v>
      </c>
      <c r="D114" s="1" t="s">
        <v>241</v>
      </c>
      <c r="E114" s="1" t="s">
        <v>240</v>
      </c>
      <c r="F114" s="1" t="s">
        <v>183</v>
      </c>
      <c r="G114" s="1" t="s">
        <v>141</v>
      </c>
      <c r="H114" s="1">
        <v>9145000181</v>
      </c>
      <c r="I114" s="1" t="s">
        <v>40</v>
      </c>
      <c r="J114" s="1">
        <v>37</v>
      </c>
      <c r="K114" s="1" t="s">
        <v>184</v>
      </c>
      <c r="L114" s="1">
        <v>9141001784</v>
      </c>
      <c r="M114" s="1">
        <v>1131000208</v>
      </c>
      <c r="N114" s="1" t="s">
        <v>144</v>
      </c>
      <c r="O114" s="1" t="s">
        <v>145</v>
      </c>
      <c r="P114" s="1" t="s">
        <v>146</v>
      </c>
      <c r="Q114" s="1" t="s">
        <v>147</v>
      </c>
      <c r="R114" s="1" t="s">
        <v>162</v>
      </c>
      <c r="S114" s="44">
        <v>6.5</v>
      </c>
      <c r="T114" s="44">
        <v>0.28000000000000003</v>
      </c>
      <c r="U114" s="44">
        <v>0</v>
      </c>
      <c r="V114" s="44">
        <v>0</v>
      </c>
      <c r="W114" s="44">
        <v>0</v>
      </c>
      <c r="X114" s="45">
        <v>1002880</v>
      </c>
      <c r="Y114" s="45">
        <v>1188012000</v>
      </c>
      <c r="Z114" s="45">
        <v>130681320</v>
      </c>
      <c r="AA114" s="46">
        <v>1318693320</v>
      </c>
    </row>
    <row r="115" spans="1:27" ht="15" customHeight="1">
      <c r="A115" s="1">
        <v>13</v>
      </c>
      <c r="B115" s="1" t="s">
        <v>239</v>
      </c>
      <c r="C115" s="1" t="s">
        <v>240</v>
      </c>
      <c r="D115" s="1" t="s">
        <v>241</v>
      </c>
      <c r="E115" s="1" t="s">
        <v>240</v>
      </c>
      <c r="F115" s="1" t="s">
        <v>183</v>
      </c>
      <c r="G115" s="1" t="s">
        <v>141</v>
      </c>
      <c r="H115" s="1">
        <v>9145000182</v>
      </c>
      <c r="I115" s="1" t="s">
        <v>41</v>
      </c>
      <c r="J115" s="1">
        <v>36</v>
      </c>
      <c r="K115" s="1" t="s">
        <v>184</v>
      </c>
      <c r="L115" s="1">
        <v>9141001783</v>
      </c>
      <c r="M115" s="1">
        <v>1131000207</v>
      </c>
      <c r="N115" s="1" t="s">
        <v>144</v>
      </c>
      <c r="O115" s="1" t="s">
        <v>145</v>
      </c>
      <c r="P115" s="1" t="s">
        <v>146</v>
      </c>
      <c r="Q115" s="1" t="s">
        <v>147</v>
      </c>
      <c r="R115" s="1" t="s">
        <v>162</v>
      </c>
      <c r="S115" s="44">
        <v>6.67</v>
      </c>
      <c r="T115" s="44">
        <v>0.28000000000000003</v>
      </c>
      <c r="U115" s="44">
        <v>0</v>
      </c>
      <c r="V115" s="44">
        <v>0</v>
      </c>
      <c r="W115" s="44">
        <v>0</v>
      </c>
      <c r="X115" s="45">
        <v>862360</v>
      </c>
      <c r="Y115" s="45">
        <v>1163690000</v>
      </c>
      <c r="Z115" s="45">
        <v>128005900</v>
      </c>
      <c r="AA115" s="46">
        <v>1291695900</v>
      </c>
    </row>
    <row r="116" spans="1:27" ht="15" customHeight="1">
      <c r="A116" s="1">
        <v>13</v>
      </c>
      <c r="B116" s="1" t="s">
        <v>239</v>
      </c>
      <c r="C116" s="1" t="s">
        <v>240</v>
      </c>
      <c r="D116" s="1" t="s">
        <v>241</v>
      </c>
      <c r="E116" s="1" t="s">
        <v>240</v>
      </c>
      <c r="F116" s="1" t="s">
        <v>183</v>
      </c>
      <c r="G116" s="1" t="s">
        <v>141</v>
      </c>
      <c r="H116" s="1">
        <v>9145000185</v>
      </c>
      <c r="I116" s="1" t="s">
        <v>10</v>
      </c>
      <c r="J116" s="1">
        <v>31</v>
      </c>
      <c r="K116" s="1" t="s">
        <v>184</v>
      </c>
      <c r="L116" s="1">
        <v>9141001858</v>
      </c>
      <c r="M116" s="1">
        <v>1131000215</v>
      </c>
      <c r="N116" s="1" t="s">
        <v>144</v>
      </c>
      <c r="O116" s="1" t="s">
        <v>145</v>
      </c>
      <c r="P116" s="1" t="s">
        <v>146</v>
      </c>
      <c r="Q116" s="1" t="s">
        <v>147</v>
      </c>
      <c r="R116" s="1" t="s">
        <v>162</v>
      </c>
      <c r="S116" s="44">
        <v>6.49</v>
      </c>
      <c r="T116" s="44">
        <v>0.27</v>
      </c>
      <c r="U116" s="44">
        <v>0</v>
      </c>
      <c r="V116" s="44">
        <v>0</v>
      </c>
      <c r="W116" s="44">
        <v>0</v>
      </c>
      <c r="X116" s="45">
        <v>1000540</v>
      </c>
      <c r="Y116" s="45">
        <v>657542000</v>
      </c>
      <c r="Z116" s="45">
        <v>72329620</v>
      </c>
      <c r="AA116" s="46">
        <v>729871620</v>
      </c>
    </row>
    <row r="117" spans="1:27" ht="15" customHeight="1">
      <c r="A117" s="1">
        <v>13</v>
      </c>
      <c r="B117" s="1" t="s">
        <v>239</v>
      </c>
      <c r="C117" s="1" t="s">
        <v>240</v>
      </c>
      <c r="D117" s="1" t="s">
        <v>241</v>
      </c>
      <c r="E117" s="1" t="s">
        <v>240</v>
      </c>
      <c r="F117" s="1" t="s">
        <v>183</v>
      </c>
      <c r="G117" s="1" t="s">
        <v>141</v>
      </c>
      <c r="H117" s="1">
        <v>9145000189</v>
      </c>
      <c r="I117" s="1" t="s">
        <v>42</v>
      </c>
      <c r="J117" s="1">
        <v>29</v>
      </c>
      <c r="K117" s="1" t="s">
        <v>184</v>
      </c>
      <c r="L117" s="1">
        <v>9141001859</v>
      </c>
      <c r="M117" s="1">
        <v>1131000216</v>
      </c>
      <c r="N117" s="1" t="s">
        <v>144</v>
      </c>
      <c r="O117" s="1" t="s">
        <v>145</v>
      </c>
      <c r="P117" s="1" t="s">
        <v>146</v>
      </c>
      <c r="Q117" s="1" t="s">
        <v>147</v>
      </c>
      <c r="R117" s="1" t="s">
        <v>162</v>
      </c>
      <c r="S117" s="44">
        <v>6.25</v>
      </c>
      <c r="T117" s="44">
        <v>0.28000000000000003</v>
      </c>
      <c r="U117" s="44">
        <v>0</v>
      </c>
      <c r="V117" s="44">
        <v>0</v>
      </c>
      <c r="W117" s="44">
        <v>0</v>
      </c>
      <c r="X117" s="45">
        <v>1007390</v>
      </c>
      <c r="Y117" s="45">
        <v>503584000</v>
      </c>
      <c r="Z117" s="45">
        <v>55394240</v>
      </c>
      <c r="AA117" s="46">
        <v>558978240</v>
      </c>
    </row>
    <row r="118" spans="1:27" ht="15" customHeight="1">
      <c r="A118" s="1">
        <v>13</v>
      </c>
      <c r="B118" s="1" t="s">
        <v>239</v>
      </c>
      <c r="C118" s="1" t="s">
        <v>240</v>
      </c>
      <c r="D118" s="1" t="s">
        <v>241</v>
      </c>
      <c r="E118" s="1" t="s">
        <v>240</v>
      </c>
      <c r="F118" s="1" t="s">
        <v>183</v>
      </c>
      <c r="G118" s="1" t="s">
        <v>141</v>
      </c>
      <c r="H118" s="1">
        <v>9145000206</v>
      </c>
      <c r="I118" s="1" t="s">
        <v>28</v>
      </c>
      <c r="J118" s="1">
        <v>8</v>
      </c>
      <c r="K118" s="1" t="s">
        <v>184</v>
      </c>
      <c r="L118" s="1">
        <v>9141001791</v>
      </c>
      <c r="M118" s="1">
        <v>1131000209</v>
      </c>
      <c r="N118" s="1" t="s">
        <v>144</v>
      </c>
      <c r="O118" s="1" t="s">
        <v>145</v>
      </c>
      <c r="P118" s="1" t="s">
        <v>146</v>
      </c>
      <c r="Q118" s="1" t="s">
        <v>147</v>
      </c>
      <c r="R118" s="1" t="s">
        <v>162</v>
      </c>
      <c r="S118" s="44">
        <v>6.39</v>
      </c>
      <c r="T118" s="44">
        <v>0.28000000000000003</v>
      </c>
      <c r="U118" s="44">
        <v>0</v>
      </c>
      <c r="V118" s="44">
        <v>0</v>
      </c>
      <c r="W118" s="44">
        <v>0</v>
      </c>
      <c r="X118" s="45">
        <v>1004890</v>
      </c>
      <c r="Y118" s="45">
        <v>1198791000</v>
      </c>
      <c r="Z118" s="45">
        <v>131867010</v>
      </c>
      <c r="AA118" s="46">
        <v>1330658010</v>
      </c>
    </row>
    <row r="119" spans="1:27" ht="15" customHeight="1">
      <c r="A119" s="56"/>
      <c r="B119" s="56" t="s">
        <v>149</v>
      </c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7"/>
      <c r="T119" s="57"/>
      <c r="U119" s="57"/>
      <c r="V119" s="57"/>
      <c r="W119" s="57"/>
      <c r="X119" s="58">
        <f>SUM(X74:X118)</f>
        <v>40380490</v>
      </c>
      <c r="Y119" s="58">
        <f t="shared" ref="Y119:AA119" si="12">SUM(Y74:Y118)</f>
        <v>12765299500</v>
      </c>
      <c r="Z119" s="58">
        <f t="shared" si="12"/>
        <v>912634250</v>
      </c>
      <c r="AA119" s="58">
        <f t="shared" si="12"/>
        <v>13677933750</v>
      </c>
    </row>
    <row r="120" spans="1:27" ht="15" customHeight="1">
      <c r="A120" s="1">
        <v>14</v>
      </c>
      <c r="B120" s="1" t="s">
        <v>242</v>
      </c>
      <c r="C120" s="1" t="s">
        <v>243</v>
      </c>
      <c r="D120" s="1" t="s">
        <v>244</v>
      </c>
      <c r="E120" s="1" t="s">
        <v>243</v>
      </c>
      <c r="F120" s="1" t="s">
        <v>170</v>
      </c>
      <c r="G120" s="1" t="s">
        <v>141</v>
      </c>
      <c r="H120" s="1">
        <v>1005002268</v>
      </c>
      <c r="I120" s="1" t="s">
        <v>43</v>
      </c>
      <c r="J120" s="1">
        <v>38</v>
      </c>
      <c r="K120" s="1" t="s">
        <v>171</v>
      </c>
      <c r="L120" s="1">
        <v>1001024249</v>
      </c>
      <c r="M120" s="1" t="s">
        <v>245</v>
      </c>
      <c r="N120" s="1" t="s">
        <v>178</v>
      </c>
      <c r="O120" s="1" t="s">
        <v>179</v>
      </c>
      <c r="P120" s="1" t="s">
        <v>146</v>
      </c>
      <c r="Q120" s="1" t="s">
        <v>147</v>
      </c>
      <c r="R120" s="1" t="s">
        <v>148</v>
      </c>
      <c r="S120" s="44">
        <v>0</v>
      </c>
      <c r="T120" s="44">
        <v>23.22</v>
      </c>
      <c r="U120" s="44">
        <v>0.28000000000000003</v>
      </c>
      <c r="V120" s="44">
        <v>0</v>
      </c>
      <c r="W120" s="44">
        <v>0</v>
      </c>
      <c r="X120" s="45">
        <v>32240.959999999999</v>
      </c>
      <c r="Y120" s="45">
        <v>30628924</v>
      </c>
      <c r="Z120" s="45"/>
      <c r="AA120" s="46">
        <v>30628924</v>
      </c>
    </row>
    <row r="121" spans="1:27" ht="15" customHeight="1">
      <c r="A121" s="1">
        <v>14</v>
      </c>
      <c r="B121" s="1" t="s">
        <v>242</v>
      </c>
      <c r="C121" s="1" t="s">
        <v>243</v>
      </c>
      <c r="D121" s="1" t="s">
        <v>244</v>
      </c>
      <c r="E121" s="1" t="s">
        <v>243</v>
      </c>
      <c r="F121" s="1" t="s">
        <v>170</v>
      </c>
      <c r="G121" s="1" t="s">
        <v>141</v>
      </c>
      <c r="H121" s="1">
        <v>1005002269</v>
      </c>
      <c r="I121" s="1" t="s">
        <v>43</v>
      </c>
      <c r="J121" s="1">
        <v>38</v>
      </c>
      <c r="K121" s="1" t="s">
        <v>171</v>
      </c>
      <c r="L121" s="1">
        <v>1001024905</v>
      </c>
      <c r="M121" s="1" t="s">
        <v>246</v>
      </c>
      <c r="N121" s="1" t="s">
        <v>178</v>
      </c>
      <c r="O121" s="1" t="s">
        <v>179</v>
      </c>
      <c r="P121" s="1" t="s">
        <v>146</v>
      </c>
      <c r="Q121" s="1" t="s">
        <v>147</v>
      </c>
      <c r="R121" s="1" t="s">
        <v>148</v>
      </c>
      <c r="S121" s="44">
        <v>0</v>
      </c>
      <c r="T121" s="44">
        <v>22.64</v>
      </c>
      <c r="U121" s="44">
        <v>0.28000000000000003</v>
      </c>
      <c r="V121" s="44">
        <v>0</v>
      </c>
      <c r="W121" s="44">
        <v>0</v>
      </c>
      <c r="X121" s="45">
        <v>26396.44</v>
      </c>
      <c r="Y121" s="45">
        <v>29564013</v>
      </c>
      <c r="Z121" s="45"/>
      <c r="AA121" s="46">
        <v>29564013</v>
      </c>
    </row>
    <row r="122" spans="1:27" ht="15" customHeight="1">
      <c r="A122" s="1">
        <v>14</v>
      </c>
      <c r="B122" s="1" t="s">
        <v>242</v>
      </c>
      <c r="C122" s="1" t="s">
        <v>243</v>
      </c>
      <c r="D122" s="1" t="s">
        <v>244</v>
      </c>
      <c r="E122" s="1" t="s">
        <v>243</v>
      </c>
      <c r="F122" s="1" t="s">
        <v>170</v>
      </c>
      <c r="G122" s="1" t="s">
        <v>141</v>
      </c>
      <c r="H122" s="1">
        <v>2015</v>
      </c>
      <c r="I122" s="1" t="s">
        <v>44</v>
      </c>
      <c r="J122" s="1">
        <v>422</v>
      </c>
      <c r="K122" s="1" t="s">
        <v>171</v>
      </c>
      <c r="L122" s="1">
        <v>1001018477</v>
      </c>
      <c r="M122" s="1">
        <v>1004018477</v>
      </c>
      <c r="N122" s="1" t="s">
        <v>178</v>
      </c>
      <c r="O122" s="1" t="s">
        <v>179</v>
      </c>
      <c r="P122" s="1" t="s">
        <v>146</v>
      </c>
      <c r="Q122" s="1" t="s">
        <v>147</v>
      </c>
      <c r="R122" s="1" t="s">
        <v>148</v>
      </c>
      <c r="S122" s="44">
        <v>0</v>
      </c>
      <c r="T122" s="44">
        <v>20.89</v>
      </c>
      <c r="U122" s="44">
        <v>0.27</v>
      </c>
      <c r="V122" s="44">
        <v>0</v>
      </c>
      <c r="W122" s="44">
        <v>0</v>
      </c>
      <c r="X122" s="45">
        <v>3490.66</v>
      </c>
      <c r="Y122" s="45">
        <v>3420846</v>
      </c>
      <c r="Z122" s="45"/>
      <c r="AA122" s="46">
        <v>3420846</v>
      </c>
    </row>
    <row r="123" spans="1:27" ht="15" customHeight="1">
      <c r="A123" s="1">
        <v>14</v>
      </c>
      <c r="B123" s="1" t="s">
        <v>242</v>
      </c>
      <c r="C123" s="1" t="s">
        <v>243</v>
      </c>
      <c r="D123" s="1" t="s">
        <v>244</v>
      </c>
      <c r="E123" s="1" t="s">
        <v>243</v>
      </c>
      <c r="F123" s="1" t="s">
        <v>170</v>
      </c>
      <c r="G123" s="1" t="s">
        <v>141</v>
      </c>
      <c r="H123" s="1">
        <v>2016</v>
      </c>
      <c r="I123" s="1" t="s">
        <v>44</v>
      </c>
      <c r="J123" s="1">
        <v>422</v>
      </c>
      <c r="K123" s="1" t="s">
        <v>171</v>
      </c>
      <c r="L123" s="1">
        <v>1001018656</v>
      </c>
      <c r="M123" s="1">
        <v>1004018656</v>
      </c>
      <c r="N123" s="1" t="s">
        <v>178</v>
      </c>
      <c r="O123" s="1" t="s">
        <v>179</v>
      </c>
      <c r="P123" s="1" t="s">
        <v>146</v>
      </c>
      <c r="Q123" s="1" t="s">
        <v>147</v>
      </c>
      <c r="R123" s="1" t="s">
        <v>148</v>
      </c>
      <c r="S123" s="44">
        <v>0</v>
      </c>
      <c r="T123" s="44">
        <v>20.49</v>
      </c>
      <c r="U123" s="44">
        <v>0.27</v>
      </c>
      <c r="V123" s="44">
        <v>0</v>
      </c>
      <c r="W123" s="44">
        <v>0</v>
      </c>
      <c r="X123" s="45">
        <v>1182.5999999999999</v>
      </c>
      <c r="Y123" s="45">
        <v>1300860</v>
      </c>
      <c r="Z123" s="45"/>
      <c r="AA123" s="46">
        <v>1300860</v>
      </c>
    </row>
    <row r="124" spans="1:27" ht="15" customHeight="1">
      <c r="A124" s="1">
        <v>14</v>
      </c>
      <c r="B124" s="1" t="s">
        <v>242</v>
      </c>
      <c r="C124" s="1" t="s">
        <v>243</v>
      </c>
      <c r="D124" s="1" t="s">
        <v>244</v>
      </c>
      <c r="E124" s="1" t="s">
        <v>243</v>
      </c>
      <c r="F124" s="1" t="s">
        <v>170</v>
      </c>
      <c r="G124" s="1" t="s">
        <v>141</v>
      </c>
      <c r="H124" s="1">
        <v>1005002270</v>
      </c>
      <c r="I124" s="1" t="s">
        <v>43</v>
      </c>
      <c r="J124" s="1">
        <v>38</v>
      </c>
      <c r="K124" s="1" t="s">
        <v>171</v>
      </c>
      <c r="L124" s="1">
        <v>1001025664</v>
      </c>
      <c r="M124" s="1" t="s">
        <v>247</v>
      </c>
      <c r="N124" s="1" t="s">
        <v>178</v>
      </c>
      <c r="O124" s="1" t="s">
        <v>179</v>
      </c>
      <c r="P124" s="1" t="s">
        <v>146</v>
      </c>
      <c r="Q124" s="1" t="s">
        <v>147</v>
      </c>
      <c r="R124" s="1" t="s">
        <v>148</v>
      </c>
      <c r="S124" s="44">
        <v>0</v>
      </c>
      <c r="T124" s="44">
        <v>21.92</v>
      </c>
      <c r="U124" s="44">
        <v>0.28000000000000003</v>
      </c>
      <c r="V124" s="44">
        <v>0</v>
      </c>
      <c r="W124" s="44">
        <v>0</v>
      </c>
      <c r="X124" s="45">
        <v>7957.88</v>
      </c>
      <c r="Y124" s="45">
        <v>9151565</v>
      </c>
      <c r="Z124" s="45"/>
      <c r="AA124" s="46">
        <v>9151565</v>
      </c>
    </row>
    <row r="125" spans="1:27" ht="15" customHeight="1">
      <c r="A125" s="1">
        <v>14</v>
      </c>
      <c r="B125" s="1" t="s">
        <v>242</v>
      </c>
      <c r="C125" s="1" t="s">
        <v>243</v>
      </c>
      <c r="D125" s="1" t="s">
        <v>244</v>
      </c>
      <c r="E125" s="1" t="s">
        <v>243</v>
      </c>
      <c r="F125" s="1" t="s">
        <v>170</v>
      </c>
      <c r="G125" s="1" t="s">
        <v>141</v>
      </c>
      <c r="H125" s="1">
        <v>2017</v>
      </c>
      <c r="I125" s="1" t="s">
        <v>44</v>
      </c>
      <c r="J125" s="1">
        <v>422</v>
      </c>
      <c r="K125" s="1" t="s">
        <v>171</v>
      </c>
      <c r="L125" s="1">
        <v>1001019383</v>
      </c>
      <c r="M125" s="1" t="s">
        <v>248</v>
      </c>
      <c r="N125" s="1" t="s">
        <v>178</v>
      </c>
      <c r="O125" s="1" t="s">
        <v>179</v>
      </c>
      <c r="P125" s="1" t="s">
        <v>146</v>
      </c>
      <c r="Q125" s="1" t="s">
        <v>147</v>
      </c>
      <c r="R125" s="1" t="s">
        <v>148</v>
      </c>
      <c r="S125" s="44">
        <v>0</v>
      </c>
      <c r="T125" s="44">
        <v>21.1</v>
      </c>
      <c r="U125" s="44">
        <v>0.28000000000000003</v>
      </c>
      <c r="V125" s="44">
        <v>0</v>
      </c>
      <c r="W125" s="44">
        <v>0</v>
      </c>
      <c r="X125" s="45">
        <v>9251.9599999999991</v>
      </c>
      <c r="Y125" s="45">
        <v>11379915</v>
      </c>
      <c r="Z125" s="45"/>
      <c r="AA125" s="46">
        <v>11379915</v>
      </c>
    </row>
    <row r="126" spans="1:27" ht="15" customHeight="1">
      <c r="A126" s="1">
        <v>14</v>
      </c>
      <c r="B126" s="1" t="s">
        <v>242</v>
      </c>
      <c r="C126" s="1" t="s">
        <v>243</v>
      </c>
      <c r="D126" s="1" t="s">
        <v>244</v>
      </c>
      <c r="E126" s="1" t="s">
        <v>243</v>
      </c>
      <c r="F126" s="1" t="s">
        <v>170</v>
      </c>
      <c r="G126" s="1" t="s">
        <v>141</v>
      </c>
      <c r="H126" s="1">
        <v>2018</v>
      </c>
      <c r="I126" s="1" t="s">
        <v>44</v>
      </c>
      <c r="J126" s="1">
        <v>422</v>
      </c>
      <c r="K126" s="1" t="s">
        <v>171</v>
      </c>
      <c r="L126" s="1">
        <v>1001019972</v>
      </c>
      <c r="M126" s="1" t="s">
        <v>249</v>
      </c>
      <c r="N126" s="1" t="s">
        <v>178</v>
      </c>
      <c r="O126" s="1" t="s">
        <v>179</v>
      </c>
      <c r="P126" s="1" t="s">
        <v>146</v>
      </c>
      <c r="Q126" s="1" t="s">
        <v>147</v>
      </c>
      <c r="R126" s="1" t="s">
        <v>148</v>
      </c>
      <c r="S126" s="44">
        <v>0</v>
      </c>
      <c r="T126" s="44">
        <v>21.65</v>
      </c>
      <c r="U126" s="44">
        <v>0.28000000000000003</v>
      </c>
      <c r="V126" s="44">
        <v>0</v>
      </c>
      <c r="W126" s="44">
        <v>0</v>
      </c>
      <c r="X126" s="45">
        <v>5330.83</v>
      </c>
      <c r="Y126" s="45">
        <v>7463162</v>
      </c>
      <c r="Z126" s="45"/>
      <c r="AA126" s="46">
        <v>7463162</v>
      </c>
    </row>
    <row r="127" spans="1:27" ht="15" customHeight="1">
      <c r="A127" s="56"/>
      <c r="B127" s="56" t="s">
        <v>149</v>
      </c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7"/>
      <c r="T127" s="57"/>
      <c r="U127" s="57"/>
      <c r="V127" s="57"/>
      <c r="W127" s="57"/>
      <c r="X127" s="58">
        <f>SUM(X120:X126)</f>
        <v>85851.33</v>
      </c>
      <c r="Y127" s="58">
        <f t="shared" ref="Y127:AA127" si="13">SUM(Y120:Y126)</f>
        <v>92909285</v>
      </c>
      <c r="Z127" s="58">
        <f t="shared" si="13"/>
        <v>0</v>
      </c>
      <c r="AA127" s="58">
        <f t="shared" si="13"/>
        <v>92909285</v>
      </c>
    </row>
    <row r="128" spans="1:27" ht="15" customHeight="1">
      <c r="A128" s="1">
        <v>15</v>
      </c>
      <c r="B128" s="1" t="s">
        <v>250</v>
      </c>
      <c r="C128" s="1" t="s">
        <v>251</v>
      </c>
      <c r="D128" s="1" t="s">
        <v>252</v>
      </c>
      <c r="E128" s="1" t="s">
        <v>251</v>
      </c>
      <c r="F128" s="1" t="s">
        <v>153</v>
      </c>
      <c r="G128" s="1" t="s">
        <v>141</v>
      </c>
      <c r="H128" s="1">
        <v>1385000045</v>
      </c>
      <c r="I128" s="1" t="s">
        <v>45</v>
      </c>
      <c r="J128" s="1">
        <v>109</v>
      </c>
      <c r="K128" s="1" t="s">
        <v>253</v>
      </c>
      <c r="L128" s="1">
        <v>1381002095</v>
      </c>
      <c r="M128" s="1" t="s">
        <v>254</v>
      </c>
      <c r="N128" s="1" t="s">
        <v>144</v>
      </c>
      <c r="O128" s="1" t="s">
        <v>145</v>
      </c>
      <c r="P128" s="1" t="s">
        <v>146</v>
      </c>
      <c r="Q128" s="1" t="s">
        <v>147</v>
      </c>
      <c r="R128" s="1" t="s">
        <v>255</v>
      </c>
      <c r="S128" s="44">
        <v>3.27</v>
      </c>
      <c r="T128" s="44">
        <v>0.62</v>
      </c>
      <c r="U128" s="44">
        <v>0</v>
      </c>
      <c r="V128" s="44">
        <v>2.1</v>
      </c>
      <c r="W128" s="44">
        <v>0</v>
      </c>
      <c r="X128" s="45">
        <v>102.23</v>
      </c>
      <c r="Y128" s="45">
        <v>1501555</v>
      </c>
      <c r="Z128" s="45"/>
      <c r="AA128" s="46">
        <v>1501555</v>
      </c>
    </row>
    <row r="129" spans="1:27" ht="15" customHeight="1">
      <c r="A129" s="1">
        <v>15</v>
      </c>
      <c r="B129" s="1" t="s">
        <v>250</v>
      </c>
      <c r="C129" s="1" t="s">
        <v>251</v>
      </c>
      <c r="D129" s="1" t="s">
        <v>252</v>
      </c>
      <c r="E129" s="1" t="s">
        <v>251</v>
      </c>
      <c r="F129" s="1" t="s">
        <v>153</v>
      </c>
      <c r="G129" s="1" t="s">
        <v>141</v>
      </c>
      <c r="H129" s="1">
        <v>1385000050</v>
      </c>
      <c r="I129" s="1" t="s">
        <v>46</v>
      </c>
      <c r="J129" s="1">
        <v>106</v>
      </c>
      <c r="K129" s="1" t="s">
        <v>253</v>
      </c>
      <c r="L129" s="1">
        <v>1381002169</v>
      </c>
      <c r="M129" s="1" t="s">
        <v>256</v>
      </c>
      <c r="N129" s="1" t="s">
        <v>144</v>
      </c>
      <c r="O129" s="1" t="s">
        <v>145</v>
      </c>
      <c r="P129" s="1" t="s">
        <v>146</v>
      </c>
      <c r="Q129" s="1" t="s">
        <v>147</v>
      </c>
      <c r="R129" s="1" t="s">
        <v>255</v>
      </c>
      <c r="S129" s="44">
        <v>3.6</v>
      </c>
      <c r="T129" s="44">
        <v>0.79</v>
      </c>
      <c r="U129" s="44">
        <v>0</v>
      </c>
      <c r="V129" s="44">
        <v>2.1</v>
      </c>
      <c r="W129" s="44">
        <v>0</v>
      </c>
      <c r="X129" s="45">
        <v>83.09</v>
      </c>
      <c r="Y129" s="45">
        <v>1222337</v>
      </c>
      <c r="Z129" s="45"/>
      <c r="AA129" s="46">
        <v>1222337</v>
      </c>
    </row>
    <row r="130" spans="1:27" ht="15" customHeight="1">
      <c r="A130" s="1">
        <v>15</v>
      </c>
      <c r="B130" s="1" t="s">
        <v>250</v>
      </c>
      <c r="C130" s="1" t="s">
        <v>251</v>
      </c>
      <c r="D130" s="1" t="s">
        <v>252</v>
      </c>
      <c r="E130" s="1" t="s">
        <v>251</v>
      </c>
      <c r="F130" s="1" t="s">
        <v>153</v>
      </c>
      <c r="G130" s="1" t="s">
        <v>141</v>
      </c>
      <c r="H130" s="1">
        <v>1385000054</v>
      </c>
      <c r="I130" s="1" t="s">
        <v>25</v>
      </c>
      <c r="J130" s="1">
        <v>95</v>
      </c>
      <c r="K130" s="1" t="s">
        <v>253</v>
      </c>
      <c r="L130" s="1">
        <v>1381002173</v>
      </c>
      <c r="M130" s="1" t="s">
        <v>257</v>
      </c>
      <c r="N130" s="1" t="s">
        <v>144</v>
      </c>
      <c r="O130" s="1" t="s">
        <v>145</v>
      </c>
      <c r="P130" s="1" t="s">
        <v>146</v>
      </c>
      <c r="Q130" s="1" t="s">
        <v>147</v>
      </c>
      <c r="R130" s="1" t="s">
        <v>255</v>
      </c>
      <c r="S130" s="44">
        <v>4</v>
      </c>
      <c r="T130" s="44">
        <v>0.73</v>
      </c>
      <c r="U130" s="44">
        <v>0</v>
      </c>
      <c r="V130" s="44">
        <v>2.1</v>
      </c>
      <c r="W130" s="44">
        <v>0</v>
      </c>
      <c r="X130" s="45">
        <v>77.209999999999994</v>
      </c>
      <c r="Y130" s="45">
        <v>1143557</v>
      </c>
      <c r="Z130" s="45"/>
      <c r="AA130" s="46">
        <v>1143557</v>
      </c>
    </row>
    <row r="131" spans="1:27" ht="15" customHeight="1">
      <c r="A131" s="1">
        <v>15</v>
      </c>
      <c r="B131" s="1" t="s">
        <v>250</v>
      </c>
      <c r="C131" s="1" t="s">
        <v>251</v>
      </c>
      <c r="D131" s="1" t="s">
        <v>252</v>
      </c>
      <c r="E131" s="1" t="s">
        <v>251</v>
      </c>
      <c r="F131" s="1" t="s">
        <v>153</v>
      </c>
      <c r="G131" s="1" t="s">
        <v>141</v>
      </c>
      <c r="H131" s="1">
        <v>1385000061</v>
      </c>
      <c r="I131" s="1" t="s">
        <v>39</v>
      </c>
      <c r="J131" s="1">
        <v>65</v>
      </c>
      <c r="K131" s="1" t="s">
        <v>253</v>
      </c>
      <c r="L131" s="1">
        <v>1381002307</v>
      </c>
      <c r="M131" s="1" t="s">
        <v>258</v>
      </c>
      <c r="N131" s="1" t="s">
        <v>144</v>
      </c>
      <c r="O131" s="1" t="s">
        <v>145</v>
      </c>
      <c r="P131" s="1" t="s">
        <v>146</v>
      </c>
      <c r="Q131" s="1" t="s">
        <v>147</v>
      </c>
      <c r="R131" s="1" t="s">
        <v>255</v>
      </c>
      <c r="S131" s="44">
        <v>3.5</v>
      </c>
      <c r="T131" s="44">
        <v>0.61</v>
      </c>
      <c r="U131" s="44">
        <v>0</v>
      </c>
      <c r="V131" s="44">
        <v>2.1</v>
      </c>
      <c r="W131" s="44">
        <v>0</v>
      </c>
      <c r="X131" s="45">
        <v>31.21</v>
      </c>
      <c r="Y131" s="45">
        <v>449892</v>
      </c>
      <c r="Z131" s="45"/>
      <c r="AA131" s="46">
        <v>449892</v>
      </c>
    </row>
    <row r="132" spans="1:27" ht="15" customHeight="1">
      <c r="A132" s="1">
        <v>15</v>
      </c>
      <c r="B132" s="1" t="s">
        <v>250</v>
      </c>
      <c r="C132" s="1" t="s">
        <v>251</v>
      </c>
      <c r="D132" s="1" t="s">
        <v>252</v>
      </c>
      <c r="E132" s="1" t="s">
        <v>251</v>
      </c>
      <c r="F132" s="1" t="s">
        <v>153</v>
      </c>
      <c r="G132" s="1" t="s">
        <v>141</v>
      </c>
      <c r="H132" s="1">
        <v>1385000062</v>
      </c>
      <c r="I132" s="1" t="s">
        <v>39</v>
      </c>
      <c r="J132" s="1">
        <v>65</v>
      </c>
      <c r="K132" s="1" t="s">
        <v>253</v>
      </c>
      <c r="L132" s="1">
        <v>1381002313</v>
      </c>
      <c r="M132" s="1" t="s">
        <v>259</v>
      </c>
      <c r="N132" s="1" t="s">
        <v>144</v>
      </c>
      <c r="O132" s="1" t="s">
        <v>145</v>
      </c>
      <c r="P132" s="1" t="s">
        <v>146</v>
      </c>
      <c r="Q132" s="1" t="s">
        <v>147</v>
      </c>
      <c r="R132" s="1" t="s">
        <v>255</v>
      </c>
      <c r="S132" s="44">
        <v>4.0999999999999996</v>
      </c>
      <c r="T132" s="44">
        <v>0.67</v>
      </c>
      <c r="U132" s="44">
        <v>0</v>
      </c>
      <c r="V132" s="44">
        <v>2.1</v>
      </c>
      <c r="W132" s="44">
        <v>0</v>
      </c>
      <c r="X132" s="45">
        <v>57.02</v>
      </c>
      <c r="Y132" s="45">
        <v>812934</v>
      </c>
      <c r="Z132" s="45"/>
      <c r="AA132" s="46">
        <v>812934</v>
      </c>
    </row>
    <row r="133" spans="1:27" ht="15" customHeight="1">
      <c r="A133" s="1">
        <v>15</v>
      </c>
      <c r="B133" s="1" t="s">
        <v>250</v>
      </c>
      <c r="C133" s="1" t="s">
        <v>251</v>
      </c>
      <c r="D133" s="1" t="s">
        <v>252</v>
      </c>
      <c r="E133" s="1" t="s">
        <v>251</v>
      </c>
      <c r="F133" s="1" t="s">
        <v>153</v>
      </c>
      <c r="G133" s="1" t="s">
        <v>141</v>
      </c>
      <c r="H133" s="1">
        <v>1385000075</v>
      </c>
      <c r="I133" s="1" t="s">
        <v>47</v>
      </c>
      <c r="J133" s="1">
        <v>25</v>
      </c>
      <c r="K133" s="1" t="s">
        <v>253</v>
      </c>
      <c r="L133" s="1">
        <v>1381002416</v>
      </c>
      <c r="M133" s="1" t="s">
        <v>260</v>
      </c>
      <c r="N133" s="1" t="s">
        <v>144</v>
      </c>
      <c r="O133" s="1" t="s">
        <v>145</v>
      </c>
      <c r="P133" s="1" t="s">
        <v>146</v>
      </c>
      <c r="Q133" s="1" t="s">
        <v>147</v>
      </c>
      <c r="R133" s="1" t="s">
        <v>255</v>
      </c>
      <c r="S133" s="44">
        <v>4</v>
      </c>
      <c r="T133" s="44">
        <v>0.68</v>
      </c>
      <c r="U133" s="44">
        <v>0</v>
      </c>
      <c r="V133" s="44">
        <v>2</v>
      </c>
      <c r="W133" s="44">
        <v>0</v>
      </c>
      <c r="X133" s="45">
        <v>31</v>
      </c>
      <c r="Y133" s="45">
        <v>449531</v>
      </c>
      <c r="Z133" s="45"/>
      <c r="AA133" s="46">
        <v>449531</v>
      </c>
    </row>
    <row r="134" spans="1:27" ht="15" customHeight="1">
      <c r="A134" s="56"/>
      <c r="B134" s="56" t="s">
        <v>149</v>
      </c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7"/>
      <c r="T134" s="57"/>
      <c r="U134" s="57"/>
      <c r="V134" s="57"/>
      <c r="W134" s="57"/>
      <c r="X134" s="58">
        <f>SUM(X128:X133)</f>
        <v>381.75999999999993</v>
      </c>
      <c r="Y134" s="58">
        <f t="shared" ref="Y134:AA134" si="14">SUM(Y128:Y133)</f>
        <v>5579806</v>
      </c>
      <c r="Z134" s="58">
        <f t="shared" si="14"/>
        <v>0</v>
      </c>
      <c r="AA134" s="58">
        <f t="shared" si="14"/>
        <v>5579806</v>
      </c>
    </row>
    <row r="135" spans="1:27" ht="15" customHeight="1">
      <c r="A135" s="1">
        <v>16</v>
      </c>
      <c r="B135" s="1" t="s">
        <v>261</v>
      </c>
      <c r="C135" s="1" t="s">
        <v>262</v>
      </c>
      <c r="D135" s="1" t="s">
        <v>263</v>
      </c>
      <c r="E135" s="1" t="s">
        <v>262</v>
      </c>
      <c r="F135" s="1" t="s">
        <v>170</v>
      </c>
      <c r="G135" s="1" t="s">
        <v>141</v>
      </c>
      <c r="H135" s="1">
        <v>1005002481</v>
      </c>
      <c r="I135" s="1" t="s">
        <v>48</v>
      </c>
      <c r="J135" s="1">
        <v>7</v>
      </c>
      <c r="K135" s="1" t="s">
        <v>184</v>
      </c>
      <c r="L135" s="1">
        <v>1001027992</v>
      </c>
      <c r="M135" s="1" t="s">
        <v>264</v>
      </c>
      <c r="N135" s="1" t="s">
        <v>144</v>
      </c>
      <c r="O135" s="1" t="s">
        <v>145</v>
      </c>
      <c r="P135" s="1" t="s">
        <v>146</v>
      </c>
      <c r="Q135" s="1" t="s">
        <v>147</v>
      </c>
      <c r="R135" s="1" t="s">
        <v>148</v>
      </c>
      <c r="S135" s="44">
        <v>5.35</v>
      </c>
      <c r="T135" s="44">
        <v>0.28000000000000003</v>
      </c>
      <c r="U135" s="44">
        <v>0</v>
      </c>
      <c r="V135" s="44">
        <v>0</v>
      </c>
      <c r="W135" s="44">
        <v>0</v>
      </c>
      <c r="X135" s="45">
        <v>508470</v>
      </c>
      <c r="Y135" s="45">
        <v>25423500</v>
      </c>
      <c r="Z135" s="45"/>
      <c r="AA135" s="46">
        <v>25423500</v>
      </c>
    </row>
    <row r="136" spans="1:27" ht="15" customHeight="1">
      <c r="A136" s="1">
        <v>16</v>
      </c>
      <c r="B136" s="1" t="s">
        <v>261</v>
      </c>
      <c r="C136" s="1" t="s">
        <v>262</v>
      </c>
      <c r="D136" s="1" t="s">
        <v>263</v>
      </c>
      <c r="E136" s="1" t="s">
        <v>262</v>
      </c>
      <c r="F136" s="1" t="s">
        <v>170</v>
      </c>
      <c r="G136" s="1" t="s">
        <v>141</v>
      </c>
      <c r="H136" s="1">
        <v>1005002482</v>
      </c>
      <c r="I136" s="1" t="s">
        <v>48</v>
      </c>
      <c r="J136" s="1">
        <v>7</v>
      </c>
      <c r="K136" s="1" t="s">
        <v>184</v>
      </c>
      <c r="L136" s="1">
        <v>1001028055</v>
      </c>
      <c r="M136" s="1" t="s">
        <v>265</v>
      </c>
      <c r="N136" s="1" t="s">
        <v>144</v>
      </c>
      <c r="O136" s="1" t="s">
        <v>145</v>
      </c>
      <c r="P136" s="1" t="s">
        <v>146</v>
      </c>
      <c r="Q136" s="1" t="s">
        <v>147</v>
      </c>
      <c r="R136" s="1" t="s">
        <v>148</v>
      </c>
      <c r="S136" s="44">
        <v>5.28</v>
      </c>
      <c r="T136" s="44">
        <v>0.28000000000000003</v>
      </c>
      <c r="U136" s="44">
        <v>0</v>
      </c>
      <c r="V136" s="44">
        <v>0</v>
      </c>
      <c r="W136" s="44">
        <v>0</v>
      </c>
      <c r="X136" s="45">
        <v>498820</v>
      </c>
      <c r="Y136" s="45">
        <v>24941000</v>
      </c>
      <c r="Z136" s="45"/>
      <c r="AA136" s="46">
        <v>24941000</v>
      </c>
    </row>
    <row r="137" spans="1:27" ht="15" customHeight="1">
      <c r="A137" s="1">
        <v>16</v>
      </c>
      <c r="B137" s="1" t="s">
        <v>261</v>
      </c>
      <c r="C137" s="1" t="s">
        <v>262</v>
      </c>
      <c r="D137" s="1" t="s">
        <v>263</v>
      </c>
      <c r="E137" s="1" t="s">
        <v>262</v>
      </c>
      <c r="F137" s="1" t="s">
        <v>170</v>
      </c>
      <c r="G137" s="1" t="s">
        <v>141</v>
      </c>
      <c r="H137" s="1">
        <v>9145000210</v>
      </c>
      <c r="I137" s="1" t="s">
        <v>48</v>
      </c>
      <c r="J137" s="1">
        <v>7</v>
      </c>
      <c r="K137" s="1" t="s">
        <v>184</v>
      </c>
      <c r="L137" s="1">
        <v>9141001888</v>
      </c>
      <c r="M137" s="1" t="s">
        <v>266</v>
      </c>
      <c r="N137" s="1" t="s">
        <v>144</v>
      </c>
      <c r="O137" s="1" t="s">
        <v>145</v>
      </c>
      <c r="P137" s="1" t="s">
        <v>146</v>
      </c>
      <c r="Q137" s="1" t="s">
        <v>147</v>
      </c>
      <c r="R137" s="1" t="s">
        <v>162</v>
      </c>
      <c r="S137" s="44">
        <v>5.3</v>
      </c>
      <c r="T137" s="44">
        <v>0.49</v>
      </c>
      <c r="U137" s="44">
        <v>0</v>
      </c>
      <c r="V137" s="44">
        <v>0</v>
      </c>
      <c r="W137" s="44">
        <v>0</v>
      </c>
      <c r="X137" s="45">
        <v>1006180</v>
      </c>
      <c r="Y137" s="45">
        <v>53769500</v>
      </c>
      <c r="Z137" s="45">
        <v>5914645</v>
      </c>
      <c r="AA137" s="46">
        <v>59684145</v>
      </c>
    </row>
    <row r="138" spans="1:27" ht="15" customHeight="1">
      <c r="A138" s="56"/>
      <c r="B138" s="56" t="s">
        <v>149</v>
      </c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7"/>
      <c r="T138" s="57"/>
      <c r="U138" s="57"/>
      <c r="V138" s="57"/>
      <c r="W138" s="57"/>
      <c r="X138" s="58">
        <f>SUM(X135:X137)</f>
        <v>2013470</v>
      </c>
      <c r="Y138" s="58">
        <f t="shared" ref="Y138:AA138" si="15">SUM(Y135:Y137)</f>
        <v>104134000</v>
      </c>
      <c r="Z138" s="58">
        <f t="shared" si="15"/>
        <v>5914645</v>
      </c>
      <c r="AA138" s="58">
        <f t="shared" si="15"/>
        <v>110048645</v>
      </c>
    </row>
    <row r="139" spans="1:27" ht="15" customHeight="1">
      <c r="A139" s="1">
        <v>17</v>
      </c>
      <c r="B139" s="1" t="s">
        <v>267</v>
      </c>
      <c r="C139" s="1" t="s">
        <v>268</v>
      </c>
      <c r="D139" s="1" t="s">
        <v>269</v>
      </c>
      <c r="E139" s="1" t="s">
        <v>268</v>
      </c>
      <c r="F139" s="1" t="s">
        <v>140</v>
      </c>
      <c r="G139" s="1" t="s">
        <v>141</v>
      </c>
      <c r="H139" s="1">
        <v>9085000210</v>
      </c>
      <c r="I139" s="1" t="s">
        <v>49</v>
      </c>
      <c r="J139" s="1">
        <v>126</v>
      </c>
      <c r="K139" s="1" t="s">
        <v>142</v>
      </c>
      <c r="L139" s="1">
        <v>9081001367</v>
      </c>
      <c r="M139" s="1" t="s">
        <v>270</v>
      </c>
      <c r="N139" s="1" t="s">
        <v>271</v>
      </c>
      <c r="O139" s="1" t="s">
        <v>179</v>
      </c>
      <c r="P139" s="1" t="s">
        <v>146</v>
      </c>
      <c r="Q139" s="1" t="s">
        <v>147</v>
      </c>
      <c r="R139" s="1" t="s">
        <v>160</v>
      </c>
      <c r="S139" s="44">
        <v>0</v>
      </c>
      <c r="T139" s="44">
        <v>20.329999999999998</v>
      </c>
      <c r="U139" s="44">
        <v>0.9</v>
      </c>
      <c r="V139" s="44">
        <v>0</v>
      </c>
      <c r="W139" s="44">
        <v>0</v>
      </c>
      <c r="X139" s="45">
        <v>22.11</v>
      </c>
      <c r="Y139" s="45">
        <v>19125</v>
      </c>
      <c r="Z139" s="45"/>
      <c r="AA139" s="46">
        <v>19125</v>
      </c>
    </row>
    <row r="140" spans="1:27" ht="15" customHeight="1">
      <c r="A140" s="56"/>
      <c r="B140" s="56" t="s">
        <v>149</v>
      </c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7"/>
      <c r="T140" s="57"/>
      <c r="U140" s="57"/>
      <c r="V140" s="57"/>
      <c r="W140" s="57"/>
      <c r="X140" s="58">
        <f>SUM(X139)</f>
        <v>22.11</v>
      </c>
      <c r="Y140" s="58">
        <f t="shared" ref="Y140:AA140" si="16">SUM(Y139)</f>
        <v>19125</v>
      </c>
      <c r="Z140" s="58">
        <f t="shared" si="16"/>
        <v>0</v>
      </c>
      <c r="AA140" s="58">
        <f t="shared" si="16"/>
        <v>19125</v>
      </c>
    </row>
    <row r="141" spans="1:27" ht="15" customHeight="1">
      <c r="A141" s="1">
        <v>18</v>
      </c>
      <c r="B141" s="1" t="s">
        <v>272</v>
      </c>
      <c r="C141" s="1" t="s">
        <v>273</v>
      </c>
      <c r="D141" s="1" t="s">
        <v>274</v>
      </c>
      <c r="E141" s="1" t="s">
        <v>273</v>
      </c>
      <c r="F141" s="1" t="s">
        <v>153</v>
      </c>
      <c r="G141" s="1" t="s">
        <v>141</v>
      </c>
      <c r="H141" s="1">
        <v>1054</v>
      </c>
      <c r="I141" s="1" t="s">
        <v>50</v>
      </c>
      <c r="J141" s="1">
        <v>752</v>
      </c>
      <c r="K141" s="1" t="s">
        <v>142</v>
      </c>
      <c r="L141" s="1">
        <v>1001013860</v>
      </c>
      <c r="M141" s="1"/>
      <c r="N141" s="1" t="s">
        <v>144</v>
      </c>
      <c r="O141" s="1" t="s">
        <v>145</v>
      </c>
      <c r="P141" s="1" t="s">
        <v>146</v>
      </c>
      <c r="Q141" s="1" t="s">
        <v>147</v>
      </c>
      <c r="R141" s="1" t="s">
        <v>148</v>
      </c>
      <c r="S141" s="44">
        <v>0</v>
      </c>
      <c r="T141" s="44">
        <v>0</v>
      </c>
      <c r="U141" s="44">
        <v>0</v>
      </c>
      <c r="V141" s="44">
        <v>0</v>
      </c>
      <c r="W141" s="44">
        <v>0</v>
      </c>
      <c r="X141" s="45">
        <v>131668</v>
      </c>
      <c r="Y141" s="45">
        <v>13475300</v>
      </c>
      <c r="Z141" s="45"/>
      <c r="AA141" s="46">
        <v>13475300</v>
      </c>
    </row>
    <row r="142" spans="1:27" ht="15" customHeight="1">
      <c r="A142" s="56"/>
      <c r="B142" s="56" t="s">
        <v>149</v>
      </c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7"/>
      <c r="T142" s="57"/>
      <c r="U142" s="57"/>
      <c r="V142" s="57"/>
      <c r="W142" s="57"/>
      <c r="X142" s="58">
        <f>SUM(X141)</f>
        <v>131668</v>
      </c>
      <c r="Y142" s="58">
        <f t="shared" ref="Y142:AA142" si="17">SUM(Y141)</f>
        <v>13475300</v>
      </c>
      <c r="Z142" s="58">
        <f t="shared" si="17"/>
        <v>0</v>
      </c>
      <c r="AA142" s="58">
        <f t="shared" si="17"/>
        <v>13475300</v>
      </c>
    </row>
    <row r="143" spans="1:27" ht="15" customHeight="1">
      <c r="A143" s="1">
        <v>19</v>
      </c>
      <c r="B143" s="1" t="s">
        <v>275</v>
      </c>
      <c r="C143" s="1" t="s">
        <v>276</v>
      </c>
      <c r="D143" s="1" t="s">
        <v>277</v>
      </c>
      <c r="E143" s="1" t="s">
        <v>276</v>
      </c>
      <c r="F143" s="1" t="s">
        <v>170</v>
      </c>
      <c r="G143" s="1" t="s">
        <v>141</v>
      </c>
      <c r="H143" s="1">
        <v>9085000254</v>
      </c>
      <c r="I143" s="1" t="s">
        <v>51</v>
      </c>
      <c r="J143" s="1">
        <v>43</v>
      </c>
      <c r="K143" s="1" t="s">
        <v>171</v>
      </c>
      <c r="L143" s="1">
        <v>9081001469</v>
      </c>
      <c r="M143" s="1" t="s">
        <v>278</v>
      </c>
      <c r="N143" s="1" t="s">
        <v>178</v>
      </c>
      <c r="O143" s="1" t="s">
        <v>179</v>
      </c>
      <c r="P143" s="1" t="s">
        <v>146</v>
      </c>
      <c r="Q143" s="1" t="s">
        <v>147</v>
      </c>
      <c r="R143" s="1" t="s">
        <v>160</v>
      </c>
      <c r="S143" s="44">
        <v>0</v>
      </c>
      <c r="T143" s="44">
        <v>21.07</v>
      </c>
      <c r="U143" s="44">
        <v>0.79</v>
      </c>
      <c r="V143" s="44">
        <v>0</v>
      </c>
      <c r="W143" s="44">
        <v>0</v>
      </c>
      <c r="X143" s="45">
        <v>5329.66</v>
      </c>
      <c r="Y143" s="45">
        <v>6608779</v>
      </c>
      <c r="Z143" s="45"/>
      <c r="AA143" s="46">
        <v>6608779</v>
      </c>
    </row>
    <row r="144" spans="1:27" ht="15" customHeight="1">
      <c r="A144" s="56"/>
      <c r="B144" s="56" t="s">
        <v>149</v>
      </c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7"/>
      <c r="T144" s="57"/>
      <c r="U144" s="57"/>
      <c r="V144" s="57"/>
      <c r="W144" s="57"/>
      <c r="X144" s="58">
        <f>SUM(X143)</f>
        <v>5329.66</v>
      </c>
      <c r="Y144" s="58">
        <f t="shared" ref="Y144:AA144" si="18">SUM(Y143)</f>
        <v>6608779</v>
      </c>
      <c r="Z144" s="58">
        <f t="shared" si="18"/>
        <v>0</v>
      </c>
      <c r="AA144" s="58">
        <f t="shared" si="18"/>
        <v>6608779</v>
      </c>
    </row>
    <row r="145" spans="1:27" ht="15" customHeight="1">
      <c r="A145" s="1">
        <v>20</v>
      </c>
      <c r="B145" s="1" t="s">
        <v>279</v>
      </c>
      <c r="C145" s="1" t="s">
        <v>280</v>
      </c>
      <c r="D145" s="1" t="s">
        <v>182</v>
      </c>
      <c r="E145" s="1" t="s">
        <v>280</v>
      </c>
      <c r="F145" s="1" t="s">
        <v>153</v>
      </c>
      <c r="G145" s="1" t="s">
        <v>141</v>
      </c>
      <c r="H145" s="1">
        <v>1246</v>
      </c>
      <c r="I145" s="1" t="s">
        <v>52</v>
      </c>
      <c r="J145" s="1">
        <v>655</v>
      </c>
      <c r="K145" s="1" t="s">
        <v>142</v>
      </c>
      <c r="L145" s="1">
        <v>1001014688</v>
      </c>
      <c r="M145" s="1" t="s">
        <v>281</v>
      </c>
      <c r="N145" s="1" t="s">
        <v>144</v>
      </c>
      <c r="O145" s="1" t="s">
        <v>145</v>
      </c>
      <c r="P145" s="1" t="s">
        <v>146</v>
      </c>
      <c r="Q145" s="1" t="s">
        <v>147</v>
      </c>
      <c r="R145" s="1" t="s">
        <v>148</v>
      </c>
      <c r="S145" s="44">
        <v>0</v>
      </c>
      <c r="T145" s="44">
        <v>0</v>
      </c>
      <c r="U145" s="44">
        <v>0</v>
      </c>
      <c r="V145" s="44">
        <v>0</v>
      </c>
      <c r="W145" s="44">
        <v>0</v>
      </c>
      <c r="X145" s="45">
        <v>656.25</v>
      </c>
      <c r="Y145" s="45">
        <v>7053375</v>
      </c>
      <c r="Z145" s="45"/>
      <c r="AA145" s="46">
        <v>7053375</v>
      </c>
    </row>
    <row r="146" spans="1:27" ht="15" customHeight="1">
      <c r="A146" s="1">
        <v>20</v>
      </c>
      <c r="B146" s="1" t="s">
        <v>279</v>
      </c>
      <c r="C146" s="1" t="s">
        <v>280</v>
      </c>
      <c r="D146" s="1" t="s">
        <v>182</v>
      </c>
      <c r="E146" s="1" t="s">
        <v>280</v>
      </c>
      <c r="F146" s="1" t="s">
        <v>153</v>
      </c>
      <c r="G146" s="1" t="s">
        <v>141</v>
      </c>
      <c r="H146" s="1">
        <v>1261</v>
      </c>
      <c r="I146" s="1" t="s">
        <v>53</v>
      </c>
      <c r="J146" s="1">
        <v>645</v>
      </c>
      <c r="K146" s="1" t="s">
        <v>142</v>
      </c>
      <c r="L146" s="1">
        <v>1001016353</v>
      </c>
      <c r="M146" s="1" t="s">
        <v>282</v>
      </c>
      <c r="N146" s="1" t="s">
        <v>144</v>
      </c>
      <c r="O146" s="1" t="s">
        <v>145</v>
      </c>
      <c r="P146" s="1" t="s">
        <v>146</v>
      </c>
      <c r="Q146" s="1" t="s">
        <v>147</v>
      </c>
      <c r="R146" s="1" t="s">
        <v>148</v>
      </c>
      <c r="S146" s="44">
        <v>0</v>
      </c>
      <c r="T146" s="44">
        <v>0</v>
      </c>
      <c r="U146" s="44">
        <v>0</v>
      </c>
      <c r="V146" s="44">
        <v>0</v>
      </c>
      <c r="W146" s="44">
        <v>0</v>
      </c>
      <c r="X146" s="45">
        <v>938</v>
      </c>
      <c r="Y146" s="45">
        <v>10929375</v>
      </c>
      <c r="Z146" s="45"/>
      <c r="AA146" s="46">
        <v>10929375</v>
      </c>
    </row>
    <row r="147" spans="1:27" ht="15" customHeight="1">
      <c r="A147" s="1">
        <v>20</v>
      </c>
      <c r="B147" s="1" t="s">
        <v>279</v>
      </c>
      <c r="C147" s="1" t="s">
        <v>280</v>
      </c>
      <c r="D147" s="1" t="s">
        <v>182</v>
      </c>
      <c r="E147" s="1" t="s">
        <v>280</v>
      </c>
      <c r="F147" s="1" t="s">
        <v>140</v>
      </c>
      <c r="G147" s="1" t="s">
        <v>141</v>
      </c>
      <c r="H147" s="1">
        <v>1574</v>
      </c>
      <c r="I147" s="1" t="s">
        <v>54</v>
      </c>
      <c r="J147" s="1">
        <v>529</v>
      </c>
      <c r="K147" s="1" t="s">
        <v>142</v>
      </c>
      <c r="L147" s="1">
        <v>1001017354</v>
      </c>
      <c r="M147" s="1" t="s">
        <v>283</v>
      </c>
      <c r="N147" s="1" t="s">
        <v>144</v>
      </c>
      <c r="O147" s="1" t="s">
        <v>145</v>
      </c>
      <c r="P147" s="1" t="s">
        <v>146</v>
      </c>
      <c r="Q147" s="1" t="s">
        <v>147</v>
      </c>
      <c r="R147" s="1" t="s">
        <v>148</v>
      </c>
      <c r="S147" s="44">
        <v>0</v>
      </c>
      <c r="T147" s="44">
        <v>0</v>
      </c>
      <c r="U147" s="44">
        <v>0</v>
      </c>
      <c r="V147" s="44">
        <v>0</v>
      </c>
      <c r="W147" s="44">
        <v>0</v>
      </c>
      <c r="X147" s="45">
        <v>1750</v>
      </c>
      <c r="Y147" s="45">
        <v>21568750</v>
      </c>
      <c r="Z147" s="45"/>
      <c r="AA147" s="46">
        <v>21568750</v>
      </c>
    </row>
    <row r="148" spans="1:27" ht="15" customHeight="1">
      <c r="A148" s="1">
        <v>20</v>
      </c>
      <c r="B148" s="1" t="s">
        <v>279</v>
      </c>
      <c r="C148" s="1" t="s">
        <v>280</v>
      </c>
      <c r="D148" s="1" t="s">
        <v>182</v>
      </c>
      <c r="E148" s="1" t="s">
        <v>280</v>
      </c>
      <c r="F148" s="1" t="s">
        <v>140</v>
      </c>
      <c r="G148" s="1" t="s">
        <v>141</v>
      </c>
      <c r="H148" s="1">
        <v>1005000696</v>
      </c>
      <c r="I148" s="1" t="s">
        <v>55</v>
      </c>
      <c r="J148" s="1">
        <v>291</v>
      </c>
      <c r="K148" s="1" t="s">
        <v>142</v>
      </c>
      <c r="L148" s="1">
        <v>1001019969</v>
      </c>
      <c r="M148" s="1" t="s">
        <v>284</v>
      </c>
      <c r="N148" s="1" t="s">
        <v>144</v>
      </c>
      <c r="O148" s="1" t="s">
        <v>145</v>
      </c>
      <c r="P148" s="1" t="s">
        <v>146</v>
      </c>
      <c r="Q148" s="1" t="s">
        <v>147</v>
      </c>
      <c r="R148" s="1" t="s">
        <v>148</v>
      </c>
      <c r="S148" s="44">
        <v>0</v>
      </c>
      <c r="T148" s="44">
        <v>0</v>
      </c>
      <c r="U148" s="44">
        <v>0</v>
      </c>
      <c r="V148" s="44">
        <v>0</v>
      </c>
      <c r="W148" s="44">
        <v>0</v>
      </c>
      <c r="X148" s="45">
        <v>787.5</v>
      </c>
      <c r="Y148" s="45">
        <v>12305475</v>
      </c>
      <c r="Z148" s="45"/>
      <c r="AA148" s="46">
        <v>12305475</v>
      </c>
    </row>
    <row r="149" spans="1:27" ht="15" customHeight="1">
      <c r="A149" s="1">
        <v>20</v>
      </c>
      <c r="B149" s="1" t="s">
        <v>279</v>
      </c>
      <c r="C149" s="1" t="s">
        <v>280</v>
      </c>
      <c r="D149" s="1" t="s">
        <v>182</v>
      </c>
      <c r="E149" s="1" t="s">
        <v>280</v>
      </c>
      <c r="F149" s="1" t="s">
        <v>140</v>
      </c>
      <c r="G149" s="1" t="s">
        <v>141</v>
      </c>
      <c r="H149" s="1">
        <v>1005000705</v>
      </c>
      <c r="I149" s="1" t="s">
        <v>56</v>
      </c>
      <c r="J149" s="1">
        <v>290</v>
      </c>
      <c r="K149" s="1" t="s">
        <v>142</v>
      </c>
      <c r="L149" s="1">
        <v>1001020528</v>
      </c>
      <c r="M149" s="1" t="s">
        <v>285</v>
      </c>
      <c r="N149" s="1" t="s">
        <v>144</v>
      </c>
      <c r="O149" s="1" t="s">
        <v>145</v>
      </c>
      <c r="P149" s="1" t="s">
        <v>146</v>
      </c>
      <c r="Q149" s="1" t="s">
        <v>147</v>
      </c>
      <c r="R149" s="1" t="s">
        <v>148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5">
        <v>2850</v>
      </c>
      <c r="Y149" s="45">
        <v>38081700</v>
      </c>
      <c r="Z149" s="45"/>
      <c r="AA149" s="46">
        <v>38081700</v>
      </c>
    </row>
    <row r="150" spans="1:27" ht="15" customHeight="1">
      <c r="A150" s="1">
        <v>20</v>
      </c>
      <c r="B150" s="1" t="s">
        <v>279</v>
      </c>
      <c r="C150" s="1" t="s">
        <v>280</v>
      </c>
      <c r="D150" s="1" t="s">
        <v>182</v>
      </c>
      <c r="E150" s="1" t="s">
        <v>280</v>
      </c>
      <c r="F150" s="1" t="s">
        <v>140</v>
      </c>
      <c r="G150" s="1" t="s">
        <v>141</v>
      </c>
      <c r="H150" s="1">
        <v>1005002348</v>
      </c>
      <c r="I150" s="1" t="s">
        <v>57</v>
      </c>
      <c r="J150" s="1">
        <v>28</v>
      </c>
      <c r="K150" s="1" t="s">
        <v>142</v>
      </c>
      <c r="L150" s="1">
        <v>1001025203</v>
      </c>
      <c r="M150" s="1" t="s">
        <v>286</v>
      </c>
      <c r="N150" s="1" t="s">
        <v>144</v>
      </c>
      <c r="O150" s="1" t="s">
        <v>145</v>
      </c>
      <c r="P150" s="1" t="s">
        <v>146</v>
      </c>
      <c r="Q150" s="1" t="s">
        <v>147</v>
      </c>
      <c r="R150" s="1" t="s">
        <v>148</v>
      </c>
      <c r="S150" s="44">
        <v>5.35</v>
      </c>
      <c r="T150" s="44">
        <v>0.28000000000000003</v>
      </c>
      <c r="U150" s="44">
        <v>0</v>
      </c>
      <c r="V150" s="44">
        <v>0</v>
      </c>
      <c r="W150" s="44">
        <v>0</v>
      </c>
      <c r="X150" s="45">
        <v>2187.5</v>
      </c>
      <c r="Y150" s="45">
        <v>31171875</v>
      </c>
      <c r="Z150" s="45"/>
      <c r="AA150" s="46">
        <v>31171875</v>
      </c>
    </row>
    <row r="151" spans="1:27" ht="15" customHeight="1">
      <c r="A151" s="1">
        <v>20</v>
      </c>
      <c r="B151" s="1" t="s">
        <v>279</v>
      </c>
      <c r="C151" s="1" t="s">
        <v>280</v>
      </c>
      <c r="D151" s="1" t="s">
        <v>182</v>
      </c>
      <c r="E151" s="1" t="s">
        <v>280</v>
      </c>
      <c r="F151" s="1" t="s">
        <v>140</v>
      </c>
      <c r="G151" s="1" t="s">
        <v>141</v>
      </c>
      <c r="H151" s="1">
        <v>1005002342</v>
      </c>
      <c r="I151" s="1" t="s">
        <v>42</v>
      </c>
      <c r="J151" s="1">
        <v>29</v>
      </c>
      <c r="K151" s="1" t="s">
        <v>142</v>
      </c>
      <c r="L151" s="1">
        <v>1001025925</v>
      </c>
      <c r="M151" s="1" t="s">
        <v>287</v>
      </c>
      <c r="N151" s="1" t="s">
        <v>144</v>
      </c>
      <c r="O151" s="1" t="s">
        <v>145</v>
      </c>
      <c r="P151" s="1" t="s">
        <v>146</v>
      </c>
      <c r="Q151" s="1" t="s">
        <v>147</v>
      </c>
      <c r="R151" s="1" t="s">
        <v>148</v>
      </c>
      <c r="S151" s="44">
        <v>5.92</v>
      </c>
      <c r="T151" s="44">
        <v>0.33</v>
      </c>
      <c r="U151" s="44">
        <v>0</v>
      </c>
      <c r="V151" s="44">
        <v>0</v>
      </c>
      <c r="W151" s="44">
        <v>0</v>
      </c>
      <c r="X151" s="45">
        <v>3937.5</v>
      </c>
      <c r="Y151" s="45">
        <v>53069625</v>
      </c>
      <c r="Z151" s="45"/>
      <c r="AA151" s="46">
        <v>53069625</v>
      </c>
    </row>
    <row r="152" spans="1:27" ht="15" customHeight="1">
      <c r="A152" s="1">
        <v>20</v>
      </c>
      <c r="B152" s="1" t="s">
        <v>279</v>
      </c>
      <c r="C152" s="1" t="s">
        <v>280</v>
      </c>
      <c r="D152" s="1" t="s">
        <v>182</v>
      </c>
      <c r="E152" s="1" t="s">
        <v>280</v>
      </c>
      <c r="F152" s="1" t="s">
        <v>140</v>
      </c>
      <c r="G152" s="1" t="s">
        <v>141</v>
      </c>
      <c r="H152" s="1">
        <v>1005002340</v>
      </c>
      <c r="I152" s="1" t="s">
        <v>42</v>
      </c>
      <c r="J152" s="1">
        <v>29</v>
      </c>
      <c r="K152" s="1" t="s">
        <v>142</v>
      </c>
      <c r="L152" s="1">
        <v>1001026192</v>
      </c>
      <c r="M152" s="1" t="s">
        <v>288</v>
      </c>
      <c r="N152" s="1" t="s">
        <v>144</v>
      </c>
      <c r="O152" s="1" t="s">
        <v>145</v>
      </c>
      <c r="P152" s="1" t="s">
        <v>146</v>
      </c>
      <c r="Q152" s="1" t="s">
        <v>147</v>
      </c>
      <c r="R152" s="1" t="s">
        <v>148</v>
      </c>
      <c r="S152" s="44">
        <v>5.0599999999999996</v>
      </c>
      <c r="T152" s="44">
        <v>0.2</v>
      </c>
      <c r="U152" s="44">
        <v>0</v>
      </c>
      <c r="V152" s="44">
        <v>0</v>
      </c>
      <c r="W152" s="44">
        <v>0</v>
      </c>
      <c r="X152" s="45">
        <v>612.25</v>
      </c>
      <c r="Y152" s="45">
        <v>8303663</v>
      </c>
      <c r="Z152" s="45"/>
      <c r="AA152" s="46">
        <v>8303663</v>
      </c>
    </row>
    <row r="153" spans="1:27" ht="15" customHeight="1">
      <c r="A153" s="56"/>
      <c r="B153" s="56" t="s">
        <v>149</v>
      </c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7"/>
      <c r="T153" s="57"/>
      <c r="U153" s="57"/>
      <c r="V153" s="57"/>
      <c r="W153" s="57"/>
      <c r="X153" s="58">
        <f>SUM(X145:X152)</f>
        <v>13719</v>
      </c>
      <c r="Y153" s="58">
        <f t="shared" ref="Y153:AA153" si="19">SUM(Y145:Y152)</f>
        <v>182483838</v>
      </c>
      <c r="Z153" s="58">
        <f t="shared" si="19"/>
        <v>0</v>
      </c>
      <c r="AA153" s="58">
        <f t="shared" si="19"/>
        <v>182483838</v>
      </c>
    </row>
    <row r="154" spans="1:27" ht="15" customHeight="1">
      <c r="A154" s="1">
        <v>21</v>
      </c>
      <c r="B154" s="1" t="s">
        <v>289</v>
      </c>
      <c r="C154" s="1" t="s">
        <v>290</v>
      </c>
      <c r="D154" s="1" t="s">
        <v>182</v>
      </c>
      <c r="E154" s="1" t="s">
        <v>290</v>
      </c>
      <c r="F154" s="1" t="s">
        <v>183</v>
      </c>
      <c r="G154" s="1" t="s">
        <v>141</v>
      </c>
      <c r="H154" s="1">
        <v>414</v>
      </c>
      <c r="I154" s="1" t="s">
        <v>58</v>
      </c>
      <c r="J154" s="1">
        <v>1041</v>
      </c>
      <c r="K154" s="1" t="s">
        <v>142</v>
      </c>
      <c r="L154" s="1">
        <v>1001006442</v>
      </c>
      <c r="M154" s="1" t="s">
        <v>291</v>
      </c>
      <c r="N154" s="1" t="s">
        <v>144</v>
      </c>
      <c r="O154" s="1" t="s">
        <v>145</v>
      </c>
      <c r="P154" s="1" t="s">
        <v>146</v>
      </c>
      <c r="Q154" s="1" t="s">
        <v>147</v>
      </c>
      <c r="R154" s="1" t="s">
        <v>148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5">
        <v>18965</v>
      </c>
      <c r="Y154" s="45">
        <v>158227498</v>
      </c>
      <c r="Z154" s="45"/>
      <c r="AA154" s="46">
        <v>158227498</v>
      </c>
    </row>
    <row r="155" spans="1:27" ht="15" customHeight="1">
      <c r="A155" s="56"/>
      <c r="B155" s="56" t="s">
        <v>149</v>
      </c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7"/>
      <c r="T155" s="57"/>
      <c r="U155" s="57"/>
      <c r="V155" s="57"/>
      <c r="W155" s="57"/>
      <c r="X155" s="58">
        <f>SUM(X154)</f>
        <v>18965</v>
      </c>
      <c r="Y155" s="58">
        <f t="shared" ref="Y155:AA155" si="20">SUM(Y154)</f>
        <v>158227498</v>
      </c>
      <c r="Z155" s="58">
        <f t="shared" si="20"/>
        <v>0</v>
      </c>
      <c r="AA155" s="58">
        <f t="shared" si="20"/>
        <v>158227498</v>
      </c>
    </row>
    <row r="156" spans="1:27" ht="15" customHeight="1">
      <c r="A156" s="1">
        <v>22</v>
      </c>
      <c r="B156" s="1" t="s">
        <v>292</v>
      </c>
      <c r="C156" s="1" t="s">
        <v>293</v>
      </c>
      <c r="D156" s="1" t="s">
        <v>294</v>
      </c>
      <c r="E156" s="1" t="s">
        <v>293</v>
      </c>
      <c r="F156" s="1" t="s">
        <v>153</v>
      </c>
      <c r="G156" s="1" t="s">
        <v>141</v>
      </c>
      <c r="H156" s="1">
        <v>9085000058</v>
      </c>
      <c r="I156" s="1" t="s">
        <v>59</v>
      </c>
      <c r="J156" s="1">
        <v>310</v>
      </c>
      <c r="K156" s="1" t="s">
        <v>142</v>
      </c>
      <c r="L156" s="1">
        <v>9081000854</v>
      </c>
      <c r="M156" s="1" t="s">
        <v>295</v>
      </c>
      <c r="N156" s="1" t="s">
        <v>296</v>
      </c>
      <c r="O156" s="1" t="s">
        <v>297</v>
      </c>
      <c r="P156" s="1" t="s">
        <v>146</v>
      </c>
      <c r="Q156" s="1" t="s">
        <v>147</v>
      </c>
      <c r="R156" s="1" t="s">
        <v>160</v>
      </c>
      <c r="S156" s="44">
        <v>52.66</v>
      </c>
      <c r="T156" s="44">
        <v>2.06</v>
      </c>
      <c r="U156" s="44">
        <v>0</v>
      </c>
      <c r="V156" s="44">
        <v>0</v>
      </c>
      <c r="W156" s="44">
        <v>0</v>
      </c>
      <c r="X156" s="45">
        <v>1678.99</v>
      </c>
      <c r="Y156" s="45">
        <v>19308374</v>
      </c>
      <c r="Z156" s="45"/>
      <c r="AA156" s="46">
        <v>19308374</v>
      </c>
    </row>
    <row r="157" spans="1:27" ht="15" customHeight="1">
      <c r="A157" s="56"/>
      <c r="B157" s="56" t="s">
        <v>149</v>
      </c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7"/>
      <c r="T157" s="57"/>
      <c r="U157" s="57"/>
      <c r="V157" s="57"/>
      <c r="W157" s="57"/>
      <c r="X157" s="58">
        <f>SUM(X156)</f>
        <v>1678.99</v>
      </c>
      <c r="Y157" s="58">
        <f t="shared" ref="Y157:AA157" si="21">SUM(Y156)</f>
        <v>19308374</v>
      </c>
      <c r="Z157" s="58">
        <f t="shared" si="21"/>
        <v>0</v>
      </c>
      <c r="AA157" s="58">
        <f t="shared" si="21"/>
        <v>19308374</v>
      </c>
    </row>
    <row r="158" spans="1:27" ht="15" customHeight="1">
      <c r="A158" s="1">
        <v>23</v>
      </c>
      <c r="B158" s="1" t="s">
        <v>298</v>
      </c>
      <c r="C158" s="1" t="s">
        <v>299</v>
      </c>
      <c r="D158" s="1" t="s">
        <v>225</v>
      </c>
      <c r="E158" s="1" t="s">
        <v>299</v>
      </c>
      <c r="F158" s="1" t="s">
        <v>140</v>
      </c>
      <c r="G158" s="1" t="s">
        <v>141</v>
      </c>
      <c r="H158" s="1">
        <v>1365000220</v>
      </c>
      <c r="I158" s="1" t="s">
        <v>31</v>
      </c>
      <c r="J158" s="1">
        <v>18</v>
      </c>
      <c r="K158" s="1" t="s">
        <v>226</v>
      </c>
      <c r="L158" s="1">
        <v>1361001856</v>
      </c>
      <c r="M158" s="1" t="s">
        <v>300</v>
      </c>
      <c r="N158" s="1" t="s">
        <v>178</v>
      </c>
      <c r="O158" s="1" t="s">
        <v>179</v>
      </c>
      <c r="P158" s="1" t="s">
        <v>146</v>
      </c>
      <c r="Q158" s="1" t="s">
        <v>147</v>
      </c>
      <c r="R158" s="1" t="s">
        <v>228</v>
      </c>
      <c r="S158" s="44">
        <v>0</v>
      </c>
      <c r="T158" s="44">
        <v>20.54</v>
      </c>
      <c r="U158" s="44">
        <v>0.93</v>
      </c>
      <c r="V158" s="44">
        <v>0</v>
      </c>
      <c r="W158" s="44">
        <v>0</v>
      </c>
      <c r="X158" s="45">
        <v>317.60000000000002</v>
      </c>
      <c r="Y158" s="45">
        <v>260432</v>
      </c>
      <c r="Z158" s="45"/>
      <c r="AA158" s="46">
        <v>260432</v>
      </c>
    </row>
    <row r="159" spans="1:27" ht="15" customHeight="1">
      <c r="A159" s="56"/>
      <c r="B159" s="56" t="s">
        <v>149</v>
      </c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7"/>
      <c r="T159" s="57"/>
      <c r="U159" s="57"/>
      <c r="V159" s="57"/>
      <c r="W159" s="57"/>
      <c r="X159" s="58">
        <f>SUM(X158)</f>
        <v>317.60000000000002</v>
      </c>
      <c r="Y159" s="58">
        <f t="shared" ref="Y159:AA159" si="22">SUM(Y158)</f>
        <v>260432</v>
      </c>
      <c r="Z159" s="58">
        <f t="shared" si="22"/>
        <v>0</v>
      </c>
      <c r="AA159" s="58">
        <f t="shared" si="22"/>
        <v>260432</v>
      </c>
    </row>
    <row r="160" spans="1:27" ht="15" customHeight="1">
      <c r="A160" s="1">
        <v>24</v>
      </c>
      <c r="B160" s="1" t="s">
        <v>301</v>
      </c>
      <c r="C160" s="1" t="s">
        <v>302</v>
      </c>
      <c r="D160" s="1" t="s">
        <v>0</v>
      </c>
      <c r="E160" s="1" t="s">
        <v>302</v>
      </c>
      <c r="F160" s="1" t="s">
        <v>140</v>
      </c>
      <c r="G160" s="1" t="s">
        <v>141</v>
      </c>
      <c r="H160" s="1">
        <v>1005002321</v>
      </c>
      <c r="I160" s="1" t="s">
        <v>10</v>
      </c>
      <c r="J160" s="1">
        <v>31</v>
      </c>
      <c r="K160" s="1" t="s">
        <v>142</v>
      </c>
      <c r="L160" s="1">
        <v>1001027143</v>
      </c>
      <c r="M160" s="1" t="s">
        <v>303</v>
      </c>
      <c r="N160" s="1" t="s">
        <v>144</v>
      </c>
      <c r="O160" s="1" t="s">
        <v>145</v>
      </c>
      <c r="P160" s="1" t="s">
        <v>146</v>
      </c>
      <c r="Q160" s="1" t="s">
        <v>147</v>
      </c>
      <c r="R160" s="1" t="s">
        <v>148</v>
      </c>
      <c r="S160" s="44">
        <v>5.16</v>
      </c>
      <c r="T160" s="44">
        <v>0.23</v>
      </c>
      <c r="U160" s="44">
        <v>0</v>
      </c>
      <c r="V160" s="44">
        <v>0</v>
      </c>
      <c r="W160" s="44">
        <v>0</v>
      </c>
      <c r="X160" s="45">
        <v>509505</v>
      </c>
      <c r="Y160" s="45">
        <v>57577200</v>
      </c>
      <c r="Z160" s="45"/>
      <c r="AA160" s="46">
        <v>57577200</v>
      </c>
    </row>
    <row r="161" spans="1:27" ht="15" customHeight="1">
      <c r="A161" s="1">
        <v>24</v>
      </c>
      <c r="B161" s="1" t="s">
        <v>301</v>
      </c>
      <c r="C161" s="1" t="s">
        <v>302</v>
      </c>
      <c r="D161" s="1" t="s">
        <v>0</v>
      </c>
      <c r="E161" s="1" t="s">
        <v>302</v>
      </c>
      <c r="F161" s="1" t="s">
        <v>153</v>
      </c>
      <c r="G161" s="1" t="s">
        <v>141</v>
      </c>
      <c r="H161" s="1">
        <v>1005002374</v>
      </c>
      <c r="I161" s="1" t="s">
        <v>60</v>
      </c>
      <c r="J161" s="1">
        <v>21</v>
      </c>
      <c r="K161" s="1" t="s">
        <v>142</v>
      </c>
      <c r="L161" s="1">
        <v>1001027298</v>
      </c>
      <c r="M161" s="1" t="s">
        <v>304</v>
      </c>
      <c r="N161" s="1" t="s">
        <v>144</v>
      </c>
      <c r="O161" s="1" t="s">
        <v>145</v>
      </c>
      <c r="P161" s="1" t="s">
        <v>146</v>
      </c>
      <c r="Q161" s="1" t="s">
        <v>147</v>
      </c>
      <c r="R161" s="1" t="s">
        <v>148</v>
      </c>
      <c r="S161" s="44">
        <v>5.49</v>
      </c>
      <c r="T161" s="44">
        <v>0.25</v>
      </c>
      <c r="U161" s="44">
        <v>0</v>
      </c>
      <c r="V161" s="44">
        <v>0</v>
      </c>
      <c r="W161" s="44">
        <v>0</v>
      </c>
      <c r="X161" s="45">
        <v>661939</v>
      </c>
      <c r="Y161" s="45">
        <v>106367200</v>
      </c>
      <c r="Z161" s="45"/>
      <c r="AA161" s="46">
        <v>106367200</v>
      </c>
    </row>
    <row r="162" spans="1:27" ht="15" customHeight="1">
      <c r="A162" s="1">
        <v>24</v>
      </c>
      <c r="B162" s="1" t="s">
        <v>301</v>
      </c>
      <c r="C162" s="1" t="s">
        <v>302</v>
      </c>
      <c r="D162" s="1" t="s">
        <v>0</v>
      </c>
      <c r="E162" s="1" t="s">
        <v>302</v>
      </c>
      <c r="F162" s="1" t="s">
        <v>140</v>
      </c>
      <c r="G162" s="1" t="s">
        <v>141</v>
      </c>
      <c r="H162" s="1">
        <v>1005002470</v>
      </c>
      <c r="I162" s="1" t="s">
        <v>28</v>
      </c>
      <c r="J162" s="1">
        <v>8</v>
      </c>
      <c r="K162" s="1" t="s">
        <v>142</v>
      </c>
      <c r="L162" s="1">
        <v>1001027479</v>
      </c>
      <c r="M162" s="1" t="s">
        <v>305</v>
      </c>
      <c r="N162" s="1" t="s">
        <v>144</v>
      </c>
      <c r="O162" s="1" t="s">
        <v>145</v>
      </c>
      <c r="P162" s="1" t="s">
        <v>146</v>
      </c>
      <c r="Q162" s="1" t="s">
        <v>147</v>
      </c>
      <c r="R162" s="1" t="s">
        <v>148</v>
      </c>
      <c r="S162" s="44">
        <v>5.08</v>
      </c>
      <c r="T162" s="44">
        <v>0.21</v>
      </c>
      <c r="U162" s="44">
        <v>0</v>
      </c>
      <c r="V162" s="44">
        <v>0</v>
      </c>
      <c r="W162" s="44">
        <v>0</v>
      </c>
      <c r="X162" s="45">
        <v>75562</v>
      </c>
      <c r="Y162" s="45">
        <v>7556200</v>
      </c>
      <c r="Z162" s="45"/>
      <c r="AA162" s="46">
        <v>7556200</v>
      </c>
    </row>
    <row r="163" spans="1:27" ht="15" customHeight="1">
      <c r="A163" s="56"/>
      <c r="B163" s="56" t="s">
        <v>149</v>
      </c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7"/>
      <c r="T163" s="57"/>
      <c r="U163" s="57"/>
      <c r="V163" s="57"/>
      <c r="W163" s="57"/>
      <c r="X163" s="58">
        <f>SUM(X160:X162)</f>
        <v>1247006</v>
      </c>
      <c r="Y163" s="58">
        <f t="shared" ref="Y163:AA163" si="23">SUM(Y160:Y162)</f>
        <v>171500600</v>
      </c>
      <c r="Z163" s="58">
        <f t="shared" si="23"/>
        <v>0</v>
      </c>
      <c r="AA163" s="58">
        <f t="shared" si="23"/>
        <v>171500600</v>
      </c>
    </row>
    <row r="164" spans="1:27" ht="15" customHeight="1">
      <c r="A164" s="1">
        <v>25</v>
      </c>
      <c r="B164" s="1" t="s">
        <v>306</v>
      </c>
      <c r="C164" s="1" t="s">
        <v>307</v>
      </c>
      <c r="D164" s="1" t="s">
        <v>252</v>
      </c>
      <c r="E164" s="1" t="s">
        <v>307</v>
      </c>
      <c r="F164" s="1" t="s">
        <v>153</v>
      </c>
      <c r="G164" s="1" t="s">
        <v>141</v>
      </c>
      <c r="H164" s="1">
        <v>1005002146</v>
      </c>
      <c r="I164" s="1" t="s">
        <v>61</v>
      </c>
      <c r="J164" s="1">
        <v>53</v>
      </c>
      <c r="K164" s="1" t="s">
        <v>142</v>
      </c>
      <c r="L164" s="1">
        <v>1001026977</v>
      </c>
      <c r="M164" s="1" t="s">
        <v>308</v>
      </c>
      <c r="N164" s="1" t="s">
        <v>144</v>
      </c>
      <c r="O164" s="1" t="s">
        <v>145</v>
      </c>
      <c r="P164" s="1" t="s">
        <v>146</v>
      </c>
      <c r="Q164" s="1" t="s">
        <v>147</v>
      </c>
      <c r="R164" s="1" t="s">
        <v>148</v>
      </c>
      <c r="S164" s="44">
        <v>5.27</v>
      </c>
      <c r="T164" s="44">
        <v>0.26</v>
      </c>
      <c r="U164" s="44">
        <v>0</v>
      </c>
      <c r="V164" s="44">
        <v>0</v>
      </c>
      <c r="W164" s="44">
        <v>0</v>
      </c>
      <c r="X164" s="45">
        <v>109453</v>
      </c>
      <c r="Y164" s="45">
        <v>4229575</v>
      </c>
      <c r="Z164" s="45"/>
      <c r="AA164" s="46">
        <v>4229575</v>
      </c>
    </row>
    <row r="165" spans="1:27" ht="15" customHeight="1">
      <c r="A165" s="1">
        <v>25</v>
      </c>
      <c r="B165" s="1" t="s">
        <v>306</v>
      </c>
      <c r="C165" s="1" t="s">
        <v>307</v>
      </c>
      <c r="D165" s="1" t="s">
        <v>252</v>
      </c>
      <c r="E165" s="1" t="s">
        <v>307</v>
      </c>
      <c r="F165" s="1" t="s">
        <v>153</v>
      </c>
      <c r="G165" s="1" t="s">
        <v>141</v>
      </c>
      <c r="H165" s="1">
        <v>1005002148</v>
      </c>
      <c r="I165" s="1" t="s">
        <v>62</v>
      </c>
      <c r="J165" s="1">
        <v>52</v>
      </c>
      <c r="K165" s="1" t="s">
        <v>142</v>
      </c>
      <c r="L165" s="1">
        <v>1001026910</v>
      </c>
      <c r="M165" s="1" t="s">
        <v>309</v>
      </c>
      <c r="N165" s="1" t="s">
        <v>144</v>
      </c>
      <c r="O165" s="1" t="s">
        <v>145</v>
      </c>
      <c r="P165" s="1" t="s">
        <v>146</v>
      </c>
      <c r="Q165" s="1" t="s">
        <v>147</v>
      </c>
      <c r="R165" s="1" t="s">
        <v>148</v>
      </c>
      <c r="S165" s="44">
        <v>5.46</v>
      </c>
      <c r="T165" s="44">
        <v>0.26</v>
      </c>
      <c r="U165" s="44">
        <v>0</v>
      </c>
      <c r="V165" s="44">
        <v>0.01</v>
      </c>
      <c r="W165" s="44">
        <v>0</v>
      </c>
      <c r="X165" s="45">
        <v>497394</v>
      </c>
      <c r="Y165" s="45">
        <v>26301200</v>
      </c>
      <c r="Z165" s="45"/>
      <c r="AA165" s="46">
        <v>26301200</v>
      </c>
    </row>
    <row r="166" spans="1:27" ht="15" customHeight="1">
      <c r="A166" s="1">
        <v>25</v>
      </c>
      <c r="B166" s="1" t="s">
        <v>306</v>
      </c>
      <c r="C166" s="1" t="s">
        <v>307</v>
      </c>
      <c r="D166" s="1" t="s">
        <v>252</v>
      </c>
      <c r="E166" s="1" t="s">
        <v>307</v>
      </c>
      <c r="F166" s="1" t="s">
        <v>140</v>
      </c>
      <c r="G166" s="1" t="s">
        <v>141</v>
      </c>
      <c r="H166" s="1">
        <v>1005002171</v>
      </c>
      <c r="I166" s="1" t="s">
        <v>63</v>
      </c>
      <c r="J166" s="1">
        <v>51</v>
      </c>
      <c r="K166" s="1" t="s">
        <v>142</v>
      </c>
      <c r="L166" s="1">
        <v>1001026995</v>
      </c>
      <c r="M166" s="1" t="s">
        <v>310</v>
      </c>
      <c r="N166" s="1" t="s">
        <v>144</v>
      </c>
      <c r="O166" s="1" t="s">
        <v>145</v>
      </c>
      <c r="P166" s="1" t="s">
        <v>146</v>
      </c>
      <c r="Q166" s="1" t="s">
        <v>147</v>
      </c>
      <c r="R166" s="1" t="s">
        <v>148</v>
      </c>
      <c r="S166" s="44">
        <v>5.23</v>
      </c>
      <c r="T166" s="44">
        <v>0.27</v>
      </c>
      <c r="U166" s="44">
        <v>0</v>
      </c>
      <c r="V166" s="44">
        <v>0</v>
      </c>
      <c r="W166" s="44">
        <v>0</v>
      </c>
      <c r="X166" s="45">
        <v>226430</v>
      </c>
      <c r="Y166" s="45">
        <v>7383000</v>
      </c>
      <c r="Z166" s="45"/>
      <c r="AA166" s="46">
        <v>7383000</v>
      </c>
    </row>
    <row r="167" spans="1:27" ht="15" customHeight="1">
      <c r="A167" s="1">
        <v>25</v>
      </c>
      <c r="B167" s="1" t="s">
        <v>306</v>
      </c>
      <c r="C167" s="1" t="s">
        <v>307</v>
      </c>
      <c r="D167" s="1" t="s">
        <v>252</v>
      </c>
      <c r="E167" s="1" t="s">
        <v>307</v>
      </c>
      <c r="F167" s="1" t="s">
        <v>140</v>
      </c>
      <c r="G167" s="1" t="s">
        <v>141</v>
      </c>
      <c r="H167" s="1">
        <v>1005002178</v>
      </c>
      <c r="I167" s="1" t="s">
        <v>64</v>
      </c>
      <c r="J167" s="1">
        <v>50</v>
      </c>
      <c r="K167" s="1" t="s">
        <v>142</v>
      </c>
      <c r="L167" s="1">
        <v>1001026911</v>
      </c>
      <c r="M167" s="1" t="s">
        <v>311</v>
      </c>
      <c r="N167" s="1" t="s">
        <v>144</v>
      </c>
      <c r="O167" s="1" t="s">
        <v>145</v>
      </c>
      <c r="P167" s="1" t="s">
        <v>146</v>
      </c>
      <c r="Q167" s="1" t="s">
        <v>147</v>
      </c>
      <c r="R167" s="1" t="s">
        <v>148</v>
      </c>
      <c r="S167" s="44">
        <v>5.34</v>
      </c>
      <c r="T167" s="44">
        <v>0.28000000000000003</v>
      </c>
      <c r="U167" s="44">
        <v>0</v>
      </c>
      <c r="V167" s="44">
        <v>0</v>
      </c>
      <c r="W167" s="44">
        <v>0</v>
      </c>
      <c r="X167" s="45">
        <v>497527</v>
      </c>
      <c r="Y167" s="45">
        <v>23072025</v>
      </c>
      <c r="Z167" s="45"/>
      <c r="AA167" s="46">
        <v>23072025</v>
      </c>
    </row>
    <row r="168" spans="1:27" ht="15" customHeight="1">
      <c r="A168" s="1">
        <v>25</v>
      </c>
      <c r="B168" s="1" t="s">
        <v>306</v>
      </c>
      <c r="C168" s="1" t="s">
        <v>307</v>
      </c>
      <c r="D168" s="1" t="s">
        <v>252</v>
      </c>
      <c r="E168" s="1" t="s">
        <v>307</v>
      </c>
      <c r="F168" s="1" t="s">
        <v>140</v>
      </c>
      <c r="G168" s="1" t="s">
        <v>141</v>
      </c>
      <c r="H168" s="1">
        <v>1005002295</v>
      </c>
      <c r="I168" s="1" t="s">
        <v>65</v>
      </c>
      <c r="J168" s="1">
        <v>35</v>
      </c>
      <c r="K168" s="1" t="s">
        <v>142</v>
      </c>
      <c r="L168" s="1">
        <v>1001027287</v>
      </c>
      <c r="M168" s="1" t="s">
        <v>312</v>
      </c>
      <c r="N168" s="1" t="s">
        <v>144</v>
      </c>
      <c r="O168" s="1" t="s">
        <v>145</v>
      </c>
      <c r="P168" s="1" t="s">
        <v>146</v>
      </c>
      <c r="Q168" s="1" t="s">
        <v>147</v>
      </c>
      <c r="R168" s="1" t="s">
        <v>148</v>
      </c>
      <c r="S168" s="44">
        <v>5.0999999999999996</v>
      </c>
      <c r="T168" s="44">
        <v>0.26</v>
      </c>
      <c r="U168" s="44">
        <v>0</v>
      </c>
      <c r="V168" s="44">
        <v>0</v>
      </c>
      <c r="W168" s="44">
        <v>0</v>
      </c>
      <c r="X168" s="45">
        <v>639234</v>
      </c>
      <c r="Y168" s="45">
        <v>16595100</v>
      </c>
      <c r="Z168" s="45"/>
      <c r="AA168" s="46">
        <v>16595100</v>
      </c>
    </row>
    <row r="169" spans="1:27" ht="15" customHeight="1">
      <c r="A169" s="1">
        <v>25</v>
      </c>
      <c r="B169" s="1" t="s">
        <v>306</v>
      </c>
      <c r="C169" s="1" t="s">
        <v>307</v>
      </c>
      <c r="D169" s="1" t="s">
        <v>252</v>
      </c>
      <c r="E169" s="1" t="s">
        <v>307</v>
      </c>
      <c r="F169" s="1" t="s">
        <v>140</v>
      </c>
      <c r="G169" s="1" t="s">
        <v>141</v>
      </c>
      <c r="H169" s="1">
        <v>1005002296</v>
      </c>
      <c r="I169" s="1" t="s">
        <v>65</v>
      </c>
      <c r="J169" s="1">
        <v>35</v>
      </c>
      <c r="K169" s="1" t="s">
        <v>142</v>
      </c>
      <c r="L169" s="1">
        <v>1001027336</v>
      </c>
      <c r="M169" s="1" t="s">
        <v>313</v>
      </c>
      <c r="N169" s="1" t="s">
        <v>144</v>
      </c>
      <c r="O169" s="1" t="s">
        <v>145</v>
      </c>
      <c r="P169" s="1" t="s">
        <v>146</v>
      </c>
      <c r="Q169" s="1" t="s">
        <v>147</v>
      </c>
      <c r="R169" s="1" t="s">
        <v>148</v>
      </c>
      <c r="S169" s="44">
        <v>5.15</v>
      </c>
      <c r="T169" s="44">
        <v>0.24</v>
      </c>
      <c r="U169" s="44">
        <v>0</v>
      </c>
      <c r="V169" s="44">
        <v>0</v>
      </c>
      <c r="W169" s="44">
        <v>0</v>
      </c>
      <c r="X169" s="45">
        <v>142416</v>
      </c>
      <c r="Y169" s="45">
        <v>3560400</v>
      </c>
      <c r="Z169" s="45"/>
      <c r="AA169" s="46">
        <v>3560400</v>
      </c>
    </row>
    <row r="170" spans="1:27" ht="15" customHeight="1">
      <c r="A170" s="1">
        <v>25</v>
      </c>
      <c r="B170" s="1" t="s">
        <v>306</v>
      </c>
      <c r="C170" s="1" t="s">
        <v>307</v>
      </c>
      <c r="D170" s="1" t="s">
        <v>252</v>
      </c>
      <c r="E170" s="1" t="s">
        <v>307</v>
      </c>
      <c r="F170" s="1" t="s">
        <v>140</v>
      </c>
      <c r="G170" s="1" t="s">
        <v>141</v>
      </c>
      <c r="H170" s="1">
        <v>1005002297</v>
      </c>
      <c r="I170" s="1" t="s">
        <v>65</v>
      </c>
      <c r="J170" s="1">
        <v>35</v>
      </c>
      <c r="K170" s="1" t="s">
        <v>142</v>
      </c>
      <c r="L170" s="1">
        <v>1001027419</v>
      </c>
      <c r="M170" s="1" t="s">
        <v>314</v>
      </c>
      <c r="N170" s="1" t="s">
        <v>144</v>
      </c>
      <c r="O170" s="1" t="s">
        <v>145</v>
      </c>
      <c r="P170" s="1" t="s">
        <v>146</v>
      </c>
      <c r="Q170" s="1" t="s">
        <v>147</v>
      </c>
      <c r="R170" s="1" t="s">
        <v>148</v>
      </c>
      <c r="S170" s="44">
        <v>5.13</v>
      </c>
      <c r="T170" s="44">
        <v>0.22</v>
      </c>
      <c r="U170" s="44">
        <v>0</v>
      </c>
      <c r="V170" s="44">
        <v>0</v>
      </c>
      <c r="W170" s="44">
        <v>0</v>
      </c>
      <c r="X170" s="45">
        <v>27100</v>
      </c>
      <c r="Y170" s="45">
        <v>677500</v>
      </c>
      <c r="Z170" s="45"/>
      <c r="AA170" s="46">
        <v>677500</v>
      </c>
    </row>
    <row r="171" spans="1:27" ht="15" customHeight="1">
      <c r="A171" s="1">
        <v>25</v>
      </c>
      <c r="B171" s="1" t="s">
        <v>306</v>
      </c>
      <c r="C171" s="1" t="s">
        <v>307</v>
      </c>
      <c r="D171" s="1" t="s">
        <v>252</v>
      </c>
      <c r="E171" s="1" t="s">
        <v>307</v>
      </c>
      <c r="F171" s="1" t="s">
        <v>153</v>
      </c>
      <c r="G171" s="1" t="s">
        <v>141</v>
      </c>
      <c r="H171" s="1">
        <v>1005002308</v>
      </c>
      <c r="I171" s="1" t="s">
        <v>66</v>
      </c>
      <c r="J171" s="1">
        <v>32</v>
      </c>
      <c r="K171" s="1" t="s">
        <v>142</v>
      </c>
      <c r="L171" s="1">
        <v>1001027465</v>
      </c>
      <c r="M171" s="1" t="s">
        <v>315</v>
      </c>
      <c r="N171" s="1" t="s">
        <v>144</v>
      </c>
      <c r="O171" s="1" t="s">
        <v>145</v>
      </c>
      <c r="P171" s="1" t="s">
        <v>146</v>
      </c>
      <c r="Q171" s="1" t="s">
        <v>147</v>
      </c>
      <c r="R171" s="1" t="s">
        <v>148</v>
      </c>
      <c r="S171" s="44">
        <v>5.17</v>
      </c>
      <c r="T171" s="44">
        <v>0.25</v>
      </c>
      <c r="U171" s="44">
        <v>0</v>
      </c>
      <c r="V171" s="44">
        <v>0</v>
      </c>
      <c r="W171" s="44">
        <v>0</v>
      </c>
      <c r="X171" s="45">
        <v>385401</v>
      </c>
      <c r="Y171" s="45">
        <v>12108050</v>
      </c>
      <c r="Z171" s="45"/>
      <c r="AA171" s="46">
        <v>12108050</v>
      </c>
    </row>
    <row r="172" spans="1:27" ht="15" customHeight="1">
      <c r="A172" s="1">
        <v>25</v>
      </c>
      <c r="B172" s="1" t="s">
        <v>306</v>
      </c>
      <c r="C172" s="1" t="s">
        <v>307</v>
      </c>
      <c r="D172" s="1" t="s">
        <v>252</v>
      </c>
      <c r="E172" s="1" t="s">
        <v>307</v>
      </c>
      <c r="F172" s="1" t="s">
        <v>153</v>
      </c>
      <c r="G172" s="1" t="s">
        <v>141</v>
      </c>
      <c r="H172" s="1">
        <v>1005002310</v>
      </c>
      <c r="I172" s="1" t="s">
        <v>66</v>
      </c>
      <c r="J172" s="1">
        <v>32</v>
      </c>
      <c r="K172" s="1" t="s">
        <v>142</v>
      </c>
      <c r="L172" s="1">
        <v>1001027444</v>
      </c>
      <c r="M172" s="1" t="s">
        <v>316</v>
      </c>
      <c r="N172" s="1" t="s">
        <v>144</v>
      </c>
      <c r="O172" s="1" t="s">
        <v>145</v>
      </c>
      <c r="P172" s="1" t="s">
        <v>146</v>
      </c>
      <c r="Q172" s="1" t="s">
        <v>147</v>
      </c>
      <c r="R172" s="1" t="s">
        <v>148</v>
      </c>
      <c r="S172" s="44">
        <v>5.2</v>
      </c>
      <c r="T172" s="44">
        <v>0.26</v>
      </c>
      <c r="U172" s="44">
        <v>0</v>
      </c>
      <c r="V172" s="44">
        <v>0</v>
      </c>
      <c r="W172" s="44">
        <v>0</v>
      </c>
      <c r="X172" s="45">
        <v>248689</v>
      </c>
      <c r="Y172" s="45">
        <v>8341950</v>
      </c>
      <c r="Z172" s="45"/>
      <c r="AA172" s="46">
        <v>8341950</v>
      </c>
    </row>
    <row r="173" spans="1:27" ht="15" customHeight="1">
      <c r="A173" s="56"/>
      <c r="B173" s="56" t="s">
        <v>149</v>
      </c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7"/>
      <c r="T173" s="57"/>
      <c r="U173" s="57"/>
      <c r="V173" s="57"/>
      <c r="W173" s="57"/>
      <c r="X173" s="58">
        <f>SUM(X164:X172)</f>
        <v>2773644</v>
      </c>
      <c r="Y173" s="58">
        <f t="shared" ref="Y173:AA173" si="24">SUM(Y164:Y172)</f>
        <v>102268800</v>
      </c>
      <c r="Z173" s="58">
        <f t="shared" si="24"/>
        <v>0</v>
      </c>
      <c r="AA173" s="58">
        <f t="shared" si="24"/>
        <v>102268800</v>
      </c>
    </row>
    <row r="174" spans="1:27" ht="15" customHeight="1">
      <c r="A174" s="1">
        <v>26</v>
      </c>
      <c r="B174" s="1" t="s">
        <v>317</v>
      </c>
      <c r="C174" s="1" t="s">
        <v>318</v>
      </c>
      <c r="D174" s="1" t="s">
        <v>319</v>
      </c>
      <c r="E174" s="1" t="s">
        <v>318</v>
      </c>
      <c r="F174" s="1" t="s">
        <v>183</v>
      </c>
      <c r="G174" s="1" t="s">
        <v>141</v>
      </c>
      <c r="H174" s="1">
        <v>9081000022</v>
      </c>
      <c r="I174" s="1" t="s">
        <v>58</v>
      </c>
      <c r="J174" s="1">
        <v>1041</v>
      </c>
      <c r="K174" s="1" t="s">
        <v>171</v>
      </c>
      <c r="L174" s="1">
        <v>9081000060</v>
      </c>
      <c r="M174" s="1" t="s">
        <v>320</v>
      </c>
      <c r="N174" s="1" t="s">
        <v>321</v>
      </c>
      <c r="O174" s="1" t="s">
        <v>297</v>
      </c>
      <c r="P174" s="1" t="s">
        <v>146</v>
      </c>
      <c r="Q174" s="1" t="s">
        <v>147</v>
      </c>
      <c r="R174" s="1" t="s">
        <v>160</v>
      </c>
      <c r="S174" s="44">
        <v>0</v>
      </c>
      <c r="T174" s="44">
        <v>0</v>
      </c>
      <c r="U174" s="44">
        <v>0</v>
      </c>
      <c r="V174" s="44">
        <v>0</v>
      </c>
      <c r="W174" s="44">
        <v>0</v>
      </c>
      <c r="X174" s="45">
        <v>1743</v>
      </c>
      <c r="Y174" s="45">
        <v>38008649</v>
      </c>
      <c r="Z174" s="45"/>
      <c r="AA174" s="46">
        <v>38008649</v>
      </c>
    </row>
    <row r="175" spans="1:27" ht="15" customHeight="1">
      <c r="A175" s="1">
        <v>26</v>
      </c>
      <c r="B175" s="1" t="s">
        <v>317</v>
      </c>
      <c r="C175" s="1" t="s">
        <v>318</v>
      </c>
      <c r="D175" s="1" t="s">
        <v>319</v>
      </c>
      <c r="E175" s="1" t="s">
        <v>318</v>
      </c>
      <c r="F175" s="1" t="s">
        <v>153</v>
      </c>
      <c r="G175" s="1" t="s">
        <v>141</v>
      </c>
      <c r="H175" s="1">
        <v>9081000045</v>
      </c>
      <c r="I175" s="1" t="s">
        <v>67</v>
      </c>
      <c r="J175" s="1">
        <v>950</v>
      </c>
      <c r="K175" s="1" t="s">
        <v>171</v>
      </c>
      <c r="L175" s="1">
        <v>9081000159</v>
      </c>
      <c r="M175" s="1"/>
      <c r="N175" s="1" t="s">
        <v>321</v>
      </c>
      <c r="O175" s="1" t="s">
        <v>297</v>
      </c>
      <c r="P175" s="1" t="s">
        <v>146</v>
      </c>
      <c r="Q175" s="1" t="s">
        <v>147</v>
      </c>
      <c r="R175" s="1" t="s">
        <v>160</v>
      </c>
      <c r="S175" s="44">
        <v>0</v>
      </c>
      <c r="T175" s="44">
        <v>0</v>
      </c>
      <c r="U175" s="44">
        <v>0</v>
      </c>
      <c r="V175" s="44">
        <v>0</v>
      </c>
      <c r="W175" s="44">
        <v>0</v>
      </c>
      <c r="X175" s="45">
        <v>632</v>
      </c>
      <c r="Y175" s="45">
        <v>11635314</v>
      </c>
      <c r="Z175" s="45"/>
      <c r="AA175" s="46">
        <v>11635314</v>
      </c>
    </row>
    <row r="176" spans="1:27" ht="15" customHeight="1">
      <c r="A176" s="56"/>
      <c r="B176" s="56" t="s">
        <v>149</v>
      </c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7"/>
      <c r="T176" s="57"/>
      <c r="U176" s="57"/>
      <c r="V176" s="57"/>
      <c r="W176" s="57"/>
      <c r="X176" s="58">
        <f>SUM(X174:X175)</f>
        <v>2375</v>
      </c>
      <c r="Y176" s="58">
        <f t="shared" ref="Y176:AA176" si="25">SUM(Y174:Y175)</f>
        <v>49643963</v>
      </c>
      <c r="Z176" s="58">
        <f t="shared" si="25"/>
        <v>0</v>
      </c>
      <c r="AA176" s="58">
        <f t="shared" si="25"/>
        <v>49643963</v>
      </c>
    </row>
    <row r="177" spans="1:27" ht="15" customHeight="1">
      <c r="A177" s="1">
        <v>27</v>
      </c>
      <c r="B177" s="1" t="s">
        <v>322</v>
      </c>
      <c r="C177" s="1" t="s">
        <v>323</v>
      </c>
      <c r="D177" s="1" t="s">
        <v>324</v>
      </c>
      <c r="E177" s="1" t="s">
        <v>323</v>
      </c>
      <c r="F177" s="1" t="s">
        <v>140</v>
      </c>
      <c r="G177" s="1" t="s">
        <v>141</v>
      </c>
      <c r="H177" s="1">
        <v>1365000087</v>
      </c>
      <c r="I177" s="1" t="s">
        <v>68</v>
      </c>
      <c r="J177" s="1">
        <v>282</v>
      </c>
      <c r="K177" s="1" t="s">
        <v>226</v>
      </c>
      <c r="L177" s="1">
        <v>1361001604</v>
      </c>
      <c r="M177" s="1" t="s">
        <v>325</v>
      </c>
      <c r="N177" s="1" t="s">
        <v>178</v>
      </c>
      <c r="O177" s="1" t="s">
        <v>179</v>
      </c>
      <c r="P177" s="1" t="s">
        <v>146</v>
      </c>
      <c r="Q177" s="1" t="s">
        <v>147</v>
      </c>
      <c r="R177" s="1" t="s">
        <v>228</v>
      </c>
      <c r="S177" s="44">
        <v>0</v>
      </c>
      <c r="T177" s="44">
        <v>0</v>
      </c>
      <c r="U177" s="44">
        <v>0</v>
      </c>
      <c r="V177" s="44">
        <v>0</v>
      </c>
      <c r="W177" s="44">
        <v>0</v>
      </c>
      <c r="X177" s="45">
        <v>85200</v>
      </c>
      <c r="Y177" s="45">
        <v>70716000</v>
      </c>
      <c r="Z177" s="45"/>
      <c r="AA177" s="46">
        <v>70716000</v>
      </c>
    </row>
    <row r="178" spans="1:27" ht="15" customHeight="1">
      <c r="A178" s="56"/>
      <c r="B178" s="56" t="s">
        <v>149</v>
      </c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7"/>
      <c r="T178" s="57"/>
      <c r="U178" s="57"/>
      <c r="V178" s="57"/>
      <c r="W178" s="57"/>
      <c r="X178" s="58">
        <f>SUM(X177)</f>
        <v>85200</v>
      </c>
      <c r="Y178" s="58">
        <f t="shared" ref="Y178:AA178" si="26">SUM(Y177)</f>
        <v>70716000</v>
      </c>
      <c r="Z178" s="58">
        <f t="shared" si="26"/>
        <v>0</v>
      </c>
      <c r="AA178" s="58">
        <f t="shared" si="26"/>
        <v>70716000</v>
      </c>
    </row>
    <row r="179" spans="1:27" ht="15" customHeight="1">
      <c r="A179" s="1">
        <v>28</v>
      </c>
      <c r="B179" s="1" t="s">
        <v>326</v>
      </c>
      <c r="C179" s="1" t="s">
        <v>327</v>
      </c>
      <c r="D179" s="1" t="s">
        <v>182</v>
      </c>
      <c r="E179" s="1" t="s">
        <v>327</v>
      </c>
      <c r="F179" s="1" t="s">
        <v>153</v>
      </c>
      <c r="G179" s="1" t="s">
        <v>141</v>
      </c>
      <c r="H179" s="1">
        <v>9271000098</v>
      </c>
      <c r="I179" s="1" t="s">
        <v>69</v>
      </c>
      <c r="J179" s="1">
        <v>630</v>
      </c>
      <c r="K179" s="1" t="s">
        <v>253</v>
      </c>
      <c r="L179" s="1">
        <v>1381000575</v>
      </c>
      <c r="M179" s="1" t="s">
        <v>328</v>
      </c>
      <c r="N179" s="1" t="s">
        <v>144</v>
      </c>
      <c r="O179" s="1" t="s">
        <v>145</v>
      </c>
      <c r="P179" s="1" t="s">
        <v>146</v>
      </c>
      <c r="Q179" s="1" t="s">
        <v>147</v>
      </c>
      <c r="R179" s="1" t="s">
        <v>255</v>
      </c>
      <c r="S179" s="44">
        <v>0</v>
      </c>
      <c r="T179" s="44">
        <v>0</v>
      </c>
      <c r="U179" s="44">
        <v>0</v>
      </c>
      <c r="V179" s="44">
        <v>0</v>
      </c>
      <c r="W179" s="44">
        <v>0</v>
      </c>
      <c r="X179" s="45">
        <v>349.49</v>
      </c>
      <c r="Y179" s="45">
        <v>3766454</v>
      </c>
      <c r="Z179" s="45"/>
      <c r="AA179" s="46">
        <v>3766454</v>
      </c>
    </row>
    <row r="180" spans="1:27" ht="15" customHeight="1">
      <c r="A180" s="56"/>
      <c r="B180" s="56" t="s">
        <v>149</v>
      </c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7"/>
      <c r="T180" s="57"/>
      <c r="U180" s="57"/>
      <c r="V180" s="57"/>
      <c r="W180" s="57"/>
      <c r="X180" s="58">
        <f>SUM(X179)</f>
        <v>349.49</v>
      </c>
      <c r="Y180" s="58">
        <f t="shared" ref="Y180:AA180" si="27">SUM(Y179)</f>
        <v>3766454</v>
      </c>
      <c r="Z180" s="58">
        <f t="shared" si="27"/>
        <v>0</v>
      </c>
      <c r="AA180" s="58">
        <f t="shared" si="27"/>
        <v>3766454</v>
      </c>
    </row>
    <row r="181" spans="1:27" ht="15" customHeight="1">
      <c r="A181" s="1">
        <v>29</v>
      </c>
      <c r="B181" s="1" t="s">
        <v>329</v>
      </c>
      <c r="C181" s="1" t="s">
        <v>330</v>
      </c>
      <c r="D181" s="1" t="s">
        <v>331</v>
      </c>
      <c r="E181" s="1" t="s">
        <v>330</v>
      </c>
      <c r="F181" s="1" t="s">
        <v>183</v>
      </c>
      <c r="G181" s="1" t="s">
        <v>141</v>
      </c>
      <c r="H181" s="1">
        <v>1005002366</v>
      </c>
      <c r="I181" s="1" t="s">
        <v>70</v>
      </c>
      <c r="J181" s="1">
        <v>23</v>
      </c>
      <c r="K181" s="1" t="s">
        <v>171</v>
      </c>
      <c r="L181" s="1">
        <v>1001026360</v>
      </c>
      <c r="M181" s="1" t="s">
        <v>332</v>
      </c>
      <c r="N181" s="1" t="s">
        <v>178</v>
      </c>
      <c r="O181" s="1" t="s">
        <v>179</v>
      </c>
      <c r="P181" s="1" t="s">
        <v>146</v>
      </c>
      <c r="Q181" s="1" t="s">
        <v>147</v>
      </c>
      <c r="R181" s="1" t="s">
        <v>148</v>
      </c>
      <c r="S181" s="44">
        <v>0</v>
      </c>
      <c r="T181" s="44">
        <v>20.68</v>
      </c>
      <c r="U181" s="44">
        <v>0.84</v>
      </c>
      <c r="V181" s="44">
        <v>0</v>
      </c>
      <c r="W181" s="44">
        <v>0</v>
      </c>
      <c r="X181" s="45">
        <v>1851.09</v>
      </c>
      <c r="Y181" s="45">
        <v>2498973</v>
      </c>
      <c r="Z181" s="45"/>
      <c r="AA181" s="46">
        <v>2498973</v>
      </c>
    </row>
    <row r="182" spans="1:27" ht="15" customHeight="1">
      <c r="A182" s="1">
        <v>29</v>
      </c>
      <c r="B182" s="1" t="s">
        <v>329</v>
      </c>
      <c r="C182" s="1" t="s">
        <v>330</v>
      </c>
      <c r="D182" s="1" t="s">
        <v>331</v>
      </c>
      <c r="E182" s="1" t="s">
        <v>330</v>
      </c>
      <c r="F182" s="1" t="s">
        <v>183</v>
      </c>
      <c r="G182" s="1" t="s">
        <v>141</v>
      </c>
      <c r="H182" s="1">
        <v>9145000192</v>
      </c>
      <c r="I182" s="1" t="s">
        <v>47</v>
      </c>
      <c r="J182" s="1">
        <v>25</v>
      </c>
      <c r="K182" s="1" t="s">
        <v>171</v>
      </c>
      <c r="L182" s="1">
        <v>9141001837</v>
      </c>
      <c r="M182" s="1" t="s">
        <v>333</v>
      </c>
      <c r="N182" s="1" t="s">
        <v>334</v>
      </c>
      <c r="O182" s="1" t="s">
        <v>297</v>
      </c>
      <c r="P182" s="1" t="s">
        <v>146</v>
      </c>
      <c r="Q182" s="1" t="s">
        <v>147</v>
      </c>
      <c r="R182" s="1" t="s">
        <v>162</v>
      </c>
      <c r="S182" s="44">
        <v>35.549999999999997</v>
      </c>
      <c r="T182" s="44">
        <v>1.26</v>
      </c>
      <c r="U182" s="44">
        <v>0</v>
      </c>
      <c r="V182" s="44">
        <v>0</v>
      </c>
      <c r="W182" s="44">
        <v>0</v>
      </c>
      <c r="X182" s="45">
        <v>27560</v>
      </c>
      <c r="Y182" s="45">
        <v>2756000</v>
      </c>
      <c r="Z182" s="45">
        <v>303160</v>
      </c>
      <c r="AA182" s="46">
        <v>3059160</v>
      </c>
    </row>
    <row r="183" spans="1:27" ht="15" customHeight="1">
      <c r="A183" s="1">
        <v>29</v>
      </c>
      <c r="B183" s="1" t="s">
        <v>329</v>
      </c>
      <c r="C183" s="1" t="s">
        <v>330</v>
      </c>
      <c r="D183" s="1" t="s">
        <v>331</v>
      </c>
      <c r="E183" s="1" t="s">
        <v>330</v>
      </c>
      <c r="F183" s="1" t="s">
        <v>183</v>
      </c>
      <c r="G183" s="1" t="s">
        <v>141</v>
      </c>
      <c r="H183" s="1">
        <v>9145000193</v>
      </c>
      <c r="I183" s="1" t="s">
        <v>47</v>
      </c>
      <c r="J183" s="1">
        <v>25</v>
      </c>
      <c r="K183" s="1" t="s">
        <v>171</v>
      </c>
      <c r="L183" s="1">
        <v>9141001837</v>
      </c>
      <c r="M183" s="1" t="s">
        <v>333</v>
      </c>
      <c r="N183" s="1" t="s">
        <v>334</v>
      </c>
      <c r="O183" s="1" t="s">
        <v>297</v>
      </c>
      <c r="P183" s="1" t="s">
        <v>146</v>
      </c>
      <c r="Q183" s="1" t="s">
        <v>147</v>
      </c>
      <c r="R183" s="1" t="s">
        <v>162</v>
      </c>
      <c r="S183" s="44">
        <v>34.049999999999997</v>
      </c>
      <c r="T183" s="44">
        <v>1.75</v>
      </c>
      <c r="U183" s="44">
        <v>0</v>
      </c>
      <c r="V183" s="44">
        <v>0</v>
      </c>
      <c r="W183" s="44">
        <v>0</v>
      </c>
      <c r="X183" s="45">
        <v>75.78</v>
      </c>
      <c r="Y183" s="45">
        <v>947250</v>
      </c>
      <c r="Z183" s="45">
        <v>104197.5</v>
      </c>
      <c r="AA183" s="46">
        <v>1051447.5</v>
      </c>
    </row>
    <row r="184" spans="1:27" ht="15" customHeight="1">
      <c r="A184" s="1">
        <v>29</v>
      </c>
      <c r="B184" s="1" t="s">
        <v>329</v>
      </c>
      <c r="C184" s="1" t="s">
        <v>330</v>
      </c>
      <c r="D184" s="1" t="s">
        <v>331</v>
      </c>
      <c r="E184" s="1" t="s">
        <v>330</v>
      </c>
      <c r="F184" s="1" t="s">
        <v>183</v>
      </c>
      <c r="G184" s="1" t="s">
        <v>141</v>
      </c>
      <c r="H184" s="1">
        <v>9145000194</v>
      </c>
      <c r="I184" s="1" t="s">
        <v>47</v>
      </c>
      <c r="J184" s="1">
        <v>25</v>
      </c>
      <c r="K184" s="1" t="s">
        <v>171</v>
      </c>
      <c r="L184" s="1">
        <v>9141001838</v>
      </c>
      <c r="M184" s="1" t="s">
        <v>335</v>
      </c>
      <c r="N184" s="1" t="s">
        <v>296</v>
      </c>
      <c r="O184" s="1" t="s">
        <v>297</v>
      </c>
      <c r="P184" s="1" t="s">
        <v>146</v>
      </c>
      <c r="Q184" s="1" t="s">
        <v>147</v>
      </c>
      <c r="R184" s="1" t="s">
        <v>162</v>
      </c>
      <c r="S184" s="44">
        <v>36.159999999999997</v>
      </c>
      <c r="T184" s="44">
        <v>1.76</v>
      </c>
      <c r="U184" s="44">
        <v>0</v>
      </c>
      <c r="V184" s="44">
        <v>0</v>
      </c>
      <c r="W184" s="44">
        <v>0</v>
      </c>
      <c r="X184" s="45">
        <v>48320</v>
      </c>
      <c r="Y184" s="45">
        <v>9664000</v>
      </c>
      <c r="Z184" s="45">
        <v>1063040</v>
      </c>
      <c r="AA184" s="46">
        <v>10727040</v>
      </c>
    </row>
    <row r="185" spans="1:27" ht="15" customHeight="1">
      <c r="A185" s="1">
        <v>29</v>
      </c>
      <c r="B185" s="1" t="s">
        <v>329</v>
      </c>
      <c r="C185" s="1" t="s">
        <v>330</v>
      </c>
      <c r="D185" s="1" t="s">
        <v>331</v>
      </c>
      <c r="E185" s="1" t="s">
        <v>330</v>
      </c>
      <c r="F185" s="1" t="s">
        <v>183</v>
      </c>
      <c r="G185" s="1" t="s">
        <v>141</v>
      </c>
      <c r="H185" s="1">
        <v>9145000195</v>
      </c>
      <c r="I185" s="1" t="s">
        <v>47</v>
      </c>
      <c r="J185" s="1">
        <v>25</v>
      </c>
      <c r="K185" s="1" t="s">
        <v>171</v>
      </c>
      <c r="L185" s="1">
        <v>9141001838</v>
      </c>
      <c r="M185" s="1" t="s">
        <v>335</v>
      </c>
      <c r="N185" s="1" t="s">
        <v>296</v>
      </c>
      <c r="O185" s="1" t="s">
        <v>297</v>
      </c>
      <c r="P185" s="1" t="s">
        <v>146</v>
      </c>
      <c r="Q185" s="1" t="s">
        <v>147</v>
      </c>
      <c r="R185" s="1" t="s">
        <v>162</v>
      </c>
      <c r="S185" s="44">
        <v>34.42</v>
      </c>
      <c r="T185" s="44">
        <v>1.84</v>
      </c>
      <c r="U185" s="44">
        <v>0</v>
      </c>
      <c r="V185" s="44">
        <v>0</v>
      </c>
      <c r="W185" s="44">
        <v>0</v>
      </c>
      <c r="X185" s="45">
        <v>192.04</v>
      </c>
      <c r="Y185" s="45">
        <v>2400500</v>
      </c>
      <c r="Z185" s="45">
        <v>264055</v>
      </c>
      <c r="AA185" s="46">
        <v>2664555</v>
      </c>
    </row>
    <row r="186" spans="1:27" ht="15" customHeight="1">
      <c r="A186" s="56"/>
      <c r="B186" s="56" t="s">
        <v>149</v>
      </c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7"/>
      <c r="T186" s="57"/>
      <c r="U186" s="57"/>
      <c r="V186" s="57"/>
      <c r="W186" s="57"/>
      <c r="X186" s="58">
        <f>SUM(X181:X185)</f>
        <v>77998.909999999989</v>
      </c>
      <c r="Y186" s="58">
        <f t="shared" ref="Y186:AA186" si="28">SUM(Y181:Y185)</f>
        <v>18266723</v>
      </c>
      <c r="Z186" s="58">
        <f t="shared" si="28"/>
        <v>1734452.5</v>
      </c>
      <c r="AA186" s="58">
        <f t="shared" si="28"/>
        <v>20001175.5</v>
      </c>
    </row>
    <row r="187" spans="1:27" ht="15" customHeight="1">
      <c r="A187" s="1">
        <v>30</v>
      </c>
      <c r="B187" s="1" t="s">
        <v>336</v>
      </c>
      <c r="C187" s="1" t="s">
        <v>337</v>
      </c>
      <c r="D187" s="1" t="s">
        <v>338</v>
      </c>
      <c r="E187" s="1" t="s">
        <v>337</v>
      </c>
      <c r="F187" s="1" t="s">
        <v>183</v>
      </c>
      <c r="G187" s="1" t="s">
        <v>141</v>
      </c>
      <c r="H187" s="1">
        <v>9271000001</v>
      </c>
      <c r="I187" s="1" t="s">
        <v>71</v>
      </c>
      <c r="J187" s="1">
        <v>1046</v>
      </c>
      <c r="K187" s="1" t="s">
        <v>339</v>
      </c>
      <c r="L187" s="1">
        <v>1351000161</v>
      </c>
      <c r="M187" s="1" t="s">
        <v>340</v>
      </c>
      <c r="N187" s="1" t="s">
        <v>321</v>
      </c>
      <c r="O187" s="1" t="s">
        <v>297</v>
      </c>
      <c r="P187" s="1" t="s">
        <v>146</v>
      </c>
      <c r="Q187" s="1" t="s">
        <v>147</v>
      </c>
      <c r="R187" s="1" t="s">
        <v>341</v>
      </c>
      <c r="S187" s="44">
        <v>0</v>
      </c>
      <c r="T187" s="44">
        <v>0</v>
      </c>
      <c r="U187" s="44">
        <v>0</v>
      </c>
      <c r="V187" s="44">
        <v>0</v>
      </c>
      <c r="W187" s="44">
        <v>0</v>
      </c>
      <c r="X187" s="45">
        <v>799.15</v>
      </c>
      <c r="Y187" s="45">
        <v>7671840</v>
      </c>
      <c r="Z187" s="45"/>
      <c r="AA187" s="46">
        <v>7671840</v>
      </c>
    </row>
    <row r="188" spans="1:27" ht="15" customHeight="1">
      <c r="A188" s="1">
        <v>30</v>
      </c>
      <c r="B188" s="1" t="s">
        <v>336</v>
      </c>
      <c r="C188" s="1" t="s">
        <v>337</v>
      </c>
      <c r="D188" s="1" t="s">
        <v>338</v>
      </c>
      <c r="E188" s="1" t="s">
        <v>337</v>
      </c>
      <c r="F188" s="1" t="s">
        <v>183</v>
      </c>
      <c r="G188" s="1" t="s">
        <v>141</v>
      </c>
      <c r="H188" s="1">
        <v>9271000014</v>
      </c>
      <c r="I188" s="1" t="s">
        <v>71</v>
      </c>
      <c r="J188" s="1">
        <v>1046</v>
      </c>
      <c r="K188" s="1" t="s">
        <v>171</v>
      </c>
      <c r="L188" s="1">
        <v>1351000222</v>
      </c>
      <c r="M188" s="1" t="s">
        <v>338</v>
      </c>
      <c r="N188" s="1" t="s">
        <v>321</v>
      </c>
      <c r="O188" s="1" t="s">
        <v>297</v>
      </c>
      <c r="P188" s="1" t="s">
        <v>146</v>
      </c>
      <c r="Q188" s="1" t="s">
        <v>147</v>
      </c>
      <c r="R188" s="1" t="s">
        <v>341</v>
      </c>
      <c r="S188" s="44">
        <v>0</v>
      </c>
      <c r="T188" s="44">
        <v>0</v>
      </c>
      <c r="U188" s="44">
        <v>0</v>
      </c>
      <c r="V188" s="44">
        <v>0</v>
      </c>
      <c r="W188" s="44">
        <v>0</v>
      </c>
      <c r="X188" s="45">
        <v>5138.84</v>
      </c>
      <c r="Y188" s="45">
        <v>51388400</v>
      </c>
      <c r="Z188" s="45"/>
      <c r="AA188" s="46">
        <v>51388400</v>
      </c>
    </row>
    <row r="189" spans="1:27" ht="15" customHeight="1">
      <c r="A189" s="56"/>
      <c r="B189" s="56" t="s">
        <v>149</v>
      </c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7"/>
      <c r="T189" s="57"/>
      <c r="U189" s="57"/>
      <c r="V189" s="57"/>
      <c r="W189" s="57"/>
      <c r="X189" s="58">
        <f>SUM(X187:X188)</f>
        <v>5937.99</v>
      </c>
      <c r="Y189" s="58">
        <f t="shared" ref="Y189:AA189" si="29">SUM(Y187:Y188)</f>
        <v>59060240</v>
      </c>
      <c r="Z189" s="58">
        <f t="shared" si="29"/>
        <v>0</v>
      </c>
      <c r="AA189" s="58">
        <f t="shared" si="29"/>
        <v>59060240</v>
      </c>
    </row>
    <row r="190" spans="1:27" ht="15" customHeight="1">
      <c r="A190" s="1">
        <v>31</v>
      </c>
      <c r="B190" s="1" t="s">
        <v>342</v>
      </c>
      <c r="C190" s="1" t="s">
        <v>343</v>
      </c>
      <c r="D190" s="1" t="s">
        <v>182</v>
      </c>
      <c r="E190" s="1" t="s">
        <v>343</v>
      </c>
      <c r="F190" s="1" t="s">
        <v>153</v>
      </c>
      <c r="G190" s="1" t="s">
        <v>141</v>
      </c>
      <c r="H190" s="1">
        <v>1015000134</v>
      </c>
      <c r="I190" s="1" t="s">
        <v>72</v>
      </c>
      <c r="J190" s="1">
        <v>112</v>
      </c>
      <c r="K190" s="1" t="s">
        <v>344</v>
      </c>
      <c r="L190" s="1">
        <v>1011002115</v>
      </c>
      <c r="M190" s="1" t="s">
        <v>345</v>
      </c>
      <c r="N190" s="1" t="s">
        <v>144</v>
      </c>
      <c r="O190" s="1" t="s">
        <v>145</v>
      </c>
      <c r="P190" s="1" t="s">
        <v>146</v>
      </c>
      <c r="Q190" s="1" t="s">
        <v>147</v>
      </c>
      <c r="R190" s="1" t="s">
        <v>346</v>
      </c>
      <c r="S190" s="44">
        <v>5.6</v>
      </c>
      <c r="T190" s="44">
        <v>0</v>
      </c>
      <c r="U190" s="44">
        <v>0</v>
      </c>
      <c r="V190" s="44">
        <v>0</v>
      </c>
      <c r="W190" s="44">
        <v>0</v>
      </c>
      <c r="X190" s="45">
        <v>8542.35</v>
      </c>
      <c r="Y190" s="45">
        <v>116175960</v>
      </c>
      <c r="Z190" s="45"/>
      <c r="AA190" s="46">
        <v>116175960</v>
      </c>
    </row>
    <row r="191" spans="1:27" ht="15" customHeight="1">
      <c r="A191" s="56"/>
      <c r="B191" s="56" t="s">
        <v>149</v>
      </c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7"/>
      <c r="T191" s="57"/>
      <c r="U191" s="57"/>
      <c r="V191" s="57"/>
      <c r="W191" s="57"/>
      <c r="X191" s="58">
        <f>SUM(X190)</f>
        <v>8542.35</v>
      </c>
      <c r="Y191" s="58">
        <f t="shared" ref="Y191:AA191" si="30">SUM(Y190)</f>
        <v>116175960</v>
      </c>
      <c r="Z191" s="58">
        <f t="shared" si="30"/>
        <v>0</v>
      </c>
      <c r="AA191" s="58">
        <f t="shared" si="30"/>
        <v>116175960</v>
      </c>
    </row>
    <row r="192" spans="1:27" ht="15" customHeight="1">
      <c r="A192" s="1">
        <v>32</v>
      </c>
      <c r="B192" s="1" t="s">
        <v>347</v>
      </c>
      <c r="C192" s="1" t="s">
        <v>348</v>
      </c>
      <c r="D192" s="1" t="s">
        <v>349</v>
      </c>
      <c r="E192" s="1" t="s">
        <v>348</v>
      </c>
      <c r="F192" s="1" t="s">
        <v>140</v>
      </c>
      <c r="G192" s="1" t="s">
        <v>141</v>
      </c>
      <c r="H192" s="1">
        <v>9145000207</v>
      </c>
      <c r="I192" s="1" t="s">
        <v>28</v>
      </c>
      <c r="J192" s="1">
        <v>8</v>
      </c>
      <c r="K192" s="1" t="s">
        <v>142</v>
      </c>
      <c r="L192" s="1">
        <v>9141001813</v>
      </c>
      <c r="M192" s="1" t="s">
        <v>350</v>
      </c>
      <c r="N192" s="1" t="s">
        <v>351</v>
      </c>
      <c r="O192" s="1" t="s">
        <v>352</v>
      </c>
      <c r="P192" s="1" t="s">
        <v>146</v>
      </c>
      <c r="Q192" s="1" t="s">
        <v>147</v>
      </c>
      <c r="R192" s="1" t="s">
        <v>162</v>
      </c>
      <c r="S192" s="44">
        <v>0</v>
      </c>
      <c r="T192" s="44">
        <v>9.02</v>
      </c>
      <c r="U192" s="44">
        <v>7.52</v>
      </c>
      <c r="V192" s="44">
        <v>0</v>
      </c>
      <c r="W192" s="44">
        <v>0</v>
      </c>
      <c r="X192" s="45">
        <v>88.74</v>
      </c>
      <c r="Y192" s="45">
        <v>1050682</v>
      </c>
      <c r="Z192" s="45"/>
      <c r="AA192" s="45">
        <v>1050682</v>
      </c>
    </row>
    <row r="193" spans="1:27" ht="15" customHeight="1">
      <c r="A193" s="56"/>
      <c r="B193" s="56" t="s">
        <v>149</v>
      </c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7"/>
      <c r="T193" s="57"/>
      <c r="U193" s="57"/>
      <c r="V193" s="57"/>
      <c r="W193" s="57"/>
      <c r="X193" s="58">
        <f>SUM(X192)</f>
        <v>88.74</v>
      </c>
      <c r="Y193" s="58">
        <f t="shared" ref="Y193:AA193" si="31">SUM(Y192)</f>
        <v>1050682</v>
      </c>
      <c r="Z193" s="58">
        <f t="shared" si="31"/>
        <v>0</v>
      </c>
      <c r="AA193" s="58">
        <f t="shared" si="31"/>
        <v>1050682</v>
      </c>
    </row>
    <row r="194" spans="1:27" ht="15" customHeight="1">
      <c r="A194" s="1">
        <v>33</v>
      </c>
      <c r="B194" s="1" t="s">
        <v>353</v>
      </c>
      <c r="C194" s="1" t="s">
        <v>354</v>
      </c>
      <c r="D194" s="1" t="s">
        <v>355</v>
      </c>
      <c r="E194" s="1" t="s">
        <v>354</v>
      </c>
      <c r="F194" s="1" t="s">
        <v>170</v>
      </c>
      <c r="G194" s="1" t="s">
        <v>141</v>
      </c>
      <c r="H194" s="1">
        <v>1005002445</v>
      </c>
      <c r="I194" s="1" t="s">
        <v>12</v>
      </c>
      <c r="J194" s="1">
        <v>10</v>
      </c>
      <c r="K194" s="1" t="s">
        <v>171</v>
      </c>
      <c r="L194" s="1">
        <v>1001027072</v>
      </c>
      <c r="M194" s="1" t="s">
        <v>356</v>
      </c>
      <c r="N194" s="1" t="s">
        <v>178</v>
      </c>
      <c r="O194" s="1" t="s">
        <v>179</v>
      </c>
      <c r="P194" s="1" t="s">
        <v>146</v>
      </c>
      <c r="Q194" s="1" t="s">
        <v>147</v>
      </c>
      <c r="R194" s="1" t="s">
        <v>148</v>
      </c>
      <c r="S194" s="44">
        <v>0</v>
      </c>
      <c r="T194" s="44">
        <v>20.82</v>
      </c>
      <c r="U194" s="44">
        <v>0.83</v>
      </c>
      <c r="V194" s="44">
        <v>0</v>
      </c>
      <c r="W194" s="44">
        <v>0</v>
      </c>
      <c r="X194" s="45">
        <v>15732.96</v>
      </c>
      <c r="Y194" s="45">
        <v>15103641</v>
      </c>
      <c r="Z194" s="45"/>
      <c r="AA194" s="46">
        <v>15103641</v>
      </c>
    </row>
    <row r="195" spans="1:27" ht="15" customHeight="1">
      <c r="A195" s="56"/>
      <c r="B195" s="56" t="s">
        <v>149</v>
      </c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7"/>
      <c r="T195" s="57"/>
      <c r="U195" s="57"/>
      <c r="V195" s="57"/>
      <c r="W195" s="57"/>
      <c r="X195" s="58">
        <f>SUM(X194)</f>
        <v>15732.96</v>
      </c>
      <c r="Y195" s="58">
        <f t="shared" ref="Y195:AA195" si="32">SUM(Y194)</f>
        <v>15103641</v>
      </c>
      <c r="Z195" s="58">
        <f t="shared" si="32"/>
        <v>0</v>
      </c>
      <c r="AA195" s="58">
        <f t="shared" si="32"/>
        <v>15103641</v>
      </c>
    </row>
    <row r="196" spans="1:27" ht="15" customHeight="1">
      <c r="A196" s="1">
        <v>34</v>
      </c>
      <c r="B196" s="1" t="s">
        <v>357</v>
      </c>
      <c r="C196" s="1" t="s">
        <v>358</v>
      </c>
      <c r="D196" s="1" t="s">
        <v>359</v>
      </c>
      <c r="E196" s="1" t="s">
        <v>358</v>
      </c>
      <c r="F196" s="1" t="s">
        <v>153</v>
      </c>
      <c r="G196" s="1" t="s">
        <v>141</v>
      </c>
      <c r="H196" s="1">
        <v>9271000358</v>
      </c>
      <c r="I196" s="1" t="s">
        <v>73</v>
      </c>
      <c r="J196" s="1">
        <v>417</v>
      </c>
      <c r="K196" s="1" t="s">
        <v>253</v>
      </c>
      <c r="L196" s="1">
        <v>1381001241</v>
      </c>
      <c r="M196" s="1" t="s">
        <v>360</v>
      </c>
      <c r="N196" s="1" t="s">
        <v>144</v>
      </c>
      <c r="O196" s="1" t="s">
        <v>145</v>
      </c>
      <c r="P196" s="1" t="s">
        <v>146</v>
      </c>
      <c r="Q196" s="1" t="s">
        <v>147</v>
      </c>
      <c r="R196" s="1" t="s">
        <v>255</v>
      </c>
      <c r="S196" s="44">
        <v>5.3</v>
      </c>
      <c r="T196" s="44">
        <v>0.36</v>
      </c>
      <c r="U196" s="44">
        <v>0</v>
      </c>
      <c r="V196" s="44">
        <v>2.6</v>
      </c>
      <c r="W196" s="44">
        <v>0</v>
      </c>
      <c r="X196" s="45">
        <v>28410</v>
      </c>
      <c r="Y196" s="45">
        <v>2841000</v>
      </c>
      <c r="Z196" s="45"/>
      <c r="AA196" s="46">
        <v>2841000</v>
      </c>
    </row>
    <row r="197" spans="1:27" ht="15" customHeight="1">
      <c r="A197" s="56"/>
      <c r="B197" s="56" t="s">
        <v>149</v>
      </c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7"/>
      <c r="T197" s="57"/>
      <c r="U197" s="57"/>
      <c r="V197" s="57"/>
      <c r="W197" s="57"/>
      <c r="X197" s="58">
        <f>SUM(X196)</f>
        <v>28410</v>
      </c>
      <c r="Y197" s="58">
        <f t="shared" ref="Y197:AA197" si="33">SUM(Y196)</f>
        <v>2841000</v>
      </c>
      <c r="Z197" s="58">
        <f t="shared" si="33"/>
        <v>0</v>
      </c>
      <c r="AA197" s="58">
        <f t="shared" si="33"/>
        <v>2841000</v>
      </c>
    </row>
    <row r="198" spans="1:27" ht="15" customHeight="1">
      <c r="A198" s="1">
        <v>35</v>
      </c>
      <c r="B198" s="1" t="s">
        <v>361</v>
      </c>
      <c r="C198" s="1" t="s">
        <v>362</v>
      </c>
      <c r="D198" s="1" t="s">
        <v>363</v>
      </c>
      <c r="E198" s="1" t="s">
        <v>362</v>
      </c>
      <c r="F198" s="1" t="s">
        <v>140</v>
      </c>
      <c r="G198" s="1" t="s">
        <v>141</v>
      </c>
      <c r="H198" s="1">
        <v>9145000209</v>
      </c>
      <c r="I198" s="1" t="s">
        <v>48</v>
      </c>
      <c r="J198" s="1">
        <v>7</v>
      </c>
      <c r="K198" s="1" t="s">
        <v>142</v>
      </c>
      <c r="L198" s="1">
        <v>9141001810</v>
      </c>
      <c r="M198" s="1" t="s">
        <v>364</v>
      </c>
      <c r="N198" s="1" t="s">
        <v>351</v>
      </c>
      <c r="O198" s="1" t="s">
        <v>352</v>
      </c>
      <c r="P198" s="1" t="s">
        <v>146</v>
      </c>
      <c r="Q198" s="1" t="s">
        <v>147</v>
      </c>
      <c r="R198" s="1" t="s">
        <v>162</v>
      </c>
      <c r="S198" s="44">
        <v>5.91</v>
      </c>
      <c r="T198" s="44">
        <v>6.77</v>
      </c>
      <c r="U198" s="44">
        <v>7.64</v>
      </c>
      <c r="V198" s="44">
        <v>0</v>
      </c>
      <c r="W198" s="44">
        <v>0</v>
      </c>
      <c r="X198" s="45">
        <v>297.29000000000002</v>
      </c>
      <c r="Y198" s="45">
        <v>3433700</v>
      </c>
      <c r="Z198" s="45"/>
      <c r="AA198" s="46">
        <v>3433700</v>
      </c>
    </row>
    <row r="199" spans="1:27" ht="15" customHeight="1">
      <c r="A199" s="56"/>
      <c r="B199" s="56" t="s">
        <v>149</v>
      </c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7"/>
      <c r="T199" s="57"/>
      <c r="U199" s="57"/>
      <c r="V199" s="57"/>
      <c r="W199" s="57"/>
      <c r="X199" s="58">
        <f>SUM(X198)</f>
        <v>297.29000000000002</v>
      </c>
      <c r="Y199" s="58">
        <f t="shared" ref="Y199:AA199" si="34">SUM(Y198)</f>
        <v>3433700</v>
      </c>
      <c r="Z199" s="58">
        <f t="shared" si="34"/>
        <v>0</v>
      </c>
      <c r="AA199" s="58">
        <f t="shared" si="34"/>
        <v>3433700</v>
      </c>
    </row>
    <row r="200" spans="1:27" ht="15" customHeight="1">
      <c r="A200" s="1">
        <v>36</v>
      </c>
      <c r="B200" s="1" t="s">
        <v>365</v>
      </c>
      <c r="C200" s="1" t="s">
        <v>366</v>
      </c>
      <c r="D200" s="1" t="s">
        <v>367</v>
      </c>
      <c r="E200" s="1" t="s">
        <v>366</v>
      </c>
      <c r="F200" s="1" t="s">
        <v>183</v>
      </c>
      <c r="G200" s="1" t="s">
        <v>141</v>
      </c>
      <c r="H200" s="1">
        <v>358</v>
      </c>
      <c r="I200" s="1" t="s">
        <v>71</v>
      </c>
      <c r="J200" s="1">
        <v>1046</v>
      </c>
      <c r="K200" s="1" t="s">
        <v>339</v>
      </c>
      <c r="L200" s="1">
        <v>1001007793</v>
      </c>
      <c r="M200" s="1"/>
      <c r="N200" s="1" t="s">
        <v>321</v>
      </c>
      <c r="O200" s="1" t="s">
        <v>297</v>
      </c>
      <c r="P200" s="1" t="s">
        <v>146</v>
      </c>
      <c r="Q200" s="1" t="s">
        <v>147</v>
      </c>
      <c r="R200" s="1" t="s">
        <v>148</v>
      </c>
      <c r="S200" s="44">
        <v>0</v>
      </c>
      <c r="T200" s="44">
        <v>0</v>
      </c>
      <c r="U200" s="44">
        <v>0</v>
      </c>
      <c r="V200" s="44">
        <v>0</v>
      </c>
      <c r="W200" s="44">
        <v>0</v>
      </c>
      <c r="X200" s="45">
        <v>24</v>
      </c>
      <c r="Y200" s="45">
        <v>226670</v>
      </c>
      <c r="Z200" s="45"/>
      <c r="AA200" s="46">
        <v>226670</v>
      </c>
    </row>
    <row r="201" spans="1:27" ht="15" customHeight="1">
      <c r="A201" s="1">
        <v>36</v>
      </c>
      <c r="B201" s="1" t="s">
        <v>365</v>
      </c>
      <c r="C201" s="1" t="s">
        <v>366</v>
      </c>
      <c r="D201" s="1" t="s">
        <v>367</v>
      </c>
      <c r="E201" s="1" t="s">
        <v>366</v>
      </c>
      <c r="F201" s="1" t="s">
        <v>170</v>
      </c>
      <c r="G201" s="1" t="s">
        <v>141</v>
      </c>
      <c r="H201" s="1">
        <v>1942</v>
      </c>
      <c r="I201" s="1" t="s">
        <v>74</v>
      </c>
      <c r="J201" s="1">
        <v>434</v>
      </c>
      <c r="K201" s="1" t="s">
        <v>171</v>
      </c>
      <c r="L201" s="1">
        <v>1001019556</v>
      </c>
      <c r="M201" s="1" t="s">
        <v>368</v>
      </c>
      <c r="N201" s="1" t="s">
        <v>334</v>
      </c>
      <c r="O201" s="1" t="s">
        <v>297</v>
      </c>
      <c r="P201" s="1" t="s">
        <v>146</v>
      </c>
      <c r="Q201" s="1" t="s">
        <v>147</v>
      </c>
      <c r="R201" s="1" t="s">
        <v>148</v>
      </c>
      <c r="S201" s="44">
        <v>0</v>
      </c>
      <c r="T201" s="44">
        <v>0</v>
      </c>
      <c r="U201" s="44">
        <v>0</v>
      </c>
      <c r="V201" s="44">
        <v>0</v>
      </c>
      <c r="W201" s="44">
        <v>0</v>
      </c>
      <c r="X201" s="45">
        <v>7363.68</v>
      </c>
      <c r="Y201" s="45">
        <v>94255104</v>
      </c>
      <c r="Z201" s="45"/>
      <c r="AA201" s="46">
        <v>94255104</v>
      </c>
    </row>
    <row r="202" spans="1:27" ht="15" customHeight="1">
      <c r="A202" s="1">
        <v>36</v>
      </c>
      <c r="B202" s="1" t="s">
        <v>365</v>
      </c>
      <c r="C202" s="1" t="s">
        <v>366</v>
      </c>
      <c r="D202" s="1" t="s">
        <v>367</v>
      </c>
      <c r="E202" s="1" t="s">
        <v>366</v>
      </c>
      <c r="F202" s="1" t="s">
        <v>170</v>
      </c>
      <c r="G202" s="1" t="s">
        <v>141</v>
      </c>
      <c r="H202" s="1">
        <v>1005000329</v>
      </c>
      <c r="I202" s="1" t="s">
        <v>75</v>
      </c>
      <c r="J202" s="1">
        <v>351</v>
      </c>
      <c r="K202" s="1" t="s">
        <v>171</v>
      </c>
      <c r="L202" s="1">
        <v>1001020120</v>
      </c>
      <c r="M202" s="1" t="s">
        <v>369</v>
      </c>
      <c r="N202" s="1" t="s">
        <v>334</v>
      </c>
      <c r="O202" s="1" t="s">
        <v>297</v>
      </c>
      <c r="P202" s="1" t="s">
        <v>146</v>
      </c>
      <c r="Q202" s="1" t="s">
        <v>147</v>
      </c>
      <c r="R202" s="1" t="s">
        <v>148</v>
      </c>
      <c r="S202" s="44">
        <v>42.76</v>
      </c>
      <c r="T202" s="44">
        <v>2.14</v>
      </c>
      <c r="U202" s="44">
        <v>0</v>
      </c>
      <c r="V202" s="44">
        <v>0</v>
      </c>
      <c r="W202" s="44">
        <v>0</v>
      </c>
      <c r="X202" s="45">
        <v>13237.72</v>
      </c>
      <c r="Y202" s="45">
        <v>178047339</v>
      </c>
      <c r="Z202" s="45"/>
      <c r="AA202" s="46">
        <v>178047339</v>
      </c>
    </row>
    <row r="203" spans="1:27" ht="15" customHeight="1">
      <c r="A203" s="1">
        <v>36</v>
      </c>
      <c r="B203" s="1" t="s">
        <v>365</v>
      </c>
      <c r="C203" s="1" t="s">
        <v>366</v>
      </c>
      <c r="D203" s="1" t="s">
        <v>367</v>
      </c>
      <c r="E203" s="1" t="s">
        <v>366</v>
      </c>
      <c r="F203" s="1" t="s">
        <v>170</v>
      </c>
      <c r="G203" s="1" t="s">
        <v>141</v>
      </c>
      <c r="H203" s="1">
        <v>1005000330</v>
      </c>
      <c r="I203" s="1" t="s">
        <v>75</v>
      </c>
      <c r="J203" s="1">
        <v>351</v>
      </c>
      <c r="K203" s="1" t="s">
        <v>171</v>
      </c>
      <c r="L203" s="1">
        <v>1001020121</v>
      </c>
      <c r="M203" s="1" t="s">
        <v>370</v>
      </c>
      <c r="N203" s="1" t="s">
        <v>334</v>
      </c>
      <c r="O203" s="1" t="s">
        <v>297</v>
      </c>
      <c r="P203" s="1" t="s">
        <v>146</v>
      </c>
      <c r="Q203" s="1" t="s">
        <v>147</v>
      </c>
      <c r="R203" s="1" t="s">
        <v>148</v>
      </c>
      <c r="S203" s="44">
        <v>42.07</v>
      </c>
      <c r="T203" s="44">
        <v>2.0299999999999998</v>
      </c>
      <c r="U203" s="44">
        <v>0</v>
      </c>
      <c r="V203" s="44">
        <v>0</v>
      </c>
      <c r="W203" s="44">
        <v>0</v>
      </c>
      <c r="X203" s="45">
        <v>10542.28</v>
      </c>
      <c r="Y203" s="45">
        <v>141793671</v>
      </c>
      <c r="Z203" s="45"/>
      <c r="AA203" s="46">
        <v>141793671</v>
      </c>
    </row>
    <row r="204" spans="1:27" ht="15" customHeight="1">
      <c r="A204" s="1">
        <v>36</v>
      </c>
      <c r="B204" s="1" t="s">
        <v>365</v>
      </c>
      <c r="C204" s="1" t="s">
        <v>366</v>
      </c>
      <c r="D204" s="1" t="s">
        <v>367</v>
      </c>
      <c r="E204" s="1" t="s">
        <v>366</v>
      </c>
      <c r="F204" s="1" t="s">
        <v>170</v>
      </c>
      <c r="G204" s="1" t="s">
        <v>141</v>
      </c>
      <c r="H204" s="1">
        <v>1005002371</v>
      </c>
      <c r="I204" s="1" t="s">
        <v>60</v>
      </c>
      <c r="J204" s="1">
        <v>21</v>
      </c>
      <c r="K204" s="1" t="s">
        <v>171</v>
      </c>
      <c r="L204" s="1">
        <v>1001027388</v>
      </c>
      <c r="M204" s="1" t="s">
        <v>371</v>
      </c>
      <c r="N204" s="1" t="s">
        <v>334</v>
      </c>
      <c r="O204" s="1" t="s">
        <v>297</v>
      </c>
      <c r="P204" s="1" t="s">
        <v>146</v>
      </c>
      <c r="Q204" s="1" t="s">
        <v>147</v>
      </c>
      <c r="R204" s="1" t="s">
        <v>148</v>
      </c>
      <c r="S204" s="44">
        <v>35.64</v>
      </c>
      <c r="T204" s="44">
        <v>1.37</v>
      </c>
      <c r="U204" s="44">
        <v>0</v>
      </c>
      <c r="V204" s="44">
        <v>0</v>
      </c>
      <c r="W204" s="44">
        <v>0</v>
      </c>
      <c r="X204" s="45">
        <v>2606.27</v>
      </c>
      <c r="Y204" s="45">
        <v>32578375</v>
      </c>
      <c r="Z204" s="45"/>
      <c r="AA204" s="46">
        <v>32578375</v>
      </c>
    </row>
    <row r="205" spans="1:27" ht="15" customHeight="1">
      <c r="A205" s="1">
        <v>36</v>
      </c>
      <c r="B205" s="1" t="s">
        <v>365</v>
      </c>
      <c r="C205" s="1" t="s">
        <v>366</v>
      </c>
      <c r="D205" s="1" t="s">
        <v>367</v>
      </c>
      <c r="E205" s="1" t="s">
        <v>366</v>
      </c>
      <c r="F205" s="1" t="s">
        <v>170</v>
      </c>
      <c r="G205" s="1" t="s">
        <v>141</v>
      </c>
      <c r="H205" s="1">
        <v>9091000054</v>
      </c>
      <c r="I205" s="1" t="s">
        <v>34</v>
      </c>
      <c r="J205" s="1">
        <v>437</v>
      </c>
      <c r="K205" s="1" t="s">
        <v>171</v>
      </c>
      <c r="L205" s="1">
        <v>1601000007</v>
      </c>
      <c r="M205" s="1" t="s">
        <v>372</v>
      </c>
      <c r="N205" s="1" t="s">
        <v>334</v>
      </c>
      <c r="O205" s="1" t="s">
        <v>297</v>
      </c>
      <c r="P205" s="1" t="s">
        <v>146</v>
      </c>
      <c r="Q205" s="1" t="s">
        <v>147</v>
      </c>
      <c r="R205" s="1" t="s">
        <v>373</v>
      </c>
      <c r="S205" s="44">
        <v>0</v>
      </c>
      <c r="T205" s="44">
        <v>0</v>
      </c>
      <c r="U205" s="44">
        <v>0</v>
      </c>
      <c r="V205" s="44">
        <v>0</v>
      </c>
      <c r="W205" s="44">
        <v>0</v>
      </c>
      <c r="X205" s="45">
        <v>12515.28</v>
      </c>
      <c r="Y205" s="45">
        <v>163950194</v>
      </c>
      <c r="Z205" s="45"/>
      <c r="AA205" s="46">
        <v>163950194</v>
      </c>
    </row>
    <row r="206" spans="1:27" ht="15" customHeight="1">
      <c r="A206" s="56"/>
      <c r="B206" s="56" t="s">
        <v>149</v>
      </c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7"/>
      <c r="T206" s="57"/>
      <c r="U206" s="57"/>
      <c r="V206" s="57"/>
      <c r="W206" s="57"/>
      <c r="X206" s="58">
        <f>SUM(X200:X205)</f>
        <v>46289.229999999996</v>
      </c>
      <c r="Y206" s="58">
        <f t="shared" ref="Y206:AA206" si="35">SUM(Y200:Y205)</f>
        <v>610851353</v>
      </c>
      <c r="Z206" s="58">
        <f t="shared" si="35"/>
        <v>0</v>
      </c>
      <c r="AA206" s="58">
        <f t="shared" si="35"/>
        <v>610851353</v>
      </c>
    </row>
    <row r="207" spans="1:27" ht="15" customHeight="1">
      <c r="A207" s="1">
        <v>37</v>
      </c>
      <c r="B207" s="1" t="s">
        <v>374</v>
      </c>
      <c r="C207" s="1" t="s">
        <v>375</v>
      </c>
      <c r="D207" s="1" t="s">
        <v>376</v>
      </c>
      <c r="E207" s="1" t="s">
        <v>375</v>
      </c>
      <c r="F207" s="1" t="s">
        <v>183</v>
      </c>
      <c r="G207" s="1" t="s">
        <v>141</v>
      </c>
      <c r="H207" s="1">
        <v>373</v>
      </c>
      <c r="I207" s="1" t="s">
        <v>71</v>
      </c>
      <c r="J207" s="1">
        <v>1046</v>
      </c>
      <c r="K207" s="1" t="s">
        <v>171</v>
      </c>
      <c r="L207" s="1">
        <v>1001008788</v>
      </c>
      <c r="M207" s="1" t="s">
        <v>377</v>
      </c>
      <c r="N207" s="1" t="s">
        <v>321</v>
      </c>
      <c r="O207" s="1" t="s">
        <v>297</v>
      </c>
      <c r="P207" s="1" t="s">
        <v>146</v>
      </c>
      <c r="Q207" s="1" t="s">
        <v>147</v>
      </c>
      <c r="R207" s="1" t="s">
        <v>148</v>
      </c>
      <c r="S207" s="44">
        <v>0</v>
      </c>
      <c r="T207" s="44">
        <v>0</v>
      </c>
      <c r="U207" s="44">
        <v>0</v>
      </c>
      <c r="V207" s="44">
        <v>0</v>
      </c>
      <c r="W207" s="44">
        <v>0</v>
      </c>
      <c r="X207" s="45">
        <v>1148</v>
      </c>
      <c r="Y207" s="45">
        <v>11821585</v>
      </c>
      <c r="Z207" s="45"/>
      <c r="AA207" s="46">
        <v>11821585</v>
      </c>
    </row>
    <row r="208" spans="1:27" ht="15" customHeight="1">
      <c r="A208" s="1">
        <v>37</v>
      </c>
      <c r="B208" s="1" t="s">
        <v>374</v>
      </c>
      <c r="C208" s="1" t="s">
        <v>375</v>
      </c>
      <c r="D208" s="1" t="s">
        <v>376</v>
      </c>
      <c r="E208" s="1" t="s">
        <v>375</v>
      </c>
      <c r="F208" s="1" t="s">
        <v>183</v>
      </c>
      <c r="G208" s="1" t="s">
        <v>141</v>
      </c>
      <c r="H208" s="1">
        <v>399</v>
      </c>
      <c r="I208" s="1" t="s">
        <v>58</v>
      </c>
      <c r="J208" s="1">
        <v>1041</v>
      </c>
      <c r="K208" s="1" t="s">
        <v>171</v>
      </c>
      <c r="L208" s="1">
        <v>1001009115</v>
      </c>
      <c r="M208" s="1" t="s">
        <v>378</v>
      </c>
      <c r="N208" s="1" t="s">
        <v>321</v>
      </c>
      <c r="O208" s="1" t="s">
        <v>297</v>
      </c>
      <c r="P208" s="1" t="s">
        <v>146</v>
      </c>
      <c r="Q208" s="1" t="s">
        <v>147</v>
      </c>
      <c r="R208" s="1" t="s">
        <v>148</v>
      </c>
      <c r="S208" s="44">
        <v>0</v>
      </c>
      <c r="T208" s="44">
        <v>0</v>
      </c>
      <c r="U208" s="44">
        <v>0</v>
      </c>
      <c r="V208" s="44">
        <v>0</v>
      </c>
      <c r="W208" s="44">
        <v>0</v>
      </c>
      <c r="X208" s="45">
        <v>670</v>
      </c>
      <c r="Y208" s="45">
        <v>6835183</v>
      </c>
      <c r="Z208" s="45"/>
      <c r="AA208" s="46">
        <v>6835183</v>
      </c>
    </row>
    <row r="209" spans="1:27" ht="15" customHeight="1">
      <c r="A209" s="1">
        <v>37</v>
      </c>
      <c r="B209" s="1" t="s">
        <v>374</v>
      </c>
      <c r="C209" s="1" t="s">
        <v>375</v>
      </c>
      <c r="D209" s="1" t="s">
        <v>376</v>
      </c>
      <c r="E209" s="1" t="s">
        <v>375</v>
      </c>
      <c r="F209" s="1" t="s">
        <v>183</v>
      </c>
      <c r="G209" s="1" t="s">
        <v>141</v>
      </c>
      <c r="H209" s="1">
        <v>404</v>
      </c>
      <c r="I209" s="1" t="s">
        <v>58</v>
      </c>
      <c r="J209" s="1">
        <v>1041</v>
      </c>
      <c r="K209" s="1" t="s">
        <v>171</v>
      </c>
      <c r="L209" s="1">
        <v>1001009556</v>
      </c>
      <c r="M209" s="1" t="s">
        <v>320</v>
      </c>
      <c r="N209" s="1" t="s">
        <v>321</v>
      </c>
      <c r="O209" s="1" t="s">
        <v>297</v>
      </c>
      <c r="P209" s="1" t="s">
        <v>146</v>
      </c>
      <c r="Q209" s="1" t="s">
        <v>147</v>
      </c>
      <c r="R209" s="1" t="s">
        <v>148</v>
      </c>
      <c r="S209" s="44">
        <v>0</v>
      </c>
      <c r="T209" s="44">
        <v>0</v>
      </c>
      <c r="U209" s="44">
        <v>0</v>
      </c>
      <c r="V209" s="44">
        <v>0</v>
      </c>
      <c r="W209" s="44">
        <v>0</v>
      </c>
      <c r="X209" s="45">
        <v>264</v>
      </c>
      <c r="Y209" s="45">
        <v>2692514</v>
      </c>
      <c r="Z209" s="45"/>
      <c r="AA209" s="46">
        <v>2692514</v>
      </c>
    </row>
    <row r="210" spans="1:27" ht="15" customHeight="1">
      <c r="A210" s="1">
        <v>37</v>
      </c>
      <c r="B210" s="1" t="s">
        <v>374</v>
      </c>
      <c r="C210" s="1" t="s">
        <v>375</v>
      </c>
      <c r="D210" s="1" t="s">
        <v>376</v>
      </c>
      <c r="E210" s="1" t="s">
        <v>375</v>
      </c>
      <c r="F210" s="1" t="s">
        <v>153</v>
      </c>
      <c r="G210" s="1" t="s">
        <v>141</v>
      </c>
      <c r="H210" s="1">
        <v>441</v>
      </c>
      <c r="I210" s="1" t="s">
        <v>76</v>
      </c>
      <c r="J210" s="1">
        <v>1027</v>
      </c>
      <c r="K210" s="1" t="s">
        <v>171</v>
      </c>
      <c r="L210" s="1">
        <v>1001009781</v>
      </c>
      <c r="M210" s="1" t="s">
        <v>379</v>
      </c>
      <c r="N210" s="1" t="s">
        <v>321</v>
      </c>
      <c r="O210" s="1" t="s">
        <v>297</v>
      </c>
      <c r="P210" s="1" t="s">
        <v>146</v>
      </c>
      <c r="Q210" s="1" t="s">
        <v>147</v>
      </c>
      <c r="R210" s="1" t="s">
        <v>148</v>
      </c>
      <c r="S210" s="44">
        <v>0</v>
      </c>
      <c r="T210" s="44">
        <v>0</v>
      </c>
      <c r="U210" s="44">
        <v>0</v>
      </c>
      <c r="V210" s="44">
        <v>0</v>
      </c>
      <c r="W210" s="44">
        <v>0</v>
      </c>
      <c r="X210" s="45">
        <v>979</v>
      </c>
      <c r="Y210" s="45">
        <v>10180731</v>
      </c>
      <c r="Z210" s="45"/>
      <c r="AA210" s="46">
        <v>10180731</v>
      </c>
    </row>
    <row r="211" spans="1:27" ht="15" customHeight="1">
      <c r="A211" s="1">
        <v>37</v>
      </c>
      <c r="B211" s="1" t="s">
        <v>374</v>
      </c>
      <c r="C211" s="1" t="s">
        <v>375</v>
      </c>
      <c r="D211" s="1" t="s">
        <v>376</v>
      </c>
      <c r="E211" s="1" t="s">
        <v>375</v>
      </c>
      <c r="F211" s="1" t="s">
        <v>153</v>
      </c>
      <c r="G211" s="1" t="s">
        <v>141</v>
      </c>
      <c r="H211" s="1">
        <v>579</v>
      </c>
      <c r="I211" s="1" t="s">
        <v>77</v>
      </c>
      <c r="J211" s="1">
        <v>980</v>
      </c>
      <c r="K211" s="1" t="s">
        <v>171</v>
      </c>
      <c r="L211" s="1">
        <v>1001010075</v>
      </c>
      <c r="M211" s="1" t="s">
        <v>282</v>
      </c>
      <c r="N211" s="1" t="s">
        <v>321</v>
      </c>
      <c r="O211" s="1" t="s">
        <v>297</v>
      </c>
      <c r="P211" s="1" t="s">
        <v>146</v>
      </c>
      <c r="Q211" s="1" t="s">
        <v>147</v>
      </c>
      <c r="R211" s="1" t="s">
        <v>148</v>
      </c>
      <c r="S211" s="44">
        <v>0</v>
      </c>
      <c r="T211" s="44">
        <v>0</v>
      </c>
      <c r="U211" s="44">
        <v>0</v>
      </c>
      <c r="V211" s="44">
        <v>0</v>
      </c>
      <c r="W211" s="44">
        <v>0</v>
      </c>
      <c r="X211" s="45">
        <v>2066</v>
      </c>
      <c r="Y211" s="45">
        <v>45035848</v>
      </c>
      <c r="Z211" s="45"/>
      <c r="AA211" s="46">
        <v>45035848</v>
      </c>
    </row>
    <row r="212" spans="1:27" ht="15" customHeight="1">
      <c r="A212" s="56"/>
      <c r="B212" s="56" t="s">
        <v>149</v>
      </c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7"/>
      <c r="T212" s="57"/>
      <c r="U212" s="57"/>
      <c r="V212" s="57"/>
      <c r="W212" s="57"/>
      <c r="X212" s="58">
        <f>SUM(X207:X211)</f>
        <v>5127</v>
      </c>
      <c r="Y212" s="58">
        <f t="shared" ref="Y212:AA212" si="36">SUM(Y207:Y211)</f>
        <v>76565861</v>
      </c>
      <c r="Z212" s="58">
        <f t="shared" si="36"/>
        <v>0</v>
      </c>
      <c r="AA212" s="58">
        <f t="shared" si="36"/>
        <v>76565861</v>
      </c>
    </row>
    <row r="213" spans="1:27" ht="15" customHeight="1">
      <c r="A213" s="1">
        <v>38</v>
      </c>
      <c r="B213" s="1" t="s">
        <v>380</v>
      </c>
      <c r="C213" s="1" t="s">
        <v>381</v>
      </c>
      <c r="D213" s="1" t="s">
        <v>382</v>
      </c>
      <c r="E213" s="1" t="s">
        <v>381</v>
      </c>
      <c r="F213" s="1" t="s">
        <v>183</v>
      </c>
      <c r="G213" s="1" t="s">
        <v>141</v>
      </c>
      <c r="H213" s="1">
        <v>377</v>
      </c>
      <c r="I213" s="1" t="s">
        <v>71</v>
      </c>
      <c r="J213" s="1">
        <v>1046</v>
      </c>
      <c r="K213" s="1" t="s">
        <v>171</v>
      </c>
      <c r="L213" s="1">
        <v>1001008980</v>
      </c>
      <c r="M213" s="1" t="s">
        <v>383</v>
      </c>
      <c r="N213" s="1" t="s">
        <v>321</v>
      </c>
      <c r="O213" s="1" t="s">
        <v>297</v>
      </c>
      <c r="P213" s="1" t="s">
        <v>146</v>
      </c>
      <c r="Q213" s="1" t="s">
        <v>147</v>
      </c>
      <c r="R213" s="1" t="s">
        <v>148</v>
      </c>
      <c r="S213" s="44">
        <v>0</v>
      </c>
      <c r="T213" s="44">
        <v>0</v>
      </c>
      <c r="U213" s="44">
        <v>0</v>
      </c>
      <c r="V213" s="44">
        <v>0</v>
      </c>
      <c r="W213" s="44">
        <v>0</v>
      </c>
      <c r="X213" s="45">
        <v>255</v>
      </c>
      <c r="Y213" s="45">
        <v>2558160</v>
      </c>
      <c r="Z213" s="45"/>
      <c r="AA213" s="46">
        <v>2558160</v>
      </c>
    </row>
    <row r="214" spans="1:27" ht="15" customHeight="1">
      <c r="A214" s="56"/>
      <c r="B214" s="56" t="s">
        <v>149</v>
      </c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7"/>
      <c r="T214" s="57"/>
      <c r="U214" s="57"/>
      <c r="V214" s="57"/>
      <c r="W214" s="57"/>
      <c r="X214" s="58">
        <f>SUM(X213)</f>
        <v>255</v>
      </c>
      <c r="Y214" s="58">
        <f t="shared" ref="Y214:AA214" si="37">SUM(Y213)</f>
        <v>2558160</v>
      </c>
      <c r="Z214" s="58">
        <f t="shared" si="37"/>
        <v>0</v>
      </c>
      <c r="AA214" s="58">
        <f t="shared" si="37"/>
        <v>2558160</v>
      </c>
    </row>
    <row r="215" spans="1:27" ht="15" customHeight="1">
      <c r="A215" s="1">
        <v>39</v>
      </c>
      <c r="B215" s="1" t="s">
        <v>384</v>
      </c>
      <c r="C215" s="1" t="s">
        <v>385</v>
      </c>
      <c r="D215" s="1" t="s">
        <v>386</v>
      </c>
      <c r="E215" s="1" t="s">
        <v>385</v>
      </c>
      <c r="F215" s="1" t="s">
        <v>183</v>
      </c>
      <c r="G215" s="1" t="s">
        <v>141</v>
      </c>
      <c r="H215" s="1">
        <v>9271000017</v>
      </c>
      <c r="I215" s="1" t="s">
        <v>71</v>
      </c>
      <c r="J215" s="1">
        <v>1046</v>
      </c>
      <c r="K215" s="1" t="s">
        <v>171</v>
      </c>
      <c r="L215" s="1">
        <v>1351000229</v>
      </c>
      <c r="M215" s="1"/>
      <c r="N215" s="1" t="s">
        <v>321</v>
      </c>
      <c r="O215" s="1" t="s">
        <v>297</v>
      </c>
      <c r="P215" s="1" t="s">
        <v>146</v>
      </c>
      <c r="Q215" s="1" t="s">
        <v>147</v>
      </c>
      <c r="R215" s="1" t="s">
        <v>341</v>
      </c>
      <c r="S215" s="44">
        <v>0</v>
      </c>
      <c r="T215" s="44">
        <v>0</v>
      </c>
      <c r="U215" s="44">
        <v>0</v>
      </c>
      <c r="V215" s="44">
        <v>0</v>
      </c>
      <c r="W215" s="44">
        <v>0</v>
      </c>
      <c r="X215" s="45">
        <v>365</v>
      </c>
      <c r="Y215" s="45">
        <v>3654840</v>
      </c>
      <c r="Z215" s="45"/>
      <c r="AA215" s="46">
        <v>3654840</v>
      </c>
    </row>
    <row r="216" spans="1:27" ht="15" customHeight="1">
      <c r="A216" s="56"/>
      <c r="B216" s="56" t="s">
        <v>149</v>
      </c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7"/>
      <c r="T216" s="57"/>
      <c r="U216" s="57"/>
      <c r="V216" s="57"/>
      <c r="W216" s="57"/>
      <c r="X216" s="58">
        <f>SUM(X215)</f>
        <v>365</v>
      </c>
      <c r="Y216" s="58">
        <f t="shared" ref="Y216:AA216" si="38">SUM(Y215)</f>
        <v>3654840</v>
      </c>
      <c r="Z216" s="58">
        <f t="shared" si="38"/>
        <v>0</v>
      </c>
      <c r="AA216" s="58">
        <f t="shared" si="38"/>
        <v>3654840</v>
      </c>
    </row>
    <row r="217" spans="1:27" ht="15" customHeight="1">
      <c r="A217" s="1">
        <v>40</v>
      </c>
      <c r="B217" s="1" t="s">
        <v>387</v>
      </c>
      <c r="C217" s="1" t="s">
        <v>388</v>
      </c>
      <c r="D217" s="1" t="s">
        <v>389</v>
      </c>
      <c r="E217" s="1" t="s">
        <v>388</v>
      </c>
      <c r="F217" s="1" t="s">
        <v>183</v>
      </c>
      <c r="G217" s="1" t="s">
        <v>141</v>
      </c>
      <c r="H217" s="1">
        <v>401</v>
      </c>
      <c r="I217" s="1" t="s">
        <v>58</v>
      </c>
      <c r="J217" s="1">
        <v>1041</v>
      </c>
      <c r="K217" s="1" t="s">
        <v>171</v>
      </c>
      <c r="L217" s="1">
        <v>1001009172</v>
      </c>
      <c r="M217" s="1" t="s">
        <v>390</v>
      </c>
      <c r="N217" s="1" t="s">
        <v>321</v>
      </c>
      <c r="O217" s="1" t="s">
        <v>297</v>
      </c>
      <c r="P217" s="1" t="s">
        <v>146</v>
      </c>
      <c r="Q217" s="1" t="s">
        <v>147</v>
      </c>
      <c r="R217" s="1" t="s">
        <v>148</v>
      </c>
      <c r="S217" s="44">
        <v>0</v>
      </c>
      <c r="T217" s="44">
        <v>0</v>
      </c>
      <c r="U217" s="44">
        <v>0</v>
      </c>
      <c r="V217" s="44">
        <v>0</v>
      </c>
      <c r="W217" s="44">
        <v>0</v>
      </c>
      <c r="X217" s="45">
        <v>4486</v>
      </c>
      <c r="Y217" s="45">
        <v>47105730</v>
      </c>
      <c r="Z217" s="45"/>
      <c r="AA217" s="46">
        <v>47105730</v>
      </c>
    </row>
    <row r="218" spans="1:27" ht="15" customHeight="1">
      <c r="A218" s="1">
        <v>40</v>
      </c>
      <c r="B218" s="1" t="s">
        <v>387</v>
      </c>
      <c r="C218" s="1" t="s">
        <v>388</v>
      </c>
      <c r="D218" s="1" t="s">
        <v>389</v>
      </c>
      <c r="E218" s="1" t="s">
        <v>388</v>
      </c>
      <c r="F218" s="1" t="s">
        <v>153</v>
      </c>
      <c r="G218" s="1" t="s">
        <v>141</v>
      </c>
      <c r="H218" s="1">
        <v>631</v>
      </c>
      <c r="I218" s="1" t="s">
        <v>67</v>
      </c>
      <c r="J218" s="1">
        <v>950</v>
      </c>
      <c r="K218" s="1" t="s">
        <v>171</v>
      </c>
      <c r="L218" s="1">
        <v>1001010998</v>
      </c>
      <c r="M218" s="1" t="s">
        <v>320</v>
      </c>
      <c r="N218" s="1" t="s">
        <v>296</v>
      </c>
      <c r="O218" s="1" t="s">
        <v>297</v>
      </c>
      <c r="P218" s="1" t="s">
        <v>146</v>
      </c>
      <c r="Q218" s="1" t="s">
        <v>147</v>
      </c>
      <c r="R218" s="1" t="s">
        <v>148</v>
      </c>
      <c r="S218" s="44">
        <v>0</v>
      </c>
      <c r="T218" s="44">
        <v>0</v>
      </c>
      <c r="U218" s="44">
        <v>0</v>
      </c>
      <c r="V218" s="44">
        <v>0</v>
      </c>
      <c r="W218" s="44">
        <v>0</v>
      </c>
      <c r="X218" s="45">
        <v>105</v>
      </c>
      <c r="Y218" s="45">
        <v>2009722</v>
      </c>
      <c r="Z218" s="45"/>
      <c r="AA218" s="46">
        <v>2009722</v>
      </c>
    </row>
    <row r="219" spans="1:27" ht="15" customHeight="1">
      <c r="A219" s="56"/>
      <c r="B219" s="56" t="s">
        <v>149</v>
      </c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7"/>
      <c r="T219" s="57"/>
      <c r="U219" s="57"/>
      <c r="V219" s="57"/>
      <c r="W219" s="57"/>
      <c r="X219" s="58">
        <f>SUM(X217:X218)</f>
        <v>4591</v>
      </c>
      <c r="Y219" s="58">
        <f t="shared" ref="Y219:AA219" si="39">SUM(Y217:Y218)</f>
        <v>49115452</v>
      </c>
      <c r="Z219" s="58">
        <f t="shared" si="39"/>
        <v>0</v>
      </c>
      <c r="AA219" s="58">
        <f t="shared" si="39"/>
        <v>49115452</v>
      </c>
    </row>
    <row r="220" spans="1:27" ht="15" customHeight="1">
      <c r="A220" s="1">
        <v>41</v>
      </c>
      <c r="B220" s="1" t="s">
        <v>391</v>
      </c>
      <c r="C220" s="1" t="s">
        <v>392</v>
      </c>
      <c r="D220" s="1" t="s">
        <v>393</v>
      </c>
      <c r="E220" s="1" t="s">
        <v>392</v>
      </c>
      <c r="F220" s="1" t="s">
        <v>140</v>
      </c>
      <c r="G220" s="1" t="s">
        <v>141</v>
      </c>
      <c r="H220" s="1">
        <v>9271000184</v>
      </c>
      <c r="I220" s="1" t="s">
        <v>78</v>
      </c>
      <c r="J220" s="1">
        <v>512</v>
      </c>
      <c r="K220" s="1" t="s">
        <v>226</v>
      </c>
      <c r="L220" s="1">
        <v>1361001393</v>
      </c>
      <c r="M220" s="1" t="s">
        <v>394</v>
      </c>
      <c r="N220" s="1" t="s">
        <v>178</v>
      </c>
      <c r="O220" s="1" t="s">
        <v>179</v>
      </c>
      <c r="P220" s="1" t="s">
        <v>146</v>
      </c>
      <c r="Q220" s="1" t="s">
        <v>147</v>
      </c>
      <c r="R220" s="1" t="s">
        <v>228</v>
      </c>
      <c r="S220" s="44">
        <v>0</v>
      </c>
      <c r="T220" s="44">
        <v>0</v>
      </c>
      <c r="U220" s="44">
        <v>0</v>
      </c>
      <c r="V220" s="44">
        <v>0</v>
      </c>
      <c r="W220" s="44">
        <v>0</v>
      </c>
      <c r="X220" s="45">
        <v>698.01</v>
      </c>
      <c r="Y220" s="45">
        <v>684045</v>
      </c>
      <c r="Z220" s="45"/>
      <c r="AA220" s="46">
        <v>684045</v>
      </c>
    </row>
    <row r="221" spans="1:27" ht="15" customHeight="1">
      <c r="A221" s="1">
        <v>41</v>
      </c>
      <c r="B221" s="1" t="s">
        <v>391</v>
      </c>
      <c r="C221" s="1" t="s">
        <v>392</v>
      </c>
      <c r="D221" s="1" t="s">
        <v>393</v>
      </c>
      <c r="E221" s="1" t="s">
        <v>392</v>
      </c>
      <c r="F221" s="1" t="s">
        <v>140</v>
      </c>
      <c r="G221" s="1" t="s">
        <v>141</v>
      </c>
      <c r="H221" s="1">
        <v>9271000185</v>
      </c>
      <c r="I221" s="1" t="s">
        <v>78</v>
      </c>
      <c r="J221" s="1">
        <v>512</v>
      </c>
      <c r="K221" s="1" t="s">
        <v>226</v>
      </c>
      <c r="L221" s="1">
        <v>1361001393</v>
      </c>
      <c r="M221" s="1" t="s">
        <v>394</v>
      </c>
      <c r="N221" s="1" t="s">
        <v>178</v>
      </c>
      <c r="O221" s="1" t="s">
        <v>179</v>
      </c>
      <c r="P221" s="1" t="s">
        <v>146</v>
      </c>
      <c r="Q221" s="1" t="s">
        <v>147</v>
      </c>
      <c r="R221" s="1" t="s">
        <v>228</v>
      </c>
      <c r="S221" s="44">
        <v>0</v>
      </c>
      <c r="T221" s="44">
        <v>0</v>
      </c>
      <c r="U221" s="44">
        <v>0</v>
      </c>
      <c r="V221" s="44">
        <v>0</v>
      </c>
      <c r="W221" s="44">
        <v>0</v>
      </c>
      <c r="X221" s="45">
        <v>0.1</v>
      </c>
      <c r="Y221" s="45">
        <v>75245</v>
      </c>
      <c r="Z221" s="45"/>
      <c r="AA221" s="46">
        <v>75245</v>
      </c>
    </row>
    <row r="222" spans="1:27" ht="15" customHeight="1">
      <c r="A222" s="56"/>
      <c r="B222" s="56" t="s">
        <v>149</v>
      </c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7"/>
      <c r="T222" s="57"/>
      <c r="U222" s="57"/>
      <c r="V222" s="57"/>
      <c r="W222" s="57"/>
      <c r="X222" s="58">
        <f>SUM(X220:X221)</f>
        <v>698.11</v>
      </c>
      <c r="Y222" s="58">
        <f t="shared" ref="Y222:AA222" si="40">SUM(Y220:Y221)</f>
        <v>759290</v>
      </c>
      <c r="Z222" s="58">
        <f t="shared" si="40"/>
        <v>0</v>
      </c>
      <c r="AA222" s="58">
        <f t="shared" si="40"/>
        <v>759290</v>
      </c>
    </row>
    <row r="223" spans="1:27" ht="15" customHeight="1">
      <c r="A223" s="1">
        <v>42</v>
      </c>
      <c r="B223" s="1" t="s">
        <v>395</v>
      </c>
      <c r="C223" s="1" t="s">
        <v>396</v>
      </c>
      <c r="D223" s="1" t="s">
        <v>397</v>
      </c>
      <c r="E223" s="1" t="s">
        <v>396</v>
      </c>
      <c r="F223" s="1" t="s">
        <v>170</v>
      </c>
      <c r="G223" s="1" t="s">
        <v>141</v>
      </c>
      <c r="H223" s="1">
        <v>1005001427</v>
      </c>
      <c r="I223" s="1" t="s">
        <v>79</v>
      </c>
      <c r="J223" s="1">
        <v>164</v>
      </c>
      <c r="K223" s="1" t="s">
        <v>171</v>
      </c>
      <c r="L223" s="1">
        <v>1001024630</v>
      </c>
      <c r="M223" s="1" t="s">
        <v>398</v>
      </c>
      <c r="N223" s="1" t="s">
        <v>178</v>
      </c>
      <c r="O223" s="1" t="s">
        <v>179</v>
      </c>
      <c r="P223" s="1" t="s">
        <v>146</v>
      </c>
      <c r="Q223" s="1" t="s">
        <v>147</v>
      </c>
      <c r="R223" s="1" t="s">
        <v>148</v>
      </c>
      <c r="S223" s="44">
        <v>0</v>
      </c>
      <c r="T223" s="44">
        <v>20.76</v>
      </c>
      <c r="U223" s="44">
        <v>0.77</v>
      </c>
      <c r="V223" s="44">
        <v>0</v>
      </c>
      <c r="W223" s="44">
        <v>0</v>
      </c>
      <c r="X223" s="45">
        <v>2503.7199999999998</v>
      </c>
      <c r="Y223" s="45">
        <v>3029503</v>
      </c>
      <c r="Z223" s="45"/>
      <c r="AA223" s="46">
        <v>3029503</v>
      </c>
    </row>
    <row r="224" spans="1:27" ht="15" customHeight="1">
      <c r="A224" s="56"/>
      <c r="B224" s="56" t="s">
        <v>149</v>
      </c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7"/>
      <c r="T224" s="57"/>
      <c r="U224" s="57"/>
      <c r="V224" s="57"/>
      <c r="W224" s="57"/>
      <c r="X224" s="58">
        <f>SUM(X223)</f>
        <v>2503.7199999999998</v>
      </c>
      <c r="Y224" s="58">
        <f t="shared" ref="Y224:AA224" si="41">SUM(Y223)</f>
        <v>3029503</v>
      </c>
      <c r="Z224" s="58">
        <f t="shared" si="41"/>
        <v>0</v>
      </c>
      <c r="AA224" s="58">
        <f t="shared" si="41"/>
        <v>3029503</v>
      </c>
    </row>
    <row r="225" spans="1:27" ht="15" customHeight="1">
      <c r="A225" s="1">
        <v>43</v>
      </c>
      <c r="B225" s="1" t="s">
        <v>399</v>
      </c>
      <c r="C225" s="1" t="s">
        <v>400</v>
      </c>
      <c r="D225" s="1" t="s">
        <v>401</v>
      </c>
      <c r="E225" s="1" t="s">
        <v>400</v>
      </c>
      <c r="F225" s="1" t="s">
        <v>153</v>
      </c>
      <c r="G225" s="1" t="s">
        <v>141</v>
      </c>
      <c r="H225" s="1">
        <v>1005002457</v>
      </c>
      <c r="I225" s="1" t="s">
        <v>9</v>
      </c>
      <c r="J225" s="1">
        <v>9</v>
      </c>
      <c r="K225" s="1" t="s">
        <v>253</v>
      </c>
      <c r="L225" s="1">
        <v>1001027801</v>
      </c>
      <c r="M225" s="1" t="s">
        <v>402</v>
      </c>
      <c r="N225" s="1" t="s">
        <v>144</v>
      </c>
      <c r="O225" s="1" t="s">
        <v>145</v>
      </c>
      <c r="P225" s="1" t="s">
        <v>146</v>
      </c>
      <c r="Q225" s="1" t="s">
        <v>147</v>
      </c>
      <c r="R225" s="1" t="s">
        <v>148</v>
      </c>
      <c r="S225" s="44">
        <v>3.5</v>
      </c>
      <c r="T225" s="44">
        <v>0.64</v>
      </c>
      <c r="U225" s="44">
        <v>0</v>
      </c>
      <c r="V225" s="44">
        <v>2.15</v>
      </c>
      <c r="W225" s="44">
        <v>0</v>
      </c>
      <c r="X225" s="45">
        <v>243.34</v>
      </c>
      <c r="Y225" s="45">
        <v>3632580</v>
      </c>
      <c r="Z225" s="45">
        <v>399583.8</v>
      </c>
      <c r="AA225" s="46">
        <v>4032163.8</v>
      </c>
    </row>
    <row r="226" spans="1:27" ht="15" customHeight="1">
      <c r="A226" s="56"/>
      <c r="B226" s="56" t="s">
        <v>149</v>
      </c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7"/>
      <c r="T226" s="57"/>
      <c r="U226" s="57"/>
      <c r="V226" s="57"/>
      <c r="W226" s="57"/>
      <c r="X226" s="58">
        <f>SUM(X225)</f>
        <v>243.34</v>
      </c>
      <c r="Y226" s="58">
        <f t="shared" ref="Y226:AA226" si="42">SUM(Y225)</f>
        <v>3632580</v>
      </c>
      <c r="Z226" s="58">
        <f t="shared" si="42"/>
        <v>399583.8</v>
      </c>
      <c r="AA226" s="58">
        <f t="shared" si="42"/>
        <v>4032163.8</v>
      </c>
    </row>
    <row r="227" spans="1:27" ht="15" customHeight="1">
      <c r="A227" s="1">
        <v>44</v>
      </c>
      <c r="B227" s="1" t="s">
        <v>403</v>
      </c>
      <c r="C227" s="1" t="s">
        <v>404</v>
      </c>
      <c r="D227" s="49" t="s">
        <v>419</v>
      </c>
      <c r="E227" s="1" t="s">
        <v>404</v>
      </c>
      <c r="F227" s="1" t="s">
        <v>170</v>
      </c>
      <c r="G227" s="1" t="s">
        <v>141</v>
      </c>
      <c r="H227" s="1">
        <v>1005002337</v>
      </c>
      <c r="I227" s="1" t="s">
        <v>80</v>
      </c>
      <c r="J227" s="1">
        <v>30</v>
      </c>
      <c r="K227" s="1" t="s">
        <v>171</v>
      </c>
      <c r="L227" s="1">
        <v>1001026742</v>
      </c>
      <c r="M227" s="1" t="s">
        <v>405</v>
      </c>
      <c r="N227" s="1" t="s">
        <v>178</v>
      </c>
      <c r="O227" s="1" t="s">
        <v>179</v>
      </c>
      <c r="P227" s="1" t="s">
        <v>146</v>
      </c>
      <c r="Q227" s="1" t="s">
        <v>147</v>
      </c>
      <c r="R227" s="1" t="s">
        <v>148</v>
      </c>
      <c r="S227" s="44">
        <v>0</v>
      </c>
      <c r="T227" s="44">
        <v>25.94</v>
      </c>
      <c r="U227" s="44">
        <v>1.56</v>
      </c>
      <c r="V227" s="44">
        <v>0</v>
      </c>
      <c r="W227" s="44">
        <v>0</v>
      </c>
      <c r="X227" s="45">
        <v>4220.72</v>
      </c>
      <c r="Y227" s="45">
        <v>4685000</v>
      </c>
      <c r="Z227" s="45"/>
      <c r="AA227" s="46">
        <v>4685000</v>
      </c>
    </row>
    <row r="228" spans="1:27" ht="15" customHeight="1">
      <c r="A228" s="56"/>
      <c r="B228" s="56" t="s">
        <v>149</v>
      </c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7"/>
      <c r="T228" s="57"/>
      <c r="U228" s="57"/>
      <c r="V228" s="57"/>
      <c r="W228" s="57"/>
      <c r="X228" s="58">
        <f>SUM(X227)</f>
        <v>4220.72</v>
      </c>
      <c r="Y228" s="58">
        <f t="shared" ref="Y228:AA228" si="43">SUM(Y227)</f>
        <v>4685000</v>
      </c>
      <c r="Z228" s="58">
        <f t="shared" si="43"/>
        <v>0</v>
      </c>
      <c r="AA228" s="58">
        <f t="shared" si="43"/>
        <v>4685000</v>
      </c>
    </row>
    <row r="229" spans="1:27" ht="15" customHeight="1">
      <c r="A229" s="1">
        <v>45</v>
      </c>
      <c r="B229" s="1" t="s">
        <v>406</v>
      </c>
      <c r="C229" s="1" t="s">
        <v>407</v>
      </c>
      <c r="D229" s="1" t="s">
        <v>408</v>
      </c>
      <c r="E229" s="1" t="s">
        <v>407</v>
      </c>
      <c r="F229" s="1" t="s">
        <v>140</v>
      </c>
      <c r="G229" s="1" t="s">
        <v>141</v>
      </c>
      <c r="H229" s="1">
        <v>1005000110</v>
      </c>
      <c r="I229" s="1" t="s">
        <v>81</v>
      </c>
      <c r="J229" s="1">
        <v>121</v>
      </c>
      <c r="K229" s="1" t="s">
        <v>409</v>
      </c>
      <c r="L229" s="1">
        <v>1001017864</v>
      </c>
      <c r="M229" s="1">
        <v>8007102041</v>
      </c>
      <c r="N229" s="1" t="s">
        <v>178</v>
      </c>
      <c r="O229" s="1" t="s">
        <v>179</v>
      </c>
      <c r="P229" s="1" t="s">
        <v>146</v>
      </c>
      <c r="Q229" s="1" t="s">
        <v>147</v>
      </c>
      <c r="R229" s="1" t="s">
        <v>148</v>
      </c>
      <c r="S229" s="44">
        <v>0</v>
      </c>
      <c r="T229" s="44">
        <v>0</v>
      </c>
      <c r="U229" s="44">
        <v>0</v>
      </c>
      <c r="V229" s="44">
        <v>0</v>
      </c>
      <c r="W229" s="44">
        <v>0</v>
      </c>
      <c r="X229" s="45">
        <v>3110.51</v>
      </c>
      <c r="Y229" s="45">
        <v>1928516</v>
      </c>
      <c r="Z229" s="45"/>
      <c r="AA229" s="46">
        <v>1928516</v>
      </c>
    </row>
    <row r="230" spans="1:27" ht="15" customHeight="1">
      <c r="A230" s="1">
        <v>45</v>
      </c>
      <c r="B230" s="1" t="s">
        <v>406</v>
      </c>
      <c r="C230" s="1" t="s">
        <v>407</v>
      </c>
      <c r="D230" s="1" t="s">
        <v>408</v>
      </c>
      <c r="E230" s="1" t="s">
        <v>407</v>
      </c>
      <c r="F230" s="1" t="s">
        <v>140</v>
      </c>
      <c r="G230" s="1" t="s">
        <v>141</v>
      </c>
      <c r="H230" s="1">
        <v>1005000111</v>
      </c>
      <c r="I230" s="1" t="s">
        <v>82</v>
      </c>
      <c r="J230" s="1">
        <v>375</v>
      </c>
      <c r="K230" s="1" t="s">
        <v>409</v>
      </c>
      <c r="L230" s="1">
        <v>1001017869</v>
      </c>
      <c r="M230" s="1">
        <v>8007102042</v>
      </c>
      <c r="N230" s="1" t="s">
        <v>178</v>
      </c>
      <c r="O230" s="1" t="s">
        <v>179</v>
      </c>
      <c r="P230" s="1" t="s">
        <v>146</v>
      </c>
      <c r="Q230" s="1" t="s">
        <v>147</v>
      </c>
      <c r="R230" s="1" t="s">
        <v>148</v>
      </c>
      <c r="S230" s="44">
        <v>0</v>
      </c>
      <c r="T230" s="44">
        <v>0</v>
      </c>
      <c r="U230" s="44">
        <v>0</v>
      </c>
      <c r="V230" s="44">
        <v>0</v>
      </c>
      <c r="W230" s="44">
        <v>0</v>
      </c>
      <c r="X230" s="45">
        <v>20000</v>
      </c>
      <c r="Y230" s="45">
        <v>12680000</v>
      </c>
      <c r="Z230" s="45"/>
      <c r="AA230" s="46">
        <v>12680000</v>
      </c>
    </row>
    <row r="231" spans="1:27" ht="15" customHeight="1">
      <c r="A231" s="1">
        <v>45</v>
      </c>
      <c r="B231" s="1" t="s">
        <v>406</v>
      </c>
      <c r="C231" s="1" t="s">
        <v>407</v>
      </c>
      <c r="D231" s="1" t="s">
        <v>408</v>
      </c>
      <c r="E231" s="1" t="s">
        <v>407</v>
      </c>
      <c r="F231" s="1" t="s">
        <v>140</v>
      </c>
      <c r="G231" s="1" t="s">
        <v>141</v>
      </c>
      <c r="H231" s="1">
        <v>1005000112</v>
      </c>
      <c r="I231" s="1" t="s">
        <v>81</v>
      </c>
      <c r="J231" s="1">
        <v>121</v>
      </c>
      <c r="K231" s="1" t="s">
        <v>409</v>
      </c>
      <c r="L231" s="1">
        <v>1001019787</v>
      </c>
      <c r="M231" s="1">
        <v>8007102060</v>
      </c>
      <c r="N231" s="1" t="s">
        <v>178</v>
      </c>
      <c r="O231" s="1" t="s">
        <v>179</v>
      </c>
      <c r="P231" s="1" t="s">
        <v>146</v>
      </c>
      <c r="Q231" s="1" t="s">
        <v>147</v>
      </c>
      <c r="R231" s="1" t="s">
        <v>148</v>
      </c>
      <c r="S231" s="44">
        <v>0</v>
      </c>
      <c r="T231" s="44">
        <v>0</v>
      </c>
      <c r="U231" s="44">
        <v>0</v>
      </c>
      <c r="V231" s="44">
        <v>0</v>
      </c>
      <c r="W231" s="44">
        <v>0</v>
      </c>
      <c r="X231" s="45">
        <v>3872.75</v>
      </c>
      <c r="Y231" s="45">
        <v>3051727</v>
      </c>
      <c r="Z231" s="45"/>
      <c r="AA231" s="46">
        <v>3051727</v>
      </c>
    </row>
    <row r="232" spans="1:27" ht="15" customHeight="1">
      <c r="A232" s="1">
        <v>45</v>
      </c>
      <c r="B232" s="1" t="s">
        <v>406</v>
      </c>
      <c r="C232" s="1" t="s">
        <v>407</v>
      </c>
      <c r="D232" s="1" t="s">
        <v>408</v>
      </c>
      <c r="E232" s="1" t="s">
        <v>407</v>
      </c>
      <c r="F232" s="1" t="s">
        <v>140</v>
      </c>
      <c r="G232" s="1" t="s">
        <v>141</v>
      </c>
      <c r="H232" s="1">
        <v>1005000114</v>
      </c>
      <c r="I232" s="1" t="s">
        <v>82</v>
      </c>
      <c r="J232" s="1">
        <v>375</v>
      </c>
      <c r="K232" s="1" t="s">
        <v>409</v>
      </c>
      <c r="L232" s="1">
        <v>1001019789</v>
      </c>
      <c r="M232" s="1">
        <v>8007102062</v>
      </c>
      <c r="N232" s="1" t="s">
        <v>178</v>
      </c>
      <c r="O232" s="1" t="s">
        <v>179</v>
      </c>
      <c r="P232" s="1" t="s">
        <v>146</v>
      </c>
      <c r="Q232" s="1" t="s">
        <v>147</v>
      </c>
      <c r="R232" s="1" t="s">
        <v>148</v>
      </c>
      <c r="S232" s="44">
        <v>0</v>
      </c>
      <c r="T232" s="44">
        <v>0</v>
      </c>
      <c r="U232" s="44">
        <v>0</v>
      </c>
      <c r="V232" s="44">
        <v>0</v>
      </c>
      <c r="W232" s="44">
        <v>0</v>
      </c>
      <c r="X232" s="45">
        <v>33242.39</v>
      </c>
      <c r="Y232" s="45">
        <v>25264216</v>
      </c>
      <c r="Z232" s="45"/>
      <c r="AA232" s="46">
        <v>25264216</v>
      </c>
    </row>
    <row r="233" spans="1:27" ht="15" customHeight="1">
      <c r="A233" s="1">
        <v>45</v>
      </c>
      <c r="B233" s="1" t="s">
        <v>406</v>
      </c>
      <c r="C233" s="1" t="s">
        <v>407</v>
      </c>
      <c r="D233" s="1" t="s">
        <v>408</v>
      </c>
      <c r="E233" s="1" t="s">
        <v>407</v>
      </c>
      <c r="F233" s="1" t="s">
        <v>140</v>
      </c>
      <c r="G233" s="1" t="s">
        <v>141</v>
      </c>
      <c r="H233" s="1">
        <v>1005001981</v>
      </c>
      <c r="I233" s="1" t="s">
        <v>81</v>
      </c>
      <c r="J233" s="1">
        <v>121</v>
      </c>
      <c r="K233" s="1" t="s">
        <v>409</v>
      </c>
      <c r="L233" s="1">
        <v>1001020628</v>
      </c>
      <c r="M233" s="1">
        <v>8007102084</v>
      </c>
      <c r="N233" s="1" t="s">
        <v>178</v>
      </c>
      <c r="O233" s="1" t="s">
        <v>179</v>
      </c>
      <c r="P233" s="1" t="s">
        <v>146</v>
      </c>
      <c r="Q233" s="1" t="s">
        <v>147</v>
      </c>
      <c r="R233" s="1" t="s">
        <v>148</v>
      </c>
      <c r="S233" s="44">
        <v>0</v>
      </c>
      <c r="T233" s="44">
        <v>20.74</v>
      </c>
      <c r="U233" s="44">
        <v>0</v>
      </c>
      <c r="V233" s="44">
        <v>0</v>
      </c>
      <c r="W233" s="44">
        <v>0</v>
      </c>
      <c r="X233" s="45">
        <v>801.19</v>
      </c>
      <c r="Y233" s="45">
        <v>631338</v>
      </c>
      <c r="Z233" s="45"/>
      <c r="AA233" s="46">
        <v>631338</v>
      </c>
    </row>
    <row r="234" spans="1:27" ht="15" customHeight="1">
      <c r="A234" s="1">
        <v>45</v>
      </c>
      <c r="B234" s="1" t="s">
        <v>406</v>
      </c>
      <c r="C234" s="1" t="s">
        <v>407</v>
      </c>
      <c r="D234" s="1" t="s">
        <v>408</v>
      </c>
      <c r="E234" s="1" t="s">
        <v>407</v>
      </c>
      <c r="F234" s="1" t="s">
        <v>140</v>
      </c>
      <c r="G234" s="1" t="s">
        <v>141</v>
      </c>
      <c r="H234" s="1">
        <v>1005001982</v>
      </c>
      <c r="I234" s="1" t="s">
        <v>83</v>
      </c>
      <c r="J234" s="1">
        <v>78</v>
      </c>
      <c r="K234" s="1" t="s">
        <v>409</v>
      </c>
      <c r="L234" s="1">
        <v>1001021240</v>
      </c>
      <c r="M234" s="1" t="s">
        <v>410</v>
      </c>
      <c r="N234" s="1" t="s">
        <v>178</v>
      </c>
      <c r="O234" s="1" t="s">
        <v>179</v>
      </c>
      <c r="P234" s="1" t="s">
        <v>146</v>
      </c>
      <c r="Q234" s="1" t="s">
        <v>147</v>
      </c>
      <c r="R234" s="1" t="s">
        <v>148</v>
      </c>
      <c r="S234" s="44">
        <v>0</v>
      </c>
      <c r="T234" s="44">
        <v>23.78</v>
      </c>
      <c r="U234" s="44">
        <v>0</v>
      </c>
      <c r="V234" s="44">
        <v>0</v>
      </c>
      <c r="W234" s="44">
        <v>0</v>
      </c>
      <c r="X234" s="45">
        <v>19667.740000000002</v>
      </c>
      <c r="Y234" s="45">
        <v>14436121</v>
      </c>
      <c r="Z234" s="45"/>
      <c r="AA234" s="46">
        <v>14436121</v>
      </c>
    </row>
    <row r="235" spans="1:27" ht="15" customHeight="1">
      <c r="A235" s="1">
        <v>45</v>
      </c>
      <c r="B235" s="1" t="s">
        <v>406</v>
      </c>
      <c r="C235" s="1" t="s">
        <v>407</v>
      </c>
      <c r="D235" s="1" t="s">
        <v>408</v>
      </c>
      <c r="E235" s="1" t="s">
        <v>407</v>
      </c>
      <c r="F235" s="1" t="s">
        <v>140</v>
      </c>
      <c r="G235" s="1" t="s">
        <v>141</v>
      </c>
      <c r="H235" s="1">
        <v>1005001985</v>
      </c>
      <c r="I235" s="1" t="s">
        <v>81</v>
      </c>
      <c r="J235" s="1">
        <v>121</v>
      </c>
      <c r="K235" s="1" t="s">
        <v>409</v>
      </c>
      <c r="L235" s="1">
        <v>1001020623</v>
      </c>
      <c r="M235" s="1">
        <v>8007102085</v>
      </c>
      <c r="N235" s="1" t="s">
        <v>178</v>
      </c>
      <c r="O235" s="1" t="s">
        <v>179</v>
      </c>
      <c r="P235" s="1" t="s">
        <v>146</v>
      </c>
      <c r="Q235" s="1" t="s">
        <v>147</v>
      </c>
      <c r="R235" s="1" t="s">
        <v>148</v>
      </c>
      <c r="S235" s="44">
        <v>0</v>
      </c>
      <c r="T235" s="44">
        <v>23.07</v>
      </c>
      <c r="U235" s="44">
        <v>0</v>
      </c>
      <c r="V235" s="44">
        <v>0</v>
      </c>
      <c r="W235" s="44">
        <v>0</v>
      </c>
      <c r="X235" s="45">
        <v>29936.57</v>
      </c>
      <c r="Y235" s="45">
        <v>22572174</v>
      </c>
      <c r="Z235" s="45"/>
      <c r="AA235" s="46">
        <v>22572174</v>
      </c>
    </row>
    <row r="236" spans="1:27" ht="15" customHeight="1">
      <c r="A236" s="1">
        <v>45</v>
      </c>
      <c r="B236" s="1" t="s">
        <v>406</v>
      </c>
      <c r="C236" s="1" t="s">
        <v>407</v>
      </c>
      <c r="D236" s="1" t="s">
        <v>408</v>
      </c>
      <c r="E236" s="1" t="s">
        <v>407</v>
      </c>
      <c r="F236" s="1" t="s">
        <v>140</v>
      </c>
      <c r="G236" s="1" t="s">
        <v>141</v>
      </c>
      <c r="H236" s="1">
        <v>1005001986</v>
      </c>
      <c r="I236" s="1" t="s">
        <v>83</v>
      </c>
      <c r="J236" s="1">
        <v>78</v>
      </c>
      <c r="K236" s="1" t="s">
        <v>409</v>
      </c>
      <c r="L236" s="1">
        <v>1001020625</v>
      </c>
      <c r="M236" s="1">
        <v>8007102086</v>
      </c>
      <c r="N236" s="1" t="s">
        <v>178</v>
      </c>
      <c r="O236" s="1" t="s">
        <v>179</v>
      </c>
      <c r="P236" s="1" t="s">
        <v>146</v>
      </c>
      <c r="Q236" s="1" t="s">
        <v>147</v>
      </c>
      <c r="R236" s="1" t="s">
        <v>148</v>
      </c>
      <c r="S236" s="44">
        <v>0</v>
      </c>
      <c r="T236" s="44">
        <v>23.81</v>
      </c>
      <c r="U236" s="44">
        <v>0</v>
      </c>
      <c r="V236" s="44">
        <v>0</v>
      </c>
      <c r="W236" s="44">
        <v>0</v>
      </c>
      <c r="X236" s="45">
        <v>26232.04</v>
      </c>
      <c r="Y236" s="45">
        <v>19936350</v>
      </c>
      <c r="Z236" s="45"/>
      <c r="AA236" s="46">
        <v>19936350</v>
      </c>
    </row>
    <row r="237" spans="1:27" ht="15" customHeight="1">
      <c r="A237" s="1">
        <v>45</v>
      </c>
      <c r="B237" s="1" t="s">
        <v>406</v>
      </c>
      <c r="C237" s="1" t="s">
        <v>407</v>
      </c>
      <c r="D237" s="1" t="s">
        <v>408</v>
      </c>
      <c r="E237" s="1" t="s">
        <v>407</v>
      </c>
      <c r="F237" s="1" t="s">
        <v>140</v>
      </c>
      <c r="G237" s="1" t="s">
        <v>141</v>
      </c>
      <c r="H237" s="1">
        <v>1005001987</v>
      </c>
      <c r="I237" s="1" t="s">
        <v>81</v>
      </c>
      <c r="J237" s="1">
        <v>121</v>
      </c>
      <c r="K237" s="1" t="s">
        <v>409</v>
      </c>
      <c r="L237" s="1">
        <v>1001021239</v>
      </c>
      <c r="M237" s="1" t="s">
        <v>411</v>
      </c>
      <c r="N237" s="1" t="s">
        <v>178</v>
      </c>
      <c r="O237" s="1" t="s">
        <v>179</v>
      </c>
      <c r="P237" s="1" t="s">
        <v>146</v>
      </c>
      <c r="Q237" s="1" t="s">
        <v>147</v>
      </c>
      <c r="R237" s="1" t="s">
        <v>148</v>
      </c>
      <c r="S237" s="44">
        <v>0</v>
      </c>
      <c r="T237" s="44">
        <v>21.32</v>
      </c>
      <c r="U237" s="44">
        <v>0</v>
      </c>
      <c r="V237" s="44">
        <v>0</v>
      </c>
      <c r="W237" s="44">
        <v>0</v>
      </c>
      <c r="X237" s="45">
        <v>8608.2999999999993</v>
      </c>
      <c r="Y237" s="45">
        <v>6611174</v>
      </c>
      <c r="Z237" s="45"/>
      <c r="AA237" s="46">
        <v>6611174</v>
      </c>
    </row>
    <row r="238" spans="1:27" ht="15" customHeight="1">
      <c r="A238" s="1">
        <v>45</v>
      </c>
      <c r="B238" s="1" t="s">
        <v>406</v>
      </c>
      <c r="C238" s="1" t="s">
        <v>407</v>
      </c>
      <c r="D238" s="1" t="s">
        <v>408</v>
      </c>
      <c r="E238" s="1" t="s">
        <v>407</v>
      </c>
      <c r="F238" s="1" t="s">
        <v>140</v>
      </c>
      <c r="G238" s="1" t="s">
        <v>141</v>
      </c>
      <c r="H238" s="1">
        <v>1005001988</v>
      </c>
      <c r="I238" s="1" t="s">
        <v>83</v>
      </c>
      <c r="J238" s="1">
        <v>78</v>
      </c>
      <c r="K238" s="1" t="s">
        <v>409</v>
      </c>
      <c r="L238" s="1">
        <v>1001023387</v>
      </c>
      <c r="M238" s="1">
        <v>8007102105</v>
      </c>
      <c r="N238" s="1" t="s">
        <v>178</v>
      </c>
      <c r="O238" s="1" t="s">
        <v>179</v>
      </c>
      <c r="P238" s="1" t="s">
        <v>146</v>
      </c>
      <c r="Q238" s="1" t="s">
        <v>147</v>
      </c>
      <c r="R238" s="1" t="s">
        <v>148</v>
      </c>
      <c r="S238" s="44">
        <v>0</v>
      </c>
      <c r="T238" s="44">
        <v>22.82</v>
      </c>
      <c r="U238" s="44">
        <v>0</v>
      </c>
      <c r="V238" s="44">
        <v>0</v>
      </c>
      <c r="W238" s="44">
        <v>0</v>
      </c>
      <c r="X238" s="45">
        <v>15851.89</v>
      </c>
      <c r="Y238" s="45">
        <v>12586401</v>
      </c>
      <c r="Z238" s="45"/>
      <c r="AA238" s="46">
        <v>12586401</v>
      </c>
    </row>
    <row r="239" spans="1:27" ht="15" customHeight="1">
      <c r="A239" s="56"/>
      <c r="B239" s="56" t="s">
        <v>149</v>
      </c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7"/>
      <c r="T239" s="57"/>
      <c r="U239" s="57"/>
      <c r="V239" s="57"/>
      <c r="W239" s="57"/>
      <c r="X239" s="58">
        <f>SUM(X229:X238)</f>
        <v>161323.38</v>
      </c>
      <c r="Y239" s="58">
        <f t="shared" ref="Y239:AA239" si="44">SUM(Y229:Y238)</f>
        <v>119698017</v>
      </c>
      <c r="Z239" s="58">
        <f t="shared" si="44"/>
        <v>0</v>
      </c>
      <c r="AA239" s="58">
        <f t="shared" si="44"/>
        <v>119698017</v>
      </c>
    </row>
    <row r="240" spans="1:27" ht="15" customHeight="1">
      <c r="A240" s="1">
        <v>46</v>
      </c>
      <c r="B240" s="1" t="s">
        <v>412</v>
      </c>
      <c r="C240" s="1" t="s">
        <v>413</v>
      </c>
      <c r="D240" s="1" t="s">
        <v>414</v>
      </c>
      <c r="E240" s="1" t="s">
        <v>413</v>
      </c>
      <c r="F240" s="1" t="s">
        <v>153</v>
      </c>
      <c r="G240" s="1" t="s">
        <v>141</v>
      </c>
      <c r="H240" s="1">
        <v>1385000063</v>
      </c>
      <c r="I240" s="1" t="s">
        <v>39</v>
      </c>
      <c r="J240" s="1">
        <v>65</v>
      </c>
      <c r="K240" s="1" t="s">
        <v>253</v>
      </c>
      <c r="L240" s="1">
        <v>1381002279</v>
      </c>
      <c r="M240" s="1" t="s">
        <v>415</v>
      </c>
      <c r="N240" s="1" t="s">
        <v>144</v>
      </c>
      <c r="O240" s="1" t="s">
        <v>145</v>
      </c>
      <c r="P240" s="1" t="s">
        <v>146</v>
      </c>
      <c r="Q240" s="1" t="s">
        <v>147</v>
      </c>
      <c r="R240" s="1" t="s">
        <v>255</v>
      </c>
      <c r="S240" s="44">
        <v>5.52</v>
      </c>
      <c r="T240" s="44">
        <v>0.34</v>
      </c>
      <c r="U240" s="44">
        <v>0</v>
      </c>
      <c r="V240" s="44">
        <v>2.1</v>
      </c>
      <c r="W240" s="44">
        <v>0</v>
      </c>
      <c r="X240" s="45">
        <v>110320</v>
      </c>
      <c r="Y240" s="45">
        <v>6830500</v>
      </c>
      <c r="Z240" s="45"/>
      <c r="AA240" s="46">
        <v>6830500</v>
      </c>
    </row>
    <row r="241" spans="1:27" ht="15" customHeight="1">
      <c r="A241" s="1">
        <v>46</v>
      </c>
      <c r="B241" s="1" t="s">
        <v>412</v>
      </c>
      <c r="C241" s="1" t="s">
        <v>413</v>
      </c>
      <c r="D241" s="1" t="s">
        <v>414</v>
      </c>
      <c r="E241" s="1" t="s">
        <v>413</v>
      </c>
      <c r="F241" s="1" t="s">
        <v>153</v>
      </c>
      <c r="G241" s="1" t="s">
        <v>141</v>
      </c>
      <c r="H241" s="1">
        <v>1385000066</v>
      </c>
      <c r="I241" s="1" t="s">
        <v>39</v>
      </c>
      <c r="J241" s="1">
        <v>65</v>
      </c>
      <c r="K241" s="1" t="s">
        <v>253</v>
      </c>
      <c r="L241" s="1">
        <v>1381002274</v>
      </c>
      <c r="M241" s="1" t="s">
        <v>416</v>
      </c>
      <c r="N241" s="1" t="s">
        <v>144</v>
      </c>
      <c r="O241" s="1" t="s">
        <v>145</v>
      </c>
      <c r="P241" s="1" t="s">
        <v>146</v>
      </c>
      <c r="Q241" s="1" t="s">
        <v>147</v>
      </c>
      <c r="R241" s="1" t="s">
        <v>255</v>
      </c>
      <c r="S241" s="44">
        <v>5.38</v>
      </c>
      <c r="T241" s="44">
        <v>0.34</v>
      </c>
      <c r="U241" s="44">
        <v>0</v>
      </c>
      <c r="V241" s="44">
        <v>2.1</v>
      </c>
      <c r="W241" s="44">
        <v>0</v>
      </c>
      <c r="X241" s="45">
        <v>66920</v>
      </c>
      <c r="Y241" s="45">
        <v>3494250</v>
      </c>
      <c r="Z241" s="45"/>
      <c r="AA241" s="46">
        <v>3494250</v>
      </c>
    </row>
    <row r="242" spans="1:27" ht="15" customHeight="1">
      <c r="A242" s="56"/>
      <c r="B242" s="56" t="s">
        <v>149</v>
      </c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7"/>
      <c r="T242" s="57"/>
      <c r="U242" s="57"/>
      <c r="V242" s="57"/>
      <c r="W242" s="57"/>
      <c r="X242" s="58">
        <f>SUM(X240:X241)</f>
        <v>177240</v>
      </c>
      <c r="Y242" s="58">
        <f t="shared" ref="Y242:AA242" si="45">SUM(Y240:Y241)</f>
        <v>10324750</v>
      </c>
      <c r="Z242" s="58">
        <f t="shared" si="45"/>
        <v>0</v>
      </c>
      <c r="AA242" s="58">
        <f t="shared" si="45"/>
        <v>10324750</v>
      </c>
    </row>
    <row r="243" spans="1:27" ht="15" customHeight="1">
      <c r="A243" s="1">
        <v>47</v>
      </c>
      <c r="B243" s="1" t="s">
        <v>417</v>
      </c>
      <c r="C243" s="1" t="s">
        <v>418</v>
      </c>
      <c r="D243" s="1" t="s">
        <v>419</v>
      </c>
      <c r="E243" s="1" t="s">
        <v>418</v>
      </c>
      <c r="F243" s="1" t="s">
        <v>140</v>
      </c>
      <c r="G243" s="1" t="s">
        <v>141</v>
      </c>
      <c r="H243" s="1">
        <v>1385000077</v>
      </c>
      <c r="I243" s="1" t="s">
        <v>12</v>
      </c>
      <c r="J243" s="1">
        <v>10</v>
      </c>
      <c r="K243" s="1" t="s">
        <v>253</v>
      </c>
      <c r="L243" s="1">
        <v>1381002350</v>
      </c>
      <c r="M243" s="1" t="s">
        <v>420</v>
      </c>
      <c r="N243" s="1" t="s">
        <v>144</v>
      </c>
      <c r="O243" s="1" t="s">
        <v>145</v>
      </c>
      <c r="P243" s="1" t="s">
        <v>146</v>
      </c>
      <c r="Q243" s="1" t="s">
        <v>147</v>
      </c>
      <c r="R243" s="1" t="s">
        <v>255</v>
      </c>
      <c r="S243" s="44">
        <v>4.5</v>
      </c>
      <c r="T243" s="44">
        <v>0.57999999999999996</v>
      </c>
      <c r="U243" s="44">
        <v>0</v>
      </c>
      <c r="V243" s="44">
        <v>2.1</v>
      </c>
      <c r="W243" s="44">
        <v>0</v>
      </c>
      <c r="X243" s="45">
        <v>22.7</v>
      </c>
      <c r="Y243" s="45">
        <v>324338</v>
      </c>
      <c r="Z243" s="45">
        <v>35677.18</v>
      </c>
      <c r="AA243" s="46">
        <v>360015.18</v>
      </c>
    </row>
    <row r="244" spans="1:27" ht="15" customHeight="1">
      <c r="A244" s="56"/>
      <c r="B244" s="56" t="s">
        <v>149</v>
      </c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7"/>
      <c r="T244" s="57"/>
      <c r="U244" s="57"/>
      <c r="V244" s="57"/>
      <c r="W244" s="57"/>
      <c r="X244" s="58">
        <f>SUM(X243)</f>
        <v>22.7</v>
      </c>
      <c r="Y244" s="58">
        <f t="shared" ref="Y244:AA244" si="46">SUM(Y243)</f>
        <v>324338</v>
      </c>
      <c r="Z244" s="58">
        <f t="shared" si="46"/>
        <v>35677.18</v>
      </c>
      <c r="AA244" s="58">
        <f t="shared" si="46"/>
        <v>360015.18</v>
      </c>
    </row>
    <row r="245" spans="1:27" ht="15" customHeight="1">
      <c r="A245" s="1">
        <v>48</v>
      </c>
      <c r="B245" s="1" t="s">
        <v>421</v>
      </c>
      <c r="C245" s="1" t="s">
        <v>422</v>
      </c>
      <c r="D245" s="1" t="s">
        <v>423</v>
      </c>
      <c r="E245" s="1" t="s">
        <v>422</v>
      </c>
      <c r="F245" s="1" t="s">
        <v>140</v>
      </c>
      <c r="G245" s="1" t="s">
        <v>141</v>
      </c>
      <c r="H245" s="1">
        <v>1892</v>
      </c>
      <c r="I245" s="1" t="s">
        <v>84</v>
      </c>
      <c r="J245" s="1">
        <v>444</v>
      </c>
      <c r="K245" s="1" t="s">
        <v>409</v>
      </c>
      <c r="L245" s="1">
        <v>1001018750</v>
      </c>
      <c r="M245" s="1" t="s">
        <v>282</v>
      </c>
      <c r="N245" s="1" t="s">
        <v>178</v>
      </c>
      <c r="O245" s="1" t="s">
        <v>179</v>
      </c>
      <c r="P245" s="1" t="s">
        <v>146</v>
      </c>
      <c r="Q245" s="1" t="s">
        <v>147</v>
      </c>
      <c r="R245" s="1" t="s">
        <v>148</v>
      </c>
      <c r="S245" s="44">
        <v>0</v>
      </c>
      <c r="T245" s="44">
        <v>20.8</v>
      </c>
      <c r="U245" s="44">
        <v>0.33</v>
      </c>
      <c r="V245" s="44">
        <v>0</v>
      </c>
      <c r="W245" s="44">
        <v>0</v>
      </c>
      <c r="X245" s="45">
        <v>70.08</v>
      </c>
      <c r="Y245" s="45">
        <v>64474</v>
      </c>
      <c r="Z245" s="45"/>
      <c r="AA245" s="46">
        <v>64474</v>
      </c>
    </row>
    <row r="246" spans="1:27" ht="15" customHeight="1">
      <c r="A246" s="56"/>
      <c r="B246" s="56" t="s">
        <v>149</v>
      </c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7"/>
      <c r="T246" s="57"/>
      <c r="U246" s="57"/>
      <c r="V246" s="57"/>
      <c r="W246" s="57"/>
      <c r="X246" s="58">
        <f>SUM(X245)</f>
        <v>70.08</v>
      </c>
      <c r="Y246" s="58">
        <f t="shared" ref="Y246:AA246" si="47">SUM(Y245)</f>
        <v>64474</v>
      </c>
      <c r="Z246" s="58">
        <f t="shared" si="47"/>
        <v>0</v>
      </c>
      <c r="AA246" s="58">
        <f t="shared" si="47"/>
        <v>64474</v>
      </c>
    </row>
    <row r="247" spans="1:27" ht="15" customHeight="1">
      <c r="A247" s="1">
        <v>49</v>
      </c>
      <c r="B247" s="1" t="s">
        <v>424</v>
      </c>
      <c r="C247" s="1" t="s">
        <v>425</v>
      </c>
      <c r="D247" s="1" t="s">
        <v>426</v>
      </c>
      <c r="E247" s="1" t="s">
        <v>425</v>
      </c>
      <c r="F247" s="1" t="s">
        <v>183</v>
      </c>
      <c r="G247" s="1" t="s">
        <v>141</v>
      </c>
      <c r="H247" s="1">
        <v>9141000132</v>
      </c>
      <c r="I247" s="1" t="s">
        <v>85</v>
      </c>
      <c r="J247" s="1">
        <v>765</v>
      </c>
      <c r="K247" s="1" t="s">
        <v>184</v>
      </c>
      <c r="L247" s="1">
        <v>1141000319</v>
      </c>
      <c r="M247" s="1"/>
      <c r="N247" s="1" t="s">
        <v>321</v>
      </c>
      <c r="O247" s="1" t="s">
        <v>297</v>
      </c>
      <c r="P247" s="1" t="s">
        <v>146</v>
      </c>
      <c r="Q247" s="1" t="s">
        <v>147</v>
      </c>
      <c r="R247" s="1" t="s">
        <v>162</v>
      </c>
      <c r="S247" s="44">
        <v>0</v>
      </c>
      <c r="T247" s="44">
        <v>0</v>
      </c>
      <c r="U247" s="44">
        <v>0</v>
      </c>
      <c r="V247" s="44">
        <v>0</v>
      </c>
      <c r="W247" s="44">
        <v>0</v>
      </c>
      <c r="X247" s="45">
        <v>143</v>
      </c>
      <c r="Y247" s="45">
        <v>1433200</v>
      </c>
      <c r="Z247" s="45"/>
      <c r="AA247" s="46">
        <v>1433200</v>
      </c>
    </row>
    <row r="248" spans="1:27" ht="15" customHeight="1">
      <c r="A248" s="1">
        <v>49</v>
      </c>
      <c r="B248" s="1" t="s">
        <v>424</v>
      </c>
      <c r="C248" s="1" t="s">
        <v>425</v>
      </c>
      <c r="D248" s="1" t="s">
        <v>426</v>
      </c>
      <c r="E248" s="1" t="s">
        <v>425</v>
      </c>
      <c r="F248" s="1" t="s">
        <v>183</v>
      </c>
      <c r="G248" s="1" t="s">
        <v>141</v>
      </c>
      <c r="H248" s="1">
        <v>9141000133</v>
      </c>
      <c r="I248" s="1" t="s">
        <v>85</v>
      </c>
      <c r="J248" s="1">
        <v>765</v>
      </c>
      <c r="K248" s="1" t="s">
        <v>184</v>
      </c>
      <c r="L248" s="1">
        <v>1141000319</v>
      </c>
      <c r="M248" s="1"/>
      <c r="N248" s="1" t="s">
        <v>321</v>
      </c>
      <c r="O248" s="1" t="s">
        <v>297</v>
      </c>
      <c r="P248" s="1" t="s">
        <v>146</v>
      </c>
      <c r="Q248" s="1" t="s">
        <v>147</v>
      </c>
      <c r="R248" s="1" t="s">
        <v>162</v>
      </c>
      <c r="S248" s="44">
        <v>0</v>
      </c>
      <c r="T248" s="44">
        <v>0</v>
      </c>
      <c r="U248" s="44">
        <v>0</v>
      </c>
      <c r="V248" s="44">
        <v>0</v>
      </c>
      <c r="W248" s="44">
        <v>0</v>
      </c>
      <c r="X248" s="45">
        <v>0.1</v>
      </c>
      <c r="Y248" s="45">
        <v>157652</v>
      </c>
      <c r="Z248" s="45"/>
      <c r="AA248" s="46">
        <v>157652</v>
      </c>
    </row>
    <row r="249" spans="1:27" ht="15" customHeight="1">
      <c r="A249" s="56"/>
      <c r="B249" s="56" t="s">
        <v>149</v>
      </c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7"/>
      <c r="T249" s="57"/>
      <c r="U249" s="57"/>
      <c r="V249" s="57"/>
      <c r="W249" s="57"/>
      <c r="X249" s="58">
        <f>SUM(X247:X248)</f>
        <v>143.1</v>
      </c>
      <c r="Y249" s="58">
        <f t="shared" ref="Y249:AA249" si="48">SUM(Y247:Y248)</f>
        <v>1590852</v>
      </c>
      <c r="Z249" s="58">
        <f t="shared" si="48"/>
        <v>0</v>
      </c>
      <c r="AA249" s="58">
        <f t="shared" si="48"/>
        <v>1590852</v>
      </c>
    </row>
    <row r="250" spans="1:27" ht="15" customHeight="1">
      <c r="A250" s="1">
        <v>50</v>
      </c>
      <c r="B250" s="1" t="s">
        <v>427</v>
      </c>
      <c r="C250" s="1" t="s">
        <v>428</v>
      </c>
      <c r="D250" s="1" t="s">
        <v>429</v>
      </c>
      <c r="E250" s="1" t="s">
        <v>428</v>
      </c>
      <c r="F250" s="1" t="s">
        <v>183</v>
      </c>
      <c r="G250" s="1" t="s">
        <v>141</v>
      </c>
      <c r="H250" s="1">
        <v>9081000023</v>
      </c>
      <c r="I250" s="1" t="s">
        <v>58</v>
      </c>
      <c r="J250" s="1">
        <v>1041</v>
      </c>
      <c r="K250" s="1" t="s">
        <v>171</v>
      </c>
      <c r="L250" s="1">
        <v>9081000051</v>
      </c>
      <c r="M250" s="1" t="s">
        <v>430</v>
      </c>
      <c r="N250" s="1" t="s">
        <v>321</v>
      </c>
      <c r="O250" s="1" t="s">
        <v>297</v>
      </c>
      <c r="P250" s="1" t="s">
        <v>146</v>
      </c>
      <c r="Q250" s="1" t="s">
        <v>147</v>
      </c>
      <c r="R250" s="1" t="s">
        <v>160</v>
      </c>
      <c r="S250" s="44">
        <v>0</v>
      </c>
      <c r="T250" s="44">
        <v>0</v>
      </c>
      <c r="U250" s="44">
        <v>0</v>
      </c>
      <c r="V250" s="44">
        <v>0</v>
      </c>
      <c r="W250" s="44">
        <v>0</v>
      </c>
      <c r="X250" s="45">
        <v>1425</v>
      </c>
      <c r="Y250" s="45">
        <v>31072826</v>
      </c>
      <c r="Z250" s="45"/>
      <c r="AA250" s="46">
        <v>31072826</v>
      </c>
    </row>
    <row r="251" spans="1:27" ht="15" customHeight="1">
      <c r="A251" s="1">
        <v>50</v>
      </c>
      <c r="B251" s="1" t="s">
        <v>427</v>
      </c>
      <c r="C251" s="1" t="s">
        <v>428</v>
      </c>
      <c r="D251" s="1" t="s">
        <v>429</v>
      </c>
      <c r="E251" s="1" t="s">
        <v>428</v>
      </c>
      <c r="F251" s="1" t="s">
        <v>153</v>
      </c>
      <c r="G251" s="1" t="s">
        <v>141</v>
      </c>
      <c r="H251" s="1">
        <v>9081000026</v>
      </c>
      <c r="I251" s="1" t="s">
        <v>76</v>
      </c>
      <c r="J251" s="1">
        <v>1027</v>
      </c>
      <c r="K251" s="1" t="s">
        <v>171</v>
      </c>
      <c r="L251" s="1">
        <v>9081000100</v>
      </c>
      <c r="M251" s="1" t="s">
        <v>282</v>
      </c>
      <c r="N251" s="1" t="s">
        <v>321</v>
      </c>
      <c r="O251" s="1" t="s">
        <v>297</v>
      </c>
      <c r="P251" s="1" t="s">
        <v>146</v>
      </c>
      <c r="Q251" s="1" t="s">
        <v>147</v>
      </c>
      <c r="R251" s="1" t="s">
        <v>160</v>
      </c>
      <c r="S251" s="44">
        <v>0</v>
      </c>
      <c r="T251" s="44">
        <v>0</v>
      </c>
      <c r="U251" s="44">
        <v>0</v>
      </c>
      <c r="V251" s="44">
        <v>0</v>
      </c>
      <c r="W251" s="44">
        <v>0</v>
      </c>
      <c r="X251" s="45">
        <v>120</v>
      </c>
      <c r="Y251" s="45">
        <v>2381366</v>
      </c>
      <c r="Z251" s="45"/>
      <c r="AA251" s="46">
        <v>2381366</v>
      </c>
    </row>
    <row r="252" spans="1:27" ht="15" customHeight="1">
      <c r="A252" s="1">
        <v>50</v>
      </c>
      <c r="B252" s="1" t="s">
        <v>427</v>
      </c>
      <c r="C252" s="1" t="s">
        <v>428</v>
      </c>
      <c r="D252" s="1" t="s">
        <v>429</v>
      </c>
      <c r="E252" s="1" t="s">
        <v>428</v>
      </c>
      <c r="F252" s="1" t="s">
        <v>153</v>
      </c>
      <c r="G252" s="1" t="s">
        <v>141</v>
      </c>
      <c r="H252" s="1">
        <v>9081000042</v>
      </c>
      <c r="I252" s="1" t="s">
        <v>77</v>
      </c>
      <c r="J252" s="1">
        <v>980</v>
      </c>
      <c r="K252" s="1" t="s">
        <v>171</v>
      </c>
      <c r="L252" s="1">
        <v>9081000120</v>
      </c>
      <c r="M252" s="1"/>
      <c r="N252" s="1" t="s">
        <v>321</v>
      </c>
      <c r="O252" s="1" t="s">
        <v>297</v>
      </c>
      <c r="P252" s="1" t="s">
        <v>146</v>
      </c>
      <c r="Q252" s="1" t="s">
        <v>147</v>
      </c>
      <c r="R252" s="1" t="s">
        <v>160</v>
      </c>
      <c r="S252" s="44">
        <v>0</v>
      </c>
      <c r="T252" s="44">
        <v>0</v>
      </c>
      <c r="U252" s="44">
        <v>0</v>
      </c>
      <c r="V252" s="44">
        <v>0</v>
      </c>
      <c r="W252" s="44">
        <v>0</v>
      </c>
      <c r="X252" s="45">
        <v>1939</v>
      </c>
      <c r="Y252" s="45">
        <v>34894953</v>
      </c>
      <c r="Z252" s="45"/>
      <c r="AA252" s="46">
        <v>34894953</v>
      </c>
    </row>
    <row r="253" spans="1:27" ht="15" customHeight="1">
      <c r="A253" s="56"/>
      <c r="B253" s="56" t="s">
        <v>149</v>
      </c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7"/>
      <c r="T253" s="57"/>
      <c r="U253" s="57"/>
      <c r="V253" s="57"/>
      <c r="W253" s="57"/>
      <c r="X253" s="58">
        <f>SUM(X250:X252)</f>
        <v>3484</v>
      </c>
      <c r="Y253" s="58">
        <f t="shared" ref="Y253:AA253" si="49">SUM(Y250:Y252)</f>
        <v>68349145</v>
      </c>
      <c r="Z253" s="58">
        <f t="shared" si="49"/>
        <v>0</v>
      </c>
      <c r="AA253" s="58">
        <f t="shared" si="49"/>
        <v>68349145</v>
      </c>
    </row>
    <row r="254" spans="1:27" ht="15" customHeight="1">
      <c r="A254" s="1">
        <v>51</v>
      </c>
      <c r="B254" s="1" t="s">
        <v>431</v>
      </c>
      <c r="C254" s="1" t="s">
        <v>432</v>
      </c>
      <c r="D254" s="1" t="s">
        <v>433</v>
      </c>
      <c r="E254" s="1" t="s">
        <v>432</v>
      </c>
      <c r="F254" s="1" t="s">
        <v>183</v>
      </c>
      <c r="G254" s="1" t="s">
        <v>141</v>
      </c>
      <c r="H254" s="1">
        <v>9081000019</v>
      </c>
      <c r="I254" s="1" t="s">
        <v>58</v>
      </c>
      <c r="J254" s="1">
        <v>1041</v>
      </c>
      <c r="K254" s="1" t="s">
        <v>171</v>
      </c>
      <c r="L254" s="1">
        <v>9081000033</v>
      </c>
      <c r="M254" s="1"/>
      <c r="N254" s="1" t="s">
        <v>321</v>
      </c>
      <c r="O254" s="1" t="s">
        <v>297</v>
      </c>
      <c r="P254" s="1" t="s">
        <v>146</v>
      </c>
      <c r="Q254" s="1" t="s">
        <v>147</v>
      </c>
      <c r="R254" s="1" t="s">
        <v>160</v>
      </c>
      <c r="S254" s="44">
        <v>0</v>
      </c>
      <c r="T254" s="44">
        <v>0</v>
      </c>
      <c r="U254" s="44">
        <v>0</v>
      </c>
      <c r="V254" s="44">
        <v>0</v>
      </c>
      <c r="W254" s="44">
        <v>0</v>
      </c>
      <c r="X254" s="45">
        <v>2950</v>
      </c>
      <c r="Y254" s="45">
        <v>30677286</v>
      </c>
      <c r="Z254" s="45"/>
      <c r="AA254" s="46">
        <v>30677286</v>
      </c>
    </row>
    <row r="255" spans="1:27" ht="15" customHeight="1">
      <c r="A255" s="1">
        <v>51</v>
      </c>
      <c r="B255" s="1" t="s">
        <v>431</v>
      </c>
      <c r="C255" s="1" t="s">
        <v>432</v>
      </c>
      <c r="D255" s="1" t="s">
        <v>433</v>
      </c>
      <c r="E255" s="1" t="s">
        <v>432</v>
      </c>
      <c r="F255" s="1" t="s">
        <v>183</v>
      </c>
      <c r="G255" s="1" t="s">
        <v>141</v>
      </c>
      <c r="H255" s="1">
        <v>9271000023</v>
      </c>
      <c r="I255" s="1" t="s">
        <v>58</v>
      </c>
      <c r="J255" s="1">
        <v>1041</v>
      </c>
      <c r="K255" s="1" t="s">
        <v>171</v>
      </c>
      <c r="L255" s="1">
        <v>1351000240</v>
      </c>
      <c r="M255" s="1" t="s">
        <v>434</v>
      </c>
      <c r="N255" s="1" t="s">
        <v>321</v>
      </c>
      <c r="O255" s="1" t="s">
        <v>297</v>
      </c>
      <c r="P255" s="1" t="s">
        <v>146</v>
      </c>
      <c r="Q255" s="1" t="s">
        <v>147</v>
      </c>
      <c r="R255" s="1" t="s">
        <v>341</v>
      </c>
      <c r="S255" s="44">
        <v>0</v>
      </c>
      <c r="T255" s="44">
        <v>0</v>
      </c>
      <c r="U255" s="44">
        <v>0</v>
      </c>
      <c r="V255" s="44">
        <v>0</v>
      </c>
      <c r="W255" s="44">
        <v>0</v>
      </c>
      <c r="X255" s="45">
        <v>243</v>
      </c>
      <c r="Y255" s="45">
        <v>2459330</v>
      </c>
      <c r="Z255" s="45"/>
      <c r="AA255" s="46">
        <v>2459330</v>
      </c>
    </row>
    <row r="256" spans="1:27" ht="15" customHeight="1">
      <c r="A256" s="56"/>
      <c r="B256" s="56" t="s">
        <v>149</v>
      </c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7"/>
      <c r="T256" s="57"/>
      <c r="U256" s="57"/>
      <c r="V256" s="57"/>
      <c r="W256" s="57"/>
      <c r="X256" s="58">
        <f>SUM(X254:X255)</f>
        <v>3193</v>
      </c>
      <c r="Y256" s="58">
        <f t="shared" ref="Y256:AA256" si="50">SUM(Y254:Y255)</f>
        <v>33136616</v>
      </c>
      <c r="Z256" s="58">
        <f t="shared" si="50"/>
        <v>0</v>
      </c>
      <c r="AA256" s="58">
        <f t="shared" si="50"/>
        <v>33136616</v>
      </c>
    </row>
    <row r="257" spans="1:27" ht="15" customHeight="1">
      <c r="A257" s="1">
        <v>52</v>
      </c>
      <c r="B257" s="1" t="s">
        <v>435</v>
      </c>
      <c r="C257" s="1" t="s">
        <v>436</v>
      </c>
      <c r="D257" s="1" t="s">
        <v>437</v>
      </c>
      <c r="E257" s="1" t="s">
        <v>436</v>
      </c>
      <c r="F257" s="1" t="s">
        <v>183</v>
      </c>
      <c r="G257" s="1" t="s">
        <v>141</v>
      </c>
      <c r="H257" s="1">
        <v>9271000219</v>
      </c>
      <c r="I257" s="1" t="s">
        <v>86</v>
      </c>
      <c r="J257" s="1">
        <v>491</v>
      </c>
      <c r="K257" s="1" t="s">
        <v>171</v>
      </c>
      <c r="L257" s="1">
        <v>1351000401</v>
      </c>
      <c r="M257" s="1" t="s">
        <v>438</v>
      </c>
      <c r="N257" s="1" t="s">
        <v>296</v>
      </c>
      <c r="O257" s="1" t="s">
        <v>297</v>
      </c>
      <c r="P257" s="1" t="s">
        <v>146</v>
      </c>
      <c r="Q257" s="1" t="s">
        <v>147</v>
      </c>
      <c r="R257" s="1" t="s">
        <v>341</v>
      </c>
      <c r="S257" s="44">
        <v>0</v>
      </c>
      <c r="T257" s="44">
        <v>0</v>
      </c>
      <c r="U257" s="44">
        <v>0</v>
      </c>
      <c r="V257" s="44">
        <v>0</v>
      </c>
      <c r="W257" s="44">
        <v>0</v>
      </c>
      <c r="X257" s="45">
        <v>1170.78</v>
      </c>
      <c r="Y257" s="45">
        <v>11707900</v>
      </c>
      <c r="Z257" s="45"/>
      <c r="AA257" s="46">
        <v>11707900</v>
      </c>
    </row>
    <row r="258" spans="1:27" ht="15" customHeight="1">
      <c r="A258" s="56"/>
      <c r="B258" s="56" t="s">
        <v>149</v>
      </c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7"/>
      <c r="T258" s="57"/>
      <c r="U258" s="57"/>
      <c r="V258" s="57"/>
      <c r="W258" s="57"/>
      <c r="X258" s="58">
        <f>SUM(X257)</f>
        <v>1170.78</v>
      </c>
      <c r="Y258" s="58">
        <f t="shared" ref="Y258:AA258" si="51">SUM(Y257)</f>
        <v>11707900</v>
      </c>
      <c r="Z258" s="58">
        <f t="shared" si="51"/>
        <v>0</v>
      </c>
      <c r="AA258" s="58">
        <f t="shared" si="51"/>
        <v>11707900</v>
      </c>
    </row>
    <row r="259" spans="1:27" ht="15" customHeight="1">
      <c r="A259" s="1">
        <v>53</v>
      </c>
      <c r="B259" s="1" t="s">
        <v>439</v>
      </c>
      <c r="C259" s="1" t="s">
        <v>440</v>
      </c>
      <c r="D259" s="1" t="s">
        <v>441</v>
      </c>
      <c r="E259" s="1" t="s">
        <v>440</v>
      </c>
      <c r="F259" s="1" t="s">
        <v>140</v>
      </c>
      <c r="G259" s="1" t="s">
        <v>141</v>
      </c>
      <c r="H259" s="1">
        <v>1005002230</v>
      </c>
      <c r="I259" s="1" t="s">
        <v>51</v>
      </c>
      <c r="J259" s="1">
        <v>43</v>
      </c>
      <c r="K259" s="1" t="s">
        <v>142</v>
      </c>
      <c r="L259" s="1">
        <v>1001027292</v>
      </c>
      <c r="M259" s="1" t="s">
        <v>442</v>
      </c>
      <c r="N259" s="1" t="s">
        <v>144</v>
      </c>
      <c r="O259" s="1" t="s">
        <v>145</v>
      </c>
      <c r="P259" s="1" t="s">
        <v>146</v>
      </c>
      <c r="Q259" s="1" t="s">
        <v>147</v>
      </c>
      <c r="R259" s="1" t="s">
        <v>148</v>
      </c>
      <c r="S259" s="44">
        <v>4.92</v>
      </c>
      <c r="T259" s="44">
        <v>0.64</v>
      </c>
      <c r="U259" s="44">
        <v>0</v>
      </c>
      <c r="V259" s="44">
        <v>0</v>
      </c>
      <c r="W259" s="44">
        <v>0</v>
      </c>
      <c r="X259" s="45">
        <v>89.08</v>
      </c>
      <c r="Y259" s="45">
        <v>1285424</v>
      </c>
      <c r="Z259" s="45"/>
      <c r="AA259" s="46">
        <v>1285424</v>
      </c>
    </row>
    <row r="260" spans="1:27" ht="15" customHeight="1">
      <c r="A260" s="56"/>
      <c r="B260" s="56" t="s">
        <v>149</v>
      </c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7"/>
      <c r="T260" s="57"/>
      <c r="U260" s="57"/>
      <c r="V260" s="57"/>
      <c r="W260" s="57"/>
      <c r="X260" s="58">
        <f>SUM(X259)</f>
        <v>89.08</v>
      </c>
      <c r="Y260" s="58">
        <f t="shared" ref="Y260:AA260" si="52">SUM(Y259)</f>
        <v>1285424</v>
      </c>
      <c r="Z260" s="58">
        <f t="shared" si="52"/>
        <v>0</v>
      </c>
      <c r="AA260" s="58">
        <f t="shared" si="52"/>
        <v>1285424</v>
      </c>
    </row>
    <row r="261" spans="1:27" ht="15" customHeight="1">
      <c r="A261" s="1">
        <v>54</v>
      </c>
      <c r="B261" s="1" t="s">
        <v>443</v>
      </c>
      <c r="C261" s="1" t="s">
        <v>444</v>
      </c>
      <c r="D261" s="1" t="s">
        <v>445</v>
      </c>
      <c r="E261" s="1" t="s">
        <v>444</v>
      </c>
      <c r="F261" s="1" t="s">
        <v>170</v>
      </c>
      <c r="G261" s="1" t="s">
        <v>141</v>
      </c>
      <c r="H261" s="1">
        <v>9085000067</v>
      </c>
      <c r="I261" s="1" t="s">
        <v>87</v>
      </c>
      <c r="J261" s="1">
        <v>296</v>
      </c>
      <c r="K261" s="1" t="s">
        <v>171</v>
      </c>
      <c r="L261" s="1">
        <v>9081001035</v>
      </c>
      <c r="M261" s="1" t="s">
        <v>446</v>
      </c>
      <c r="N261" s="1" t="s">
        <v>178</v>
      </c>
      <c r="O261" s="1" t="s">
        <v>179</v>
      </c>
      <c r="P261" s="1" t="s">
        <v>146</v>
      </c>
      <c r="Q261" s="1" t="s">
        <v>147</v>
      </c>
      <c r="R261" s="1" t="s">
        <v>160</v>
      </c>
      <c r="S261" s="44">
        <v>0</v>
      </c>
      <c r="T261" s="44">
        <v>0</v>
      </c>
      <c r="U261" s="44">
        <v>0</v>
      </c>
      <c r="V261" s="44">
        <v>0</v>
      </c>
      <c r="W261" s="44">
        <v>0</v>
      </c>
      <c r="X261" s="45">
        <v>630.4</v>
      </c>
      <c r="Y261" s="45">
        <v>769088</v>
      </c>
      <c r="Z261" s="45"/>
      <c r="AA261" s="46">
        <v>769088</v>
      </c>
    </row>
    <row r="262" spans="1:27" ht="15" customHeight="1">
      <c r="A262" s="56"/>
      <c r="B262" s="56" t="s">
        <v>149</v>
      </c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7"/>
      <c r="T262" s="57"/>
      <c r="U262" s="57"/>
      <c r="V262" s="57"/>
      <c r="W262" s="57"/>
      <c r="X262" s="58">
        <f>SUM(X261)</f>
        <v>630.4</v>
      </c>
      <c r="Y262" s="58">
        <f t="shared" ref="Y262:AA262" si="53">SUM(Y261)</f>
        <v>769088</v>
      </c>
      <c r="Z262" s="58">
        <f t="shared" si="53"/>
        <v>0</v>
      </c>
      <c r="AA262" s="58">
        <f t="shared" si="53"/>
        <v>769088</v>
      </c>
    </row>
    <row r="263" spans="1:27" ht="15" customHeight="1">
      <c r="A263" s="1">
        <v>55</v>
      </c>
      <c r="B263" s="1" t="s">
        <v>447</v>
      </c>
      <c r="C263" s="1" t="s">
        <v>448</v>
      </c>
      <c r="D263" s="1" t="s">
        <v>449</v>
      </c>
      <c r="E263" s="1" t="s">
        <v>448</v>
      </c>
      <c r="F263" s="1" t="s">
        <v>170</v>
      </c>
      <c r="G263" s="1" t="s">
        <v>141</v>
      </c>
      <c r="H263" s="1">
        <v>1005002027</v>
      </c>
      <c r="I263" s="1" t="s">
        <v>88</v>
      </c>
      <c r="J263" s="1">
        <v>73</v>
      </c>
      <c r="K263" s="1" t="s">
        <v>171</v>
      </c>
      <c r="L263" s="1">
        <v>1001024208</v>
      </c>
      <c r="M263" s="1" t="s">
        <v>450</v>
      </c>
      <c r="N263" s="1" t="s">
        <v>178</v>
      </c>
      <c r="O263" s="1" t="s">
        <v>179</v>
      </c>
      <c r="P263" s="1" t="s">
        <v>146</v>
      </c>
      <c r="Q263" s="1" t="s">
        <v>147</v>
      </c>
      <c r="R263" s="1" t="s">
        <v>148</v>
      </c>
      <c r="S263" s="44">
        <v>0</v>
      </c>
      <c r="T263" s="44">
        <v>20.41</v>
      </c>
      <c r="U263" s="44">
        <v>0.94</v>
      </c>
      <c r="V263" s="44">
        <v>0</v>
      </c>
      <c r="W263" s="44">
        <v>0</v>
      </c>
      <c r="X263" s="45">
        <v>780.35</v>
      </c>
      <c r="Y263" s="45">
        <v>858385</v>
      </c>
      <c r="Z263" s="45"/>
      <c r="AA263" s="46">
        <v>858385</v>
      </c>
    </row>
    <row r="264" spans="1:27" ht="15" customHeight="1">
      <c r="A264" s="1">
        <v>55</v>
      </c>
      <c r="B264" s="1" t="s">
        <v>447</v>
      </c>
      <c r="C264" s="1" t="s">
        <v>448</v>
      </c>
      <c r="D264" s="1" t="s">
        <v>449</v>
      </c>
      <c r="E264" s="1" t="s">
        <v>448</v>
      </c>
      <c r="F264" s="1" t="s">
        <v>170</v>
      </c>
      <c r="G264" s="1" t="s">
        <v>141</v>
      </c>
      <c r="H264" s="1">
        <v>1005002028</v>
      </c>
      <c r="I264" s="1" t="s">
        <v>88</v>
      </c>
      <c r="J264" s="1">
        <v>73</v>
      </c>
      <c r="K264" s="1" t="s">
        <v>171</v>
      </c>
      <c r="L264" s="1">
        <v>1001025335</v>
      </c>
      <c r="M264" s="1" t="s">
        <v>451</v>
      </c>
      <c r="N264" s="1" t="s">
        <v>178</v>
      </c>
      <c r="O264" s="1" t="s">
        <v>179</v>
      </c>
      <c r="P264" s="1" t="s">
        <v>146</v>
      </c>
      <c r="Q264" s="1" t="s">
        <v>147</v>
      </c>
      <c r="R264" s="1" t="s">
        <v>148</v>
      </c>
      <c r="S264" s="44">
        <v>0</v>
      </c>
      <c r="T264" s="44">
        <v>20.51</v>
      </c>
      <c r="U264" s="44">
        <v>0.88</v>
      </c>
      <c r="V264" s="44">
        <v>0</v>
      </c>
      <c r="W264" s="44">
        <v>0</v>
      </c>
      <c r="X264" s="45">
        <v>2583.65</v>
      </c>
      <c r="Y264" s="45">
        <v>3410417</v>
      </c>
      <c r="Z264" s="45"/>
      <c r="AA264" s="46">
        <v>3410417</v>
      </c>
    </row>
    <row r="265" spans="1:27" ht="15" customHeight="1">
      <c r="A265" s="1">
        <v>55</v>
      </c>
      <c r="B265" s="1" t="s">
        <v>447</v>
      </c>
      <c r="C265" s="1" t="s">
        <v>448</v>
      </c>
      <c r="D265" s="1" t="s">
        <v>449</v>
      </c>
      <c r="E265" s="1" t="s">
        <v>448</v>
      </c>
      <c r="F265" s="1" t="s">
        <v>170</v>
      </c>
      <c r="G265" s="1" t="s">
        <v>141</v>
      </c>
      <c r="H265" s="1">
        <v>1005002029</v>
      </c>
      <c r="I265" s="1" t="s">
        <v>88</v>
      </c>
      <c r="J265" s="1">
        <v>73</v>
      </c>
      <c r="K265" s="1" t="s">
        <v>171</v>
      </c>
      <c r="L265" s="1">
        <v>1001025905</v>
      </c>
      <c r="M265" s="1" t="s">
        <v>452</v>
      </c>
      <c r="N265" s="1" t="s">
        <v>178</v>
      </c>
      <c r="O265" s="1" t="s">
        <v>179</v>
      </c>
      <c r="P265" s="1" t="s">
        <v>146</v>
      </c>
      <c r="Q265" s="1" t="s">
        <v>147</v>
      </c>
      <c r="R265" s="1" t="s">
        <v>148</v>
      </c>
      <c r="S265" s="44">
        <v>0</v>
      </c>
      <c r="T265" s="44">
        <v>20.53</v>
      </c>
      <c r="U265" s="44">
        <v>0.9</v>
      </c>
      <c r="V265" s="44">
        <v>0</v>
      </c>
      <c r="W265" s="44">
        <v>0</v>
      </c>
      <c r="X265" s="45">
        <v>1733.46</v>
      </c>
      <c r="Y265" s="45">
        <v>2270832</v>
      </c>
      <c r="Z265" s="45"/>
      <c r="AA265" s="46">
        <v>2270832</v>
      </c>
    </row>
    <row r="266" spans="1:27" ht="15" customHeight="1">
      <c r="A266" s="1">
        <v>55</v>
      </c>
      <c r="B266" s="1" t="s">
        <v>447</v>
      </c>
      <c r="C266" s="1" t="s">
        <v>448</v>
      </c>
      <c r="D266" s="1" t="s">
        <v>449</v>
      </c>
      <c r="E266" s="1" t="s">
        <v>448</v>
      </c>
      <c r="F266" s="1" t="s">
        <v>170</v>
      </c>
      <c r="G266" s="1" t="s">
        <v>141</v>
      </c>
      <c r="H266" s="1">
        <v>1005002203</v>
      </c>
      <c r="I266" s="1" t="s">
        <v>89</v>
      </c>
      <c r="J266" s="1">
        <v>44</v>
      </c>
      <c r="K266" s="1" t="s">
        <v>171</v>
      </c>
      <c r="L266" s="1">
        <v>1001026480</v>
      </c>
      <c r="M266" s="1" t="s">
        <v>453</v>
      </c>
      <c r="N266" s="1" t="s">
        <v>178</v>
      </c>
      <c r="O266" s="1" t="s">
        <v>179</v>
      </c>
      <c r="P266" s="1" t="s">
        <v>146</v>
      </c>
      <c r="Q266" s="1" t="s">
        <v>147</v>
      </c>
      <c r="R266" s="1" t="s">
        <v>148</v>
      </c>
      <c r="S266" s="44">
        <v>0</v>
      </c>
      <c r="T266" s="44">
        <v>20.57</v>
      </c>
      <c r="U266" s="44">
        <v>0.87</v>
      </c>
      <c r="V266" s="44">
        <v>0</v>
      </c>
      <c r="W266" s="44">
        <v>0</v>
      </c>
      <c r="X266" s="45">
        <v>1180.53</v>
      </c>
      <c r="Y266" s="45">
        <v>1369414</v>
      </c>
      <c r="Z266" s="45"/>
      <c r="AA266" s="46">
        <v>1369414</v>
      </c>
    </row>
    <row r="267" spans="1:27" ht="15" customHeight="1">
      <c r="A267" s="56"/>
      <c r="B267" s="56" t="s">
        <v>149</v>
      </c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7"/>
      <c r="T267" s="57"/>
      <c r="U267" s="57"/>
      <c r="V267" s="57"/>
      <c r="W267" s="57"/>
      <c r="X267" s="58">
        <f>SUM(X263:X266)</f>
        <v>6277.99</v>
      </c>
      <c r="Y267" s="58">
        <f t="shared" ref="Y267:AA267" si="54">SUM(Y263:Y266)</f>
        <v>7909048</v>
      </c>
      <c r="Z267" s="58">
        <f t="shared" si="54"/>
        <v>0</v>
      </c>
      <c r="AA267" s="58">
        <f t="shared" si="54"/>
        <v>7909048</v>
      </c>
    </row>
    <row r="268" spans="1:27" ht="15" customHeight="1">
      <c r="A268" s="1">
        <v>56</v>
      </c>
      <c r="B268" s="1" t="s">
        <v>454</v>
      </c>
      <c r="C268" s="1" t="s">
        <v>455</v>
      </c>
      <c r="D268" s="49" t="s">
        <v>252</v>
      </c>
      <c r="E268" s="1" t="s">
        <v>455</v>
      </c>
      <c r="F268" s="1" t="s">
        <v>183</v>
      </c>
      <c r="G268" s="1" t="s">
        <v>141</v>
      </c>
      <c r="H268" s="1">
        <v>1005002394</v>
      </c>
      <c r="I268" s="1" t="s">
        <v>90</v>
      </c>
      <c r="J268" s="1">
        <v>15</v>
      </c>
      <c r="K268" s="1" t="s">
        <v>184</v>
      </c>
      <c r="L268" s="1">
        <v>1001026781</v>
      </c>
      <c r="M268" s="1" t="s">
        <v>457</v>
      </c>
      <c r="N268" s="1" t="s">
        <v>144</v>
      </c>
      <c r="O268" s="1" t="s">
        <v>145</v>
      </c>
      <c r="P268" s="1" t="s">
        <v>146</v>
      </c>
      <c r="Q268" s="1" t="s">
        <v>147</v>
      </c>
      <c r="R268" s="1" t="s">
        <v>148</v>
      </c>
      <c r="S268" s="44">
        <v>5.4</v>
      </c>
      <c r="T268" s="44">
        <v>0.34</v>
      </c>
      <c r="U268" s="44">
        <v>0</v>
      </c>
      <c r="V268" s="44">
        <v>0</v>
      </c>
      <c r="W268" s="44">
        <v>0</v>
      </c>
      <c r="X268" s="45">
        <v>124800</v>
      </c>
      <c r="Y268" s="45">
        <v>6240000</v>
      </c>
      <c r="Z268" s="45"/>
      <c r="AA268" s="46">
        <v>6240000</v>
      </c>
    </row>
    <row r="269" spans="1:27" ht="15" customHeight="1">
      <c r="A269" s="1">
        <v>56</v>
      </c>
      <c r="B269" s="1" t="s">
        <v>454</v>
      </c>
      <c r="C269" s="1" t="s">
        <v>455</v>
      </c>
      <c r="D269" s="49" t="s">
        <v>252</v>
      </c>
      <c r="E269" s="1" t="s">
        <v>455</v>
      </c>
      <c r="F269" s="1" t="s">
        <v>183</v>
      </c>
      <c r="G269" s="1" t="s">
        <v>141</v>
      </c>
      <c r="H269" s="1">
        <v>1005002395</v>
      </c>
      <c r="I269" s="1" t="s">
        <v>90</v>
      </c>
      <c r="J269" s="1">
        <v>15</v>
      </c>
      <c r="K269" s="1" t="s">
        <v>184</v>
      </c>
      <c r="L269" s="1">
        <v>1001026797</v>
      </c>
      <c r="M269" s="1" t="s">
        <v>458</v>
      </c>
      <c r="N269" s="1" t="s">
        <v>144</v>
      </c>
      <c r="O269" s="1" t="s">
        <v>145</v>
      </c>
      <c r="P269" s="1" t="s">
        <v>146</v>
      </c>
      <c r="Q269" s="1" t="s">
        <v>147</v>
      </c>
      <c r="R269" s="1" t="s">
        <v>148</v>
      </c>
      <c r="S269" s="44">
        <v>5.47</v>
      </c>
      <c r="T269" s="44">
        <v>0.37</v>
      </c>
      <c r="U269" s="44">
        <v>0</v>
      </c>
      <c r="V269" s="44">
        <v>0</v>
      </c>
      <c r="W269" s="44">
        <v>0</v>
      </c>
      <c r="X269" s="45">
        <v>149780</v>
      </c>
      <c r="Y269" s="45">
        <v>7489000</v>
      </c>
      <c r="Z269" s="45"/>
      <c r="AA269" s="46">
        <v>7489000</v>
      </c>
    </row>
    <row r="270" spans="1:27" ht="15" customHeight="1">
      <c r="A270" s="1">
        <v>56</v>
      </c>
      <c r="B270" s="1" t="s">
        <v>454</v>
      </c>
      <c r="C270" s="1" t="s">
        <v>455</v>
      </c>
      <c r="D270" s="49" t="s">
        <v>252</v>
      </c>
      <c r="E270" s="1" t="s">
        <v>455</v>
      </c>
      <c r="F270" s="1" t="s">
        <v>183</v>
      </c>
      <c r="G270" s="1" t="s">
        <v>141</v>
      </c>
      <c r="H270" s="1">
        <v>1005002396</v>
      </c>
      <c r="I270" s="1" t="s">
        <v>90</v>
      </c>
      <c r="J270" s="1">
        <v>15</v>
      </c>
      <c r="K270" s="1" t="s">
        <v>184</v>
      </c>
      <c r="L270" s="1">
        <v>1001026837</v>
      </c>
      <c r="M270" s="1" t="s">
        <v>459</v>
      </c>
      <c r="N270" s="1" t="s">
        <v>144</v>
      </c>
      <c r="O270" s="1" t="s">
        <v>145</v>
      </c>
      <c r="P270" s="1" t="s">
        <v>146</v>
      </c>
      <c r="Q270" s="1" t="s">
        <v>147</v>
      </c>
      <c r="R270" s="1" t="s">
        <v>148</v>
      </c>
      <c r="S270" s="44">
        <v>5.48</v>
      </c>
      <c r="T270" s="44">
        <v>0.37</v>
      </c>
      <c r="U270" s="44">
        <v>0</v>
      </c>
      <c r="V270" s="44">
        <v>0</v>
      </c>
      <c r="W270" s="44">
        <v>0</v>
      </c>
      <c r="X270" s="45">
        <v>74990</v>
      </c>
      <c r="Y270" s="45">
        <v>3749500</v>
      </c>
      <c r="Z270" s="45"/>
      <c r="AA270" s="46">
        <v>3749500</v>
      </c>
    </row>
    <row r="271" spans="1:27" ht="15" customHeight="1">
      <c r="A271" s="1">
        <v>56</v>
      </c>
      <c r="B271" s="1" t="s">
        <v>454</v>
      </c>
      <c r="C271" s="1" t="s">
        <v>455</v>
      </c>
      <c r="D271" s="49" t="s">
        <v>252</v>
      </c>
      <c r="E271" s="1" t="s">
        <v>455</v>
      </c>
      <c r="F271" s="1" t="s">
        <v>183</v>
      </c>
      <c r="G271" s="1" t="s">
        <v>141</v>
      </c>
      <c r="H271" s="1">
        <v>1005002397</v>
      </c>
      <c r="I271" s="1" t="s">
        <v>90</v>
      </c>
      <c r="J271" s="1">
        <v>15</v>
      </c>
      <c r="K271" s="1" t="s">
        <v>184</v>
      </c>
      <c r="L271" s="1">
        <v>1001026859</v>
      </c>
      <c r="M271" s="1" t="s">
        <v>460</v>
      </c>
      <c r="N271" s="1" t="s">
        <v>144</v>
      </c>
      <c r="O271" s="1" t="s">
        <v>145</v>
      </c>
      <c r="P271" s="1" t="s">
        <v>146</v>
      </c>
      <c r="Q271" s="1" t="s">
        <v>147</v>
      </c>
      <c r="R271" s="1" t="s">
        <v>148</v>
      </c>
      <c r="S271" s="44">
        <v>5.49</v>
      </c>
      <c r="T271" s="44">
        <v>0.34</v>
      </c>
      <c r="U271" s="44">
        <v>0</v>
      </c>
      <c r="V271" s="44">
        <v>0</v>
      </c>
      <c r="W271" s="44">
        <v>0</v>
      </c>
      <c r="X271" s="45">
        <v>145310</v>
      </c>
      <c r="Y271" s="45">
        <v>8117000</v>
      </c>
      <c r="Z271" s="45"/>
      <c r="AA271" s="46">
        <v>8117000</v>
      </c>
    </row>
    <row r="272" spans="1:27" ht="15" customHeight="1">
      <c r="A272" s="1">
        <v>56</v>
      </c>
      <c r="B272" s="1" t="s">
        <v>454</v>
      </c>
      <c r="C272" s="1" t="s">
        <v>455</v>
      </c>
      <c r="D272" s="49" t="s">
        <v>252</v>
      </c>
      <c r="E272" s="1" t="s">
        <v>455</v>
      </c>
      <c r="F272" s="1" t="s">
        <v>183</v>
      </c>
      <c r="G272" s="1" t="s">
        <v>141</v>
      </c>
      <c r="H272" s="1">
        <v>1005002398</v>
      </c>
      <c r="I272" s="1" t="s">
        <v>90</v>
      </c>
      <c r="J272" s="1">
        <v>15</v>
      </c>
      <c r="K272" s="1" t="s">
        <v>184</v>
      </c>
      <c r="L272" s="1">
        <v>1001026931</v>
      </c>
      <c r="M272" s="1" t="s">
        <v>461</v>
      </c>
      <c r="N272" s="1" t="s">
        <v>144</v>
      </c>
      <c r="O272" s="1" t="s">
        <v>145</v>
      </c>
      <c r="P272" s="1" t="s">
        <v>146</v>
      </c>
      <c r="Q272" s="1" t="s">
        <v>147</v>
      </c>
      <c r="R272" s="1" t="s">
        <v>148</v>
      </c>
      <c r="S272" s="44">
        <v>5.35</v>
      </c>
      <c r="T272" s="44">
        <v>0.35</v>
      </c>
      <c r="U272" s="44">
        <v>0</v>
      </c>
      <c r="V272" s="44">
        <v>0</v>
      </c>
      <c r="W272" s="44">
        <v>0</v>
      </c>
      <c r="X272" s="45">
        <v>500340</v>
      </c>
      <c r="Y272" s="45">
        <v>20745000</v>
      </c>
      <c r="Z272" s="45"/>
      <c r="AA272" s="46">
        <v>20745000</v>
      </c>
    </row>
    <row r="273" spans="1:27" ht="15" customHeight="1">
      <c r="A273" s="1">
        <v>56</v>
      </c>
      <c r="B273" s="1" t="s">
        <v>454</v>
      </c>
      <c r="C273" s="1" t="s">
        <v>455</v>
      </c>
      <c r="D273" s="49" t="s">
        <v>252</v>
      </c>
      <c r="E273" s="1" t="s">
        <v>455</v>
      </c>
      <c r="F273" s="1" t="s">
        <v>183</v>
      </c>
      <c r="G273" s="1" t="s">
        <v>141</v>
      </c>
      <c r="H273" s="1">
        <v>1005002400</v>
      </c>
      <c r="I273" s="1" t="s">
        <v>90</v>
      </c>
      <c r="J273" s="1">
        <v>15</v>
      </c>
      <c r="K273" s="1" t="s">
        <v>184</v>
      </c>
      <c r="L273" s="1">
        <v>1001026983</v>
      </c>
      <c r="M273" s="1" t="s">
        <v>462</v>
      </c>
      <c r="N273" s="1" t="s">
        <v>144</v>
      </c>
      <c r="O273" s="1" t="s">
        <v>145</v>
      </c>
      <c r="P273" s="1" t="s">
        <v>146</v>
      </c>
      <c r="Q273" s="1" t="s">
        <v>147</v>
      </c>
      <c r="R273" s="1" t="s">
        <v>148</v>
      </c>
      <c r="S273" s="44">
        <v>5.27</v>
      </c>
      <c r="T273" s="44">
        <v>0.34</v>
      </c>
      <c r="U273" s="44">
        <v>0</v>
      </c>
      <c r="V273" s="44">
        <v>0</v>
      </c>
      <c r="W273" s="44">
        <v>0</v>
      </c>
      <c r="X273" s="45">
        <v>150060</v>
      </c>
      <c r="Y273" s="45">
        <v>6214750</v>
      </c>
      <c r="Z273" s="45"/>
      <c r="AA273" s="46">
        <v>6214750</v>
      </c>
    </row>
    <row r="274" spans="1:27" ht="15" customHeight="1">
      <c r="A274" s="1">
        <v>56</v>
      </c>
      <c r="B274" s="1" t="s">
        <v>454</v>
      </c>
      <c r="C274" s="1" t="s">
        <v>455</v>
      </c>
      <c r="D274" s="49" t="s">
        <v>252</v>
      </c>
      <c r="E274" s="1" t="s">
        <v>455</v>
      </c>
      <c r="F274" s="1" t="s">
        <v>183</v>
      </c>
      <c r="G274" s="1" t="s">
        <v>141</v>
      </c>
      <c r="H274" s="1">
        <v>1005002401</v>
      </c>
      <c r="I274" s="1" t="s">
        <v>90</v>
      </c>
      <c r="J274" s="1">
        <v>15</v>
      </c>
      <c r="K274" s="1" t="s">
        <v>184</v>
      </c>
      <c r="L274" s="1">
        <v>1001027019</v>
      </c>
      <c r="M274" s="1" t="s">
        <v>463</v>
      </c>
      <c r="N274" s="1" t="s">
        <v>144</v>
      </c>
      <c r="O274" s="1" t="s">
        <v>145</v>
      </c>
      <c r="P274" s="1" t="s">
        <v>146</v>
      </c>
      <c r="Q274" s="1" t="s">
        <v>147</v>
      </c>
      <c r="R274" s="1" t="s">
        <v>148</v>
      </c>
      <c r="S274" s="44">
        <v>5.34</v>
      </c>
      <c r="T274" s="44">
        <v>0.33</v>
      </c>
      <c r="U274" s="44">
        <v>0</v>
      </c>
      <c r="V274" s="44">
        <v>0</v>
      </c>
      <c r="W274" s="44">
        <v>0</v>
      </c>
      <c r="X274" s="45">
        <v>124930</v>
      </c>
      <c r="Y274" s="45">
        <v>6246500</v>
      </c>
      <c r="Z274" s="45"/>
      <c r="AA274" s="46">
        <v>6246500</v>
      </c>
    </row>
    <row r="275" spans="1:27" ht="15" customHeight="1">
      <c r="A275" s="1">
        <v>56</v>
      </c>
      <c r="B275" s="1" t="s">
        <v>454</v>
      </c>
      <c r="C275" s="1" t="s">
        <v>455</v>
      </c>
      <c r="D275" s="49" t="s">
        <v>252</v>
      </c>
      <c r="E275" s="1" t="s">
        <v>455</v>
      </c>
      <c r="F275" s="1" t="s">
        <v>183</v>
      </c>
      <c r="G275" s="1" t="s">
        <v>141</v>
      </c>
      <c r="H275" s="1">
        <v>1005002402</v>
      </c>
      <c r="I275" s="1" t="s">
        <v>90</v>
      </c>
      <c r="J275" s="1">
        <v>15</v>
      </c>
      <c r="K275" s="1" t="s">
        <v>184</v>
      </c>
      <c r="L275" s="1">
        <v>1001027089</v>
      </c>
      <c r="M275" s="1" t="s">
        <v>464</v>
      </c>
      <c r="N275" s="1" t="s">
        <v>144</v>
      </c>
      <c r="O275" s="1" t="s">
        <v>145</v>
      </c>
      <c r="P275" s="1" t="s">
        <v>146</v>
      </c>
      <c r="Q275" s="1" t="s">
        <v>147</v>
      </c>
      <c r="R275" s="1" t="s">
        <v>148</v>
      </c>
      <c r="S275" s="44">
        <v>5.33</v>
      </c>
      <c r="T275" s="44">
        <v>0.33</v>
      </c>
      <c r="U275" s="44">
        <v>0</v>
      </c>
      <c r="V275" s="44">
        <v>0</v>
      </c>
      <c r="W275" s="44">
        <v>0</v>
      </c>
      <c r="X275" s="45">
        <v>74870</v>
      </c>
      <c r="Y275" s="45">
        <v>3313750</v>
      </c>
      <c r="Z275" s="45"/>
      <c r="AA275" s="46">
        <v>3313750</v>
      </c>
    </row>
    <row r="276" spans="1:27" ht="15" customHeight="1">
      <c r="A276" s="1">
        <v>56</v>
      </c>
      <c r="B276" s="1" t="s">
        <v>454</v>
      </c>
      <c r="C276" s="1" t="s">
        <v>455</v>
      </c>
      <c r="D276" s="49" t="s">
        <v>252</v>
      </c>
      <c r="E276" s="1" t="s">
        <v>455</v>
      </c>
      <c r="F276" s="1" t="s">
        <v>183</v>
      </c>
      <c r="G276" s="1" t="s">
        <v>141</v>
      </c>
      <c r="H276" s="1">
        <v>1005002403</v>
      </c>
      <c r="I276" s="1" t="s">
        <v>90</v>
      </c>
      <c r="J276" s="1">
        <v>15</v>
      </c>
      <c r="K276" s="1" t="s">
        <v>184</v>
      </c>
      <c r="L276" s="1">
        <v>1001027121</v>
      </c>
      <c r="M276" s="1" t="s">
        <v>465</v>
      </c>
      <c r="N276" s="1" t="s">
        <v>144</v>
      </c>
      <c r="O276" s="1" t="s">
        <v>145</v>
      </c>
      <c r="P276" s="1" t="s">
        <v>146</v>
      </c>
      <c r="Q276" s="1" t="s">
        <v>147</v>
      </c>
      <c r="R276" s="1" t="s">
        <v>148</v>
      </c>
      <c r="S276" s="44">
        <v>5.46</v>
      </c>
      <c r="T276" s="44">
        <v>0.33</v>
      </c>
      <c r="U276" s="44">
        <v>0</v>
      </c>
      <c r="V276" s="44">
        <v>0</v>
      </c>
      <c r="W276" s="44">
        <v>0</v>
      </c>
      <c r="X276" s="45">
        <v>149830</v>
      </c>
      <c r="Y276" s="45">
        <v>8228000</v>
      </c>
      <c r="Z276" s="45"/>
      <c r="AA276" s="46">
        <v>8228000</v>
      </c>
    </row>
    <row r="277" spans="1:27" ht="15" customHeight="1">
      <c r="A277" s="1">
        <v>56</v>
      </c>
      <c r="B277" s="1" t="s">
        <v>454</v>
      </c>
      <c r="C277" s="1" t="s">
        <v>455</v>
      </c>
      <c r="D277" s="49" t="s">
        <v>252</v>
      </c>
      <c r="E277" s="1" t="s">
        <v>455</v>
      </c>
      <c r="F277" s="1" t="s">
        <v>183</v>
      </c>
      <c r="G277" s="1" t="s">
        <v>141</v>
      </c>
      <c r="H277" s="1">
        <v>1005002404</v>
      </c>
      <c r="I277" s="1" t="s">
        <v>90</v>
      </c>
      <c r="J277" s="1">
        <v>15</v>
      </c>
      <c r="K277" s="1" t="s">
        <v>184</v>
      </c>
      <c r="L277" s="1">
        <v>1001027164</v>
      </c>
      <c r="M277" s="1" t="s">
        <v>466</v>
      </c>
      <c r="N277" s="1" t="s">
        <v>144</v>
      </c>
      <c r="O277" s="1" t="s">
        <v>145</v>
      </c>
      <c r="P277" s="1" t="s">
        <v>146</v>
      </c>
      <c r="Q277" s="1" t="s">
        <v>147</v>
      </c>
      <c r="R277" s="1" t="s">
        <v>148</v>
      </c>
      <c r="S277" s="44">
        <v>5.29</v>
      </c>
      <c r="T277" s="44">
        <v>0.33</v>
      </c>
      <c r="U277" s="44">
        <v>0</v>
      </c>
      <c r="V277" s="44">
        <v>0</v>
      </c>
      <c r="W277" s="44">
        <v>0</v>
      </c>
      <c r="X277" s="45">
        <v>125140</v>
      </c>
      <c r="Y277" s="45">
        <v>5080250</v>
      </c>
      <c r="Z277" s="45"/>
      <c r="AA277" s="46">
        <v>5080250</v>
      </c>
    </row>
    <row r="278" spans="1:27" ht="15" customHeight="1">
      <c r="A278" s="1">
        <v>56</v>
      </c>
      <c r="B278" s="1" t="s">
        <v>454</v>
      </c>
      <c r="C278" s="1" t="s">
        <v>455</v>
      </c>
      <c r="D278" s="49" t="s">
        <v>252</v>
      </c>
      <c r="E278" s="1" t="s">
        <v>455</v>
      </c>
      <c r="F278" s="1" t="s">
        <v>183</v>
      </c>
      <c r="G278" s="1" t="s">
        <v>141</v>
      </c>
      <c r="H278" s="1">
        <v>1005002405</v>
      </c>
      <c r="I278" s="1" t="s">
        <v>90</v>
      </c>
      <c r="J278" s="1">
        <v>15</v>
      </c>
      <c r="K278" s="1" t="s">
        <v>184</v>
      </c>
      <c r="L278" s="1">
        <v>1001027208</v>
      </c>
      <c r="M278" s="1" t="s">
        <v>467</v>
      </c>
      <c r="N278" s="1" t="s">
        <v>144</v>
      </c>
      <c r="O278" s="1" t="s">
        <v>145</v>
      </c>
      <c r="P278" s="1" t="s">
        <v>146</v>
      </c>
      <c r="Q278" s="1" t="s">
        <v>147</v>
      </c>
      <c r="R278" s="1" t="s">
        <v>148</v>
      </c>
      <c r="S278" s="44">
        <v>5.34</v>
      </c>
      <c r="T278" s="44">
        <v>0.33</v>
      </c>
      <c r="U278" s="44">
        <v>0</v>
      </c>
      <c r="V278" s="44">
        <v>0</v>
      </c>
      <c r="W278" s="44">
        <v>0</v>
      </c>
      <c r="X278" s="45">
        <v>75080</v>
      </c>
      <c r="Y278" s="45">
        <v>3754000</v>
      </c>
      <c r="Z278" s="45"/>
      <c r="AA278" s="46">
        <v>3754000</v>
      </c>
    </row>
    <row r="279" spans="1:27" ht="15" customHeight="1">
      <c r="A279" s="1">
        <v>56</v>
      </c>
      <c r="B279" s="1" t="s">
        <v>454</v>
      </c>
      <c r="C279" s="1" t="s">
        <v>455</v>
      </c>
      <c r="D279" s="49" t="s">
        <v>252</v>
      </c>
      <c r="E279" s="1" t="s">
        <v>455</v>
      </c>
      <c r="F279" s="1" t="s">
        <v>183</v>
      </c>
      <c r="G279" s="1" t="s">
        <v>141</v>
      </c>
      <c r="H279" s="1">
        <v>1005002406</v>
      </c>
      <c r="I279" s="1" t="s">
        <v>90</v>
      </c>
      <c r="J279" s="1">
        <v>15</v>
      </c>
      <c r="K279" s="1" t="s">
        <v>184</v>
      </c>
      <c r="L279" s="1">
        <v>1001027234</v>
      </c>
      <c r="M279" s="1" t="s">
        <v>468</v>
      </c>
      <c r="N279" s="1" t="s">
        <v>144</v>
      </c>
      <c r="O279" s="1" t="s">
        <v>145</v>
      </c>
      <c r="P279" s="1" t="s">
        <v>146</v>
      </c>
      <c r="Q279" s="1" t="s">
        <v>147</v>
      </c>
      <c r="R279" s="1" t="s">
        <v>148</v>
      </c>
      <c r="S279" s="44">
        <v>5.32</v>
      </c>
      <c r="T279" s="44">
        <v>0.32</v>
      </c>
      <c r="U279" s="44">
        <v>0</v>
      </c>
      <c r="V279" s="44">
        <v>0</v>
      </c>
      <c r="W279" s="44">
        <v>0</v>
      </c>
      <c r="X279" s="45">
        <v>124740</v>
      </c>
      <c r="Y279" s="45">
        <v>5816500</v>
      </c>
      <c r="Z279" s="45"/>
      <c r="AA279" s="46">
        <v>5816500</v>
      </c>
    </row>
    <row r="280" spans="1:27" ht="15" customHeight="1">
      <c r="A280" s="56"/>
      <c r="B280" s="56" t="s">
        <v>149</v>
      </c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7"/>
      <c r="T280" s="57"/>
      <c r="U280" s="57"/>
      <c r="V280" s="57"/>
      <c r="W280" s="57"/>
      <c r="X280" s="58">
        <f>SUM(X268:X279)</f>
        <v>1819870</v>
      </c>
      <c r="Y280" s="58">
        <f t="shared" ref="Y280:AA280" si="55">SUM(Y268:Y279)</f>
        <v>84994250</v>
      </c>
      <c r="Z280" s="58">
        <f t="shared" si="55"/>
        <v>0</v>
      </c>
      <c r="AA280" s="58">
        <f t="shared" si="55"/>
        <v>84994250</v>
      </c>
    </row>
    <row r="281" spans="1:27" ht="15" customHeight="1">
      <c r="A281" s="1">
        <v>57</v>
      </c>
      <c r="B281" s="1" t="s">
        <v>469</v>
      </c>
      <c r="C281" s="1" t="s">
        <v>470</v>
      </c>
      <c r="D281" s="1" t="s">
        <v>471</v>
      </c>
      <c r="E281" s="1" t="s">
        <v>470</v>
      </c>
      <c r="F281" s="1" t="s">
        <v>170</v>
      </c>
      <c r="G281" s="1" t="s">
        <v>141</v>
      </c>
      <c r="H281" s="1">
        <v>1005002315</v>
      </c>
      <c r="I281" s="1" t="s">
        <v>10</v>
      </c>
      <c r="J281" s="1">
        <v>31</v>
      </c>
      <c r="K281" s="1" t="s">
        <v>171</v>
      </c>
      <c r="L281" s="1">
        <v>1001022813</v>
      </c>
      <c r="M281" s="1" t="s">
        <v>472</v>
      </c>
      <c r="N281" s="1" t="s">
        <v>178</v>
      </c>
      <c r="O281" s="1" t="s">
        <v>179</v>
      </c>
      <c r="P281" s="1" t="s">
        <v>146</v>
      </c>
      <c r="Q281" s="1" t="s">
        <v>147</v>
      </c>
      <c r="R281" s="1" t="s">
        <v>148</v>
      </c>
      <c r="S281" s="44">
        <v>0</v>
      </c>
      <c r="T281" s="44">
        <v>20.82</v>
      </c>
      <c r="U281" s="44">
        <v>0.21</v>
      </c>
      <c r="V281" s="44">
        <v>0</v>
      </c>
      <c r="W281" s="44">
        <v>0</v>
      </c>
      <c r="X281" s="45">
        <v>3319.45</v>
      </c>
      <c r="Y281" s="45">
        <v>2954310</v>
      </c>
      <c r="Z281" s="45"/>
      <c r="AA281" s="46">
        <v>2954310</v>
      </c>
    </row>
    <row r="282" spans="1:27" ht="15" customHeight="1">
      <c r="A282" s="1">
        <v>57</v>
      </c>
      <c r="B282" s="1" t="s">
        <v>469</v>
      </c>
      <c r="C282" s="1" t="s">
        <v>470</v>
      </c>
      <c r="D282" s="1" t="s">
        <v>471</v>
      </c>
      <c r="E282" s="1" t="s">
        <v>470</v>
      </c>
      <c r="F282" s="1" t="s">
        <v>170</v>
      </c>
      <c r="G282" s="1" t="s">
        <v>141</v>
      </c>
      <c r="H282" s="1">
        <v>1005002272</v>
      </c>
      <c r="I282" s="1" t="s">
        <v>43</v>
      </c>
      <c r="J282" s="1">
        <v>38</v>
      </c>
      <c r="K282" s="1" t="s">
        <v>226</v>
      </c>
      <c r="L282" s="1">
        <v>1001023552</v>
      </c>
      <c r="M282" s="1" t="s">
        <v>473</v>
      </c>
      <c r="N282" s="1" t="s">
        <v>178</v>
      </c>
      <c r="O282" s="1" t="s">
        <v>179</v>
      </c>
      <c r="P282" s="1" t="s">
        <v>146</v>
      </c>
      <c r="Q282" s="1" t="s">
        <v>147</v>
      </c>
      <c r="R282" s="1" t="s">
        <v>148</v>
      </c>
      <c r="S282" s="44">
        <v>0</v>
      </c>
      <c r="T282" s="44">
        <v>21.91</v>
      </c>
      <c r="U282" s="44">
        <v>0</v>
      </c>
      <c r="V282" s="44">
        <v>0</v>
      </c>
      <c r="W282" s="44">
        <v>0</v>
      </c>
      <c r="X282" s="45">
        <v>3997.27</v>
      </c>
      <c r="Y282" s="45">
        <v>3637517</v>
      </c>
      <c r="Z282" s="45"/>
      <c r="AA282" s="46">
        <v>3637517</v>
      </c>
    </row>
    <row r="283" spans="1:27" ht="15" customHeight="1">
      <c r="A283" s="1">
        <v>57</v>
      </c>
      <c r="B283" s="1" t="s">
        <v>469</v>
      </c>
      <c r="C283" s="1" t="s">
        <v>470</v>
      </c>
      <c r="D283" s="1" t="s">
        <v>471</v>
      </c>
      <c r="E283" s="1" t="s">
        <v>470</v>
      </c>
      <c r="F283" s="1" t="s">
        <v>170</v>
      </c>
      <c r="G283" s="1" t="s">
        <v>141</v>
      </c>
      <c r="H283" s="1">
        <v>1005002316</v>
      </c>
      <c r="I283" s="1" t="s">
        <v>10</v>
      </c>
      <c r="J283" s="1">
        <v>31</v>
      </c>
      <c r="K283" s="1" t="s">
        <v>226</v>
      </c>
      <c r="L283" s="1">
        <v>1001023654</v>
      </c>
      <c r="M283" s="1" t="s">
        <v>474</v>
      </c>
      <c r="N283" s="1" t="s">
        <v>178</v>
      </c>
      <c r="O283" s="1" t="s">
        <v>179</v>
      </c>
      <c r="P283" s="1" t="s">
        <v>146</v>
      </c>
      <c r="Q283" s="1" t="s">
        <v>147</v>
      </c>
      <c r="R283" s="1" t="s">
        <v>148</v>
      </c>
      <c r="S283" s="44">
        <v>0</v>
      </c>
      <c r="T283" s="44">
        <v>20.79</v>
      </c>
      <c r="U283" s="44">
        <v>0.32</v>
      </c>
      <c r="V283" s="44">
        <v>0</v>
      </c>
      <c r="W283" s="44">
        <v>0</v>
      </c>
      <c r="X283" s="45">
        <v>5860.63</v>
      </c>
      <c r="Y283" s="45">
        <v>5333174</v>
      </c>
      <c r="Z283" s="45"/>
      <c r="AA283" s="46">
        <v>5333174</v>
      </c>
    </row>
    <row r="284" spans="1:27" ht="15" customHeight="1">
      <c r="A284" s="1">
        <v>57</v>
      </c>
      <c r="B284" s="1" t="s">
        <v>469</v>
      </c>
      <c r="C284" s="1" t="s">
        <v>470</v>
      </c>
      <c r="D284" s="1" t="s">
        <v>471</v>
      </c>
      <c r="E284" s="1" t="s">
        <v>470</v>
      </c>
      <c r="F284" s="1" t="s">
        <v>170</v>
      </c>
      <c r="G284" s="1" t="s">
        <v>141</v>
      </c>
      <c r="H284" s="1">
        <v>1005002273</v>
      </c>
      <c r="I284" s="1" t="s">
        <v>43</v>
      </c>
      <c r="J284" s="1">
        <v>38</v>
      </c>
      <c r="K284" s="1" t="s">
        <v>171</v>
      </c>
      <c r="L284" s="1">
        <v>1001024056</v>
      </c>
      <c r="M284" s="1" t="s">
        <v>475</v>
      </c>
      <c r="N284" s="1" t="s">
        <v>178</v>
      </c>
      <c r="O284" s="1" t="s">
        <v>179</v>
      </c>
      <c r="P284" s="1" t="s">
        <v>146</v>
      </c>
      <c r="Q284" s="1" t="s">
        <v>147</v>
      </c>
      <c r="R284" s="1" t="s">
        <v>148</v>
      </c>
      <c r="S284" s="44">
        <v>0</v>
      </c>
      <c r="T284" s="44">
        <v>21.05</v>
      </c>
      <c r="U284" s="44">
        <v>1.1299999999999999</v>
      </c>
      <c r="V284" s="44">
        <v>0</v>
      </c>
      <c r="W284" s="44">
        <v>0</v>
      </c>
      <c r="X284" s="45">
        <v>8115.91</v>
      </c>
      <c r="Y284" s="45">
        <v>7507219</v>
      </c>
      <c r="Z284" s="45"/>
      <c r="AA284" s="46">
        <v>7507219</v>
      </c>
    </row>
    <row r="285" spans="1:27" ht="15" customHeight="1">
      <c r="A285" s="1">
        <v>57</v>
      </c>
      <c r="B285" s="1" t="s">
        <v>469</v>
      </c>
      <c r="C285" s="1" t="s">
        <v>470</v>
      </c>
      <c r="D285" s="1" t="s">
        <v>471</v>
      </c>
      <c r="E285" s="1" t="s">
        <v>470</v>
      </c>
      <c r="F285" s="1" t="s">
        <v>140</v>
      </c>
      <c r="G285" s="1" t="s">
        <v>141</v>
      </c>
      <c r="H285" s="1">
        <v>1365000209</v>
      </c>
      <c r="I285" s="1" t="s">
        <v>51</v>
      </c>
      <c r="J285" s="1">
        <v>43</v>
      </c>
      <c r="K285" s="1" t="s">
        <v>226</v>
      </c>
      <c r="L285" s="1">
        <v>1361001778</v>
      </c>
      <c r="M285" s="1" t="s">
        <v>476</v>
      </c>
      <c r="N285" s="1" t="s">
        <v>178</v>
      </c>
      <c r="O285" s="1" t="s">
        <v>179</v>
      </c>
      <c r="P285" s="1" t="s">
        <v>146</v>
      </c>
      <c r="Q285" s="1" t="s">
        <v>147</v>
      </c>
      <c r="R285" s="1" t="s">
        <v>228</v>
      </c>
      <c r="S285" s="44">
        <v>0</v>
      </c>
      <c r="T285" s="44">
        <v>21.07</v>
      </c>
      <c r="U285" s="44">
        <v>3.21</v>
      </c>
      <c r="V285" s="44">
        <v>0</v>
      </c>
      <c r="W285" s="44">
        <v>0</v>
      </c>
      <c r="X285" s="45">
        <v>16447.46</v>
      </c>
      <c r="Y285" s="45">
        <v>15542849</v>
      </c>
      <c r="Z285" s="45"/>
      <c r="AA285" s="46">
        <v>15542849</v>
      </c>
    </row>
    <row r="286" spans="1:27" ht="15" customHeight="1">
      <c r="A286" s="1">
        <v>57</v>
      </c>
      <c r="B286" s="1" t="s">
        <v>469</v>
      </c>
      <c r="C286" s="1" t="s">
        <v>470</v>
      </c>
      <c r="D286" s="1" t="s">
        <v>471</v>
      </c>
      <c r="E286" s="1" t="s">
        <v>470</v>
      </c>
      <c r="F286" s="1" t="s">
        <v>140</v>
      </c>
      <c r="G286" s="1" t="s">
        <v>141</v>
      </c>
      <c r="H286" s="1">
        <v>1365000211</v>
      </c>
      <c r="I286" s="1" t="s">
        <v>51</v>
      </c>
      <c r="J286" s="1">
        <v>43</v>
      </c>
      <c r="K286" s="1" t="s">
        <v>226</v>
      </c>
      <c r="L286" s="1">
        <v>1361001832</v>
      </c>
      <c r="M286" s="1" t="s">
        <v>477</v>
      </c>
      <c r="N286" s="1" t="s">
        <v>178</v>
      </c>
      <c r="O286" s="1" t="s">
        <v>179</v>
      </c>
      <c r="P286" s="1" t="s">
        <v>146</v>
      </c>
      <c r="Q286" s="1" t="s">
        <v>147</v>
      </c>
      <c r="R286" s="1" t="s">
        <v>228</v>
      </c>
      <c r="S286" s="44">
        <v>0</v>
      </c>
      <c r="T286" s="44">
        <v>22.59</v>
      </c>
      <c r="U286" s="44">
        <v>3.53</v>
      </c>
      <c r="V286" s="44">
        <v>0</v>
      </c>
      <c r="W286" s="44">
        <v>0</v>
      </c>
      <c r="X286" s="45">
        <v>51295.040000000001</v>
      </c>
      <c r="Y286" s="45">
        <v>57450444</v>
      </c>
      <c r="Z286" s="45"/>
      <c r="AA286" s="46">
        <v>57450444</v>
      </c>
    </row>
    <row r="287" spans="1:27" ht="15" customHeight="1">
      <c r="A287" s="1">
        <v>57</v>
      </c>
      <c r="B287" s="1" t="s">
        <v>469</v>
      </c>
      <c r="C287" s="1" t="s">
        <v>470</v>
      </c>
      <c r="D287" s="1" t="s">
        <v>471</v>
      </c>
      <c r="E287" s="1" t="s">
        <v>470</v>
      </c>
      <c r="F287" s="1" t="s">
        <v>140</v>
      </c>
      <c r="G287" s="1" t="s">
        <v>141</v>
      </c>
      <c r="H287" s="1">
        <v>1365000195</v>
      </c>
      <c r="I287" s="1" t="s">
        <v>8</v>
      </c>
      <c r="J287" s="1">
        <v>66</v>
      </c>
      <c r="K287" s="1" t="s">
        <v>226</v>
      </c>
      <c r="L287" s="1">
        <v>1361001861</v>
      </c>
      <c r="M287" s="1" t="s">
        <v>478</v>
      </c>
      <c r="N287" s="1" t="s">
        <v>178</v>
      </c>
      <c r="O287" s="1" t="s">
        <v>179</v>
      </c>
      <c r="P287" s="1" t="s">
        <v>146</v>
      </c>
      <c r="Q287" s="1" t="s">
        <v>147</v>
      </c>
      <c r="R287" s="1" t="s">
        <v>228</v>
      </c>
      <c r="S287" s="44">
        <v>0</v>
      </c>
      <c r="T287" s="44">
        <v>21.81</v>
      </c>
      <c r="U287" s="44">
        <v>3.25</v>
      </c>
      <c r="V287" s="44">
        <v>0</v>
      </c>
      <c r="W287" s="44">
        <v>0</v>
      </c>
      <c r="X287" s="45">
        <v>40520.5</v>
      </c>
      <c r="Y287" s="45">
        <v>48624600</v>
      </c>
      <c r="Z287" s="45"/>
      <c r="AA287" s="46">
        <v>48624600</v>
      </c>
    </row>
    <row r="288" spans="1:27" ht="15" customHeight="1">
      <c r="A288" s="1">
        <v>57</v>
      </c>
      <c r="B288" s="1" t="s">
        <v>469</v>
      </c>
      <c r="C288" s="1" t="s">
        <v>470</v>
      </c>
      <c r="D288" s="1" t="s">
        <v>471</v>
      </c>
      <c r="E288" s="1" t="s">
        <v>470</v>
      </c>
      <c r="F288" s="1" t="s">
        <v>140</v>
      </c>
      <c r="G288" s="1" t="s">
        <v>141</v>
      </c>
      <c r="H288" s="1">
        <v>1365000214</v>
      </c>
      <c r="I288" s="1" t="s">
        <v>43</v>
      </c>
      <c r="J288" s="1">
        <v>38</v>
      </c>
      <c r="K288" s="1" t="s">
        <v>226</v>
      </c>
      <c r="L288" s="1">
        <v>1361001892</v>
      </c>
      <c r="M288" s="1" t="s">
        <v>479</v>
      </c>
      <c r="N288" s="1" t="s">
        <v>178</v>
      </c>
      <c r="O288" s="1" t="s">
        <v>179</v>
      </c>
      <c r="P288" s="1" t="s">
        <v>146</v>
      </c>
      <c r="Q288" s="1" t="s">
        <v>147</v>
      </c>
      <c r="R288" s="1" t="s">
        <v>228</v>
      </c>
      <c r="S288" s="44">
        <v>0</v>
      </c>
      <c r="T288" s="44">
        <v>20</v>
      </c>
      <c r="U288" s="44">
        <v>3.33</v>
      </c>
      <c r="V288" s="44">
        <v>0</v>
      </c>
      <c r="W288" s="44">
        <v>0</v>
      </c>
      <c r="X288" s="45">
        <v>41043.14</v>
      </c>
      <c r="Y288" s="45">
        <v>48430905</v>
      </c>
      <c r="Z288" s="45"/>
      <c r="AA288" s="46">
        <v>48430905</v>
      </c>
    </row>
    <row r="289" spans="1:27" ht="15" customHeight="1">
      <c r="A289" s="1">
        <v>57</v>
      </c>
      <c r="B289" s="1" t="s">
        <v>469</v>
      </c>
      <c r="C289" s="1" t="s">
        <v>470</v>
      </c>
      <c r="D289" s="1" t="s">
        <v>471</v>
      </c>
      <c r="E289" s="1" t="s">
        <v>470</v>
      </c>
      <c r="F289" s="1" t="s">
        <v>140</v>
      </c>
      <c r="G289" s="1" t="s">
        <v>141</v>
      </c>
      <c r="H289" s="1">
        <v>1365000210</v>
      </c>
      <c r="I289" s="1" t="s">
        <v>51</v>
      </c>
      <c r="J289" s="1">
        <v>43</v>
      </c>
      <c r="K289" s="1" t="s">
        <v>226</v>
      </c>
      <c r="L289" s="1">
        <v>1361001920</v>
      </c>
      <c r="M289" s="1" t="s">
        <v>480</v>
      </c>
      <c r="N289" s="1" t="s">
        <v>178</v>
      </c>
      <c r="O289" s="1" t="s">
        <v>179</v>
      </c>
      <c r="P289" s="1" t="s">
        <v>146</v>
      </c>
      <c r="Q289" s="1" t="s">
        <v>147</v>
      </c>
      <c r="R289" s="1" t="s">
        <v>228</v>
      </c>
      <c r="S289" s="44">
        <v>0</v>
      </c>
      <c r="T289" s="44">
        <v>20.38</v>
      </c>
      <c r="U289" s="44">
        <v>3.41</v>
      </c>
      <c r="V289" s="44">
        <v>0</v>
      </c>
      <c r="W289" s="44">
        <v>0</v>
      </c>
      <c r="X289" s="45">
        <v>56998.5</v>
      </c>
      <c r="Y289" s="45">
        <v>67258231</v>
      </c>
      <c r="Z289" s="45"/>
      <c r="AA289" s="46">
        <v>67258231</v>
      </c>
    </row>
    <row r="290" spans="1:27" ht="15" customHeight="1">
      <c r="A290" s="1">
        <v>57</v>
      </c>
      <c r="B290" s="1" t="s">
        <v>469</v>
      </c>
      <c r="C290" s="1" t="s">
        <v>470</v>
      </c>
      <c r="D290" s="1" t="s">
        <v>471</v>
      </c>
      <c r="E290" s="1" t="s">
        <v>470</v>
      </c>
      <c r="F290" s="1" t="s">
        <v>170</v>
      </c>
      <c r="G290" s="1" t="s">
        <v>141</v>
      </c>
      <c r="H290" s="1">
        <v>1005002275</v>
      </c>
      <c r="I290" s="1" t="s">
        <v>43</v>
      </c>
      <c r="J290" s="1">
        <v>38</v>
      </c>
      <c r="K290" s="1" t="s">
        <v>226</v>
      </c>
      <c r="L290" s="1">
        <v>1001026073</v>
      </c>
      <c r="M290" s="1" t="s">
        <v>481</v>
      </c>
      <c r="N290" s="1" t="s">
        <v>178</v>
      </c>
      <c r="O290" s="1" t="s">
        <v>179</v>
      </c>
      <c r="P290" s="1" t="s">
        <v>146</v>
      </c>
      <c r="Q290" s="1" t="s">
        <v>147</v>
      </c>
      <c r="R290" s="1" t="s">
        <v>148</v>
      </c>
      <c r="S290" s="44">
        <v>0</v>
      </c>
      <c r="T290" s="44">
        <v>20.65</v>
      </c>
      <c r="U290" s="44">
        <v>1.08</v>
      </c>
      <c r="V290" s="44">
        <v>0</v>
      </c>
      <c r="W290" s="44">
        <v>0</v>
      </c>
      <c r="X290" s="45">
        <v>10593.85</v>
      </c>
      <c r="Y290" s="45">
        <v>11017604</v>
      </c>
      <c r="Z290" s="45"/>
      <c r="AA290" s="46">
        <v>11017604</v>
      </c>
    </row>
    <row r="291" spans="1:27" ht="15" customHeight="1">
      <c r="A291" s="56"/>
      <c r="B291" s="56" t="s">
        <v>149</v>
      </c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7"/>
      <c r="T291" s="57"/>
      <c r="U291" s="57"/>
      <c r="V291" s="57"/>
      <c r="W291" s="57"/>
      <c r="X291" s="58">
        <f>SUM(X281:X290)</f>
        <v>238191.75000000003</v>
      </c>
      <c r="Y291" s="58">
        <f t="shared" ref="Y291:AA291" si="56">SUM(Y281:Y290)</f>
        <v>267756853</v>
      </c>
      <c r="Z291" s="58">
        <f t="shared" si="56"/>
        <v>0</v>
      </c>
      <c r="AA291" s="58">
        <f t="shared" si="56"/>
        <v>267756853</v>
      </c>
    </row>
    <row r="292" spans="1:27" ht="15" customHeight="1">
      <c r="A292" s="1">
        <v>58</v>
      </c>
      <c r="B292" s="1" t="s">
        <v>482</v>
      </c>
      <c r="C292" s="1" t="s">
        <v>483</v>
      </c>
      <c r="D292" s="1" t="s">
        <v>471</v>
      </c>
      <c r="E292" s="1" t="s">
        <v>483</v>
      </c>
      <c r="F292" s="1" t="s">
        <v>170</v>
      </c>
      <c r="G292" s="1" t="s">
        <v>141</v>
      </c>
      <c r="H292" s="1">
        <v>1005002317</v>
      </c>
      <c r="I292" s="1" t="s">
        <v>10</v>
      </c>
      <c r="J292" s="1">
        <v>31</v>
      </c>
      <c r="K292" s="1" t="s">
        <v>171</v>
      </c>
      <c r="L292" s="1">
        <v>1001022811</v>
      </c>
      <c r="M292" s="1" t="s">
        <v>484</v>
      </c>
      <c r="N292" s="1" t="s">
        <v>178</v>
      </c>
      <c r="O292" s="1" t="s">
        <v>179</v>
      </c>
      <c r="P292" s="1" t="s">
        <v>146</v>
      </c>
      <c r="Q292" s="1" t="s">
        <v>147</v>
      </c>
      <c r="R292" s="1" t="s">
        <v>148</v>
      </c>
      <c r="S292" s="44">
        <v>0</v>
      </c>
      <c r="T292" s="44">
        <v>20.89</v>
      </c>
      <c r="U292" s="44">
        <v>0.19</v>
      </c>
      <c r="V292" s="44">
        <v>0</v>
      </c>
      <c r="W292" s="44">
        <v>0</v>
      </c>
      <c r="X292" s="45">
        <v>4285.67</v>
      </c>
      <c r="Y292" s="45">
        <v>3299967</v>
      </c>
      <c r="Z292" s="45"/>
      <c r="AA292" s="46">
        <v>3299967</v>
      </c>
    </row>
    <row r="293" spans="1:27" ht="15" customHeight="1">
      <c r="A293" s="1">
        <v>58</v>
      </c>
      <c r="B293" s="1" t="s">
        <v>482</v>
      </c>
      <c r="C293" s="1" t="s">
        <v>483</v>
      </c>
      <c r="D293" s="1" t="s">
        <v>471</v>
      </c>
      <c r="E293" s="1" t="s">
        <v>483</v>
      </c>
      <c r="F293" s="1" t="s">
        <v>170</v>
      </c>
      <c r="G293" s="1" t="s">
        <v>141</v>
      </c>
      <c r="H293" s="1">
        <v>1005002278</v>
      </c>
      <c r="I293" s="1" t="s">
        <v>43</v>
      </c>
      <c r="J293" s="1">
        <v>38</v>
      </c>
      <c r="K293" s="1" t="s">
        <v>171</v>
      </c>
      <c r="L293" s="1">
        <v>1001026072</v>
      </c>
      <c r="M293" s="1" t="s">
        <v>485</v>
      </c>
      <c r="N293" s="1" t="s">
        <v>178</v>
      </c>
      <c r="O293" s="1" t="s">
        <v>179</v>
      </c>
      <c r="P293" s="1" t="s">
        <v>146</v>
      </c>
      <c r="Q293" s="1" t="s">
        <v>147</v>
      </c>
      <c r="R293" s="1" t="s">
        <v>148</v>
      </c>
      <c r="S293" s="44">
        <v>0</v>
      </c>
      <c r="T293" s="44">
        <v>20.57</v>
      </c>
      <c r="U293" s="44">
        <v>2.33</v>
      </c>
      <c r="V293" s="44">
        <v>0</v>
      </c>
      <c r="W293" s="44">
        <v>0</v>
      </c>
      <c r="X293" s="45">
        <v>21368.45</v>
      </c>
      <c r="Y293" s="45">
        <v>22864243</v>
      </c>
      <c r="Z293" s="45"/>
      <c r="AA293" s="46">
        <v>22864243</v>
      </c>
    </row>
    <row r="294" spans="1:27" ht="15" customHeight="1">
      <c r="A294" s="56"/>
      <c r="B294" s="56" t="s">
        <v>149</v>
      </c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7"/>
      <c r="T294" s="57"/>
      <c r="U294" s="57"/>
      <c r="V294" s="57"/>
      <c r="W294" s="57"/>
      <c r="X294" s="58">
        <f>SUM(X292:X293)</f>
        <v>25654.120000000003</v>
      </c>
      <c r="Y294" s="58">
        <f t="shared" ref="Y294:AA294" si="57">SUM(Y292:Y293)</f>
        <v>26164210</v>
      </c>
      <c r="Z294" s="58">
        <f t="shared" si="57"/>
        <v>0</v>
      </c>
      <c r="AA294" s="58">
        <f t="shared" si="57"/>
        <v>26164210</v>
      </c>
    </row>
    <row r="295" spans="1:27" ht="15" customHeight="1">
      <c r="A295" s="1">
        <v>59</v>
      </c>
      <c r="B295" s="1" t="s">
        <v>486</v>
      </c>
      <c r="C295" s="1" t="s">
        <v>487</v>
      </c>
      <c r="D295" s="49" t="s">
        <v>252</v>
      </c>
      <c r="E295" s="1" t="s">
        <v>487</v>
      </c>
      <c r="F295" s="1" t="s">
        <v>183</v>
      </c>
      <c r="G295" s="1" t="s">
        <v>141</v>
      </c>
      <c r="H295" s="1">
        <v>1005002428</v>
      </c>
      <c r="I295" s="1" t="s">
        <v>11</v>
      </c>
      <c r="J295" s="1">
        <v>14</v>
      </c>
      <c r="K295" s="1" t="s">
        <v>184</v>
      </c>
      <c r="L295" s="1">
        <v>1001027615</v>
      </c>
      <c r="M295" s="1" t="s">
        <v>488</v>
      </c>
      <c r="N295" s="1" t="s">
        <v>144</v>
      </c>
      <c r="O295" s="1" t="s">
        <v>145</v>
      </c>
      <c r="P295" s="1" t="s">
        <v>146</v>
      </c>
      <c r="Q295" s="1" t="s">
        <v>147</v>
      </c>
      <c r="R295" s="1" t="s">
        <v>148</v>
      </c>
      <c r="S295" s="44">
        <v>5.16</v>
      </c>
      <c r="T295" s="44">
        <v>0.33</v>
      </c>
      <c r="U295" s="44">
        <v>0</v>
      </c>
      <c r="V295" s="44">
        <v>0</v>
      </c>
      <c r="W295" s="44">
        <v>0</v>
      </c>
      <c r="X295" s="45">
        <v>17260</v>
      </c>
      <c r="Y295" s="45">
        <v>431500</v>
      </c>
      <c r="Z295" s="45"/>
      <c r="AA295" s="46">
        <v>431500</v>
      </c>
    </row>
    <row r="296" spans="1:27" ht="15" customHeight="1">
      <c r="A296" s="1">
        <v>59</v>
      </c>
      <c r="B296" s="1" t="s">
        <v>486</v>
      </c>
      <c r="C296" s="1" t="s">
        <v>487</v>
      </c>
      <c r="D296" s="49" t="s">
        <v>252</v>
      </c>
      <c r="E296" s="1" t="s">
        <v>487</v>
      </c>
      <c r="F296" s="1" t="s">
        <v>183</v>
      </c>
      <c r="G296" s="1" t="s">
        <v>141</v>
      </c>
      <c r="H296" s="1">
        <v>1005002429</v>
      </c>
      <c r="I296" s="1" t="s">
        <v>11</v>
      </c>
      <c r="J296" s="1">
        <v>14</v>
      </c>
      <c r="K296" s="1" t="s">
        <v>184</v>
      </c>
      <c r="L296" s="1">
        <v>1001027665</v>
      </c>
      <c r="M296" s="1" t="s">
        <v>489</v>
      </c>
      <c r="N296" s="1" t="s">
        <v>144</v>
      </c>
      <c r="O296" s="1" t="s">
        <v>145</v>
      </c>
      <c r="P296" s="1" t="s">
        <v>146</v>
      </c>
      <c r="Q296" s="1" t="s">
        <v>147</v>
      </c>
      <c r="R296" s="1" t="s">
        <v>148</v>
      </c>
      <c r="S296" s="44">
        <v>5.12</v>
      </c>
      <c r="T296" s="44">
        <v>0.32</v>
      </c>
      <c r="U296" s="44">
        <v>0</v>
      </c>
      <c r="V296" s="44">
        <v>0</v>
      </c>
      <c r="W296" s="44">
        <v>0</v>
      </c>
      <c r="X296" s="45">
        <v>116370</v>
      </c>
      <c r="Y296" s="45">
        <v>2909250</v>
      </c>
      <c r="Z296" s="45"/>
      <c r="AA296" s="46">
        <v>2909250</v>
      </c>
    </row>
    <row r="297" spans="1:27" ht="15" customHeight="1">
      <c r="A297" s="1">
        <v>59</v>
      </c>
      <c r="B297" s="1" t="s">
        <v>486</v>
      </c>
      <c r="C297" s="1" t="s">
        <v>487</v>
      </c>
      <c r="D297" s="49" t="s">
        <v>252</v>
      </c>
      <c r="E297" s="1" t="s">
        <v>487</v>
      </c>
      <c r="F297" s="1" t="s">
        <v>183</v>
      </c>
      <c r="G297" s="1" t="s">
        <v>141</v>
      </c>
      <c r="H297" s="1">
        <v>1005002430</v>
      </c>
      <c r="I297" s="1" t="s">
        <v>11</v>
      </c>
      <c r="J297" s="1">
        <v>14</v>
      </c>
      <c r="K297" s="1" t="s">
        <v>184</v>
      </c>
      <c r="L297" s="1">
        <v>1001027669</v>
      </c>
      <c r="M297" s="1" t="s">
        <v>490</v>
      </c>
      <c r="N297" s="1" t="s">
        <v>144</v>
      </c>
      <c r="O297" s="1" t="s">
        <v>145</v>
      </c>
      <c r="P297" s="1" t="s">
        <v>146</v>
      </c>
      <c r="Q297" s="1" t="s">
        <v>147</v>
      </c>
      <c r="R297" s="1" t="s">
        <v>148</v>
      </c>
      <c r="S297" s="44">
        <v>5.0999999999999996</v>
      </c>
      <c r="T297" s="44">
        <v>0.32</v>
      </c>
      <c r="U297" s="44">
        <v>0</v>
      </c>
      <c r="V297" s="44">
        <v>0</v>
      </c>
      <c r="W297" s="44">
        <v>0</v>
      </c>
      <c r="X297" s="45">
        <v>125320</v>
      </c>
      <c r="Y297" s="45">
        <v>3133000</v>
      </c>
      <c r="Z297" s="45"/>
      <c r="AA297" s="46">
        <v>3133000</v>
      </c>
    </row>
    <row r="298" spans="1:27" ht="15" customHeight="1">
      <c r="A298" s="1">
        <v>59</v>
      </c>
      <c r="B298" s="1" t="s">
        <v>486</v>
      </c>
      <c r="C298" s="1" t="s">
        <v>487</v>
      </c>
      <c r="D298" s="49" t="s">
        <v>252</v>
      </c>
      <c r="E298" s="1" t="s">
        <v>487</v>
      </c>
      <c r="F298" s="1" t="s">
        <v>183</v>
      </c>
      <c r="G298" s="1" t="s">
        <v>141</v>
      </c>
      <c r="H298" s="1">
        <v>1005002431</v>
      </c>
      <c r="I298" s="1" t="s">
        <v>11</v>
      </c>
      <c r="J298" s="1">
        <v>14</v>
      </c>
      <c r="K298" s="1" t="s">
        <v>184</v>
      </c>
      <c r="L298" s="1">
        <v>1001027704</v>
      </c>
      <c r="M298" s="1" t="s">
        <v>491</v>
      </c>
      <c r="N298" s="1" t="s">
        <v>144</v>
      </c>
      <c r="O298" s="1" t="s">
        <v>145</v>
      </c>
      <c r="P298" s="1" t="s">
        <v>146</v>
      </c>
      <c r="Q298" s="1" t="s">
        <v>147</v>
      </c>
      <c r="R298" s="1" t="s">
        <v>148</v>
      </c>
      <c r="S298" s="44">
        <v>5.07</v>
      </c>
      <c r="T298" s="44">
        <v>0.32</v>
      </c>
      <c r="U298" s="44">
        <v>0</v>
      </c>
      <c r="V298" s="44">
        <v>0</v>
      </c>
      <c r="W298" s="44">
        <v>0</v>
      </c>
      <c r="X298" s="45">
        <v>146570</v>
      </c>
      <c r="Y298" s="45">
        <v>3664250</v>
      </c>
      <c r="Z298" s="45"/>
      <c r="AA298" s="46">
        <v>3664250</v>
      </c>
    </row>
    <row r="299" spans="1:27" ht="15" customHeight="1">
      <c r="A299" s="1">
        <v>59</v>
      </c>
      <c r="B299" s="1" t="s">
        <v>486</v>
      </c>
      <c r="C299" s="1" t="s">
        <v>487</v>
      </c>
      <c r="D299" s="49" t="s">
        <v>252</v>
      </c>
      <c r="E299" s="1" t="s">
        <v>487</v>
      </c>
      <c r="F299" s="1" t="s">
        <v>183</v>
      </c>
      <c r="G299" s="1" t="s">
        <v>141</v>
      </c>
      <c r="H299" s="1">
        <v>1005002432</v>
      </c>
      <c r="I299" s="1" t="s">
        <v>11</v>
      </c>
      <c r="J299" s="1">
        <v>14</v>
      </c>
      <c r="K299" s="1" t="s">
        <v>184</v>
      </c>
      <c r="L299" s="1">
        <v>1001027731</v>
      </c>
      <c r="M299" s="1" t="s">
        <v>492</v>
      </c>
      <c r="N299" s="1" t="s">
        <v>144</v>
      </c>
      <c r="O299" s="1" t="s">
        <v>145</v>
      </c>
      <c r="P299" s="1" t="s">
        <v>146</v>
      </c>
      <c r="Q299" s="1" t="s">
        <v>147</v>
      </c>
      <c r="R299" s="1" t="s">
        <v>148</v>
      </c>
      <c r="S299" s="44">
        <v>5.04</v>
      </c>
      <c r="T299" s="44">
        <v>0.35</v>
      </c>
      <c r="U299" s="44">
        <v>0</v>
      </c>
      <c r="V299" s="44">
        <v>0</v>
      </c>
      <c r="W299" s="44">
        <v>0</v>
      </c>
      <c r="X299" s="45">
        <v>55540</v>
      </c>
      <c r="Y299" s="45">
        <v>1388500</v>
      </c>
      <c r="Z299" s="45"/>
      <c r="AA299" s="46">
        <v>1388500</v>
      </c>
    </row>
    <row r="300" spans="1:27" ht="15" customHeight="1">
      <c r="A300" s="1">
        <v>59</v>
      </c>
      <c r="B300" s="1" t="s">
        <v>486</v>
      </c>
      <c r="C300" s="1" t="s">
        <v>487</v>
      </c>
      <c r="D300" s="49" t="s">
        <v>252</v>
      </c>
      <c r="E300" s="1" t="s">
        <v>487</v>
      </c>
      <c r="F300" s="1" t="s">
        <v>183</v>
      </c>
      <c r="G300" s="1" t="s">
        <v>141</v>
      </c>
      <c r="H300" s="1">
        <v>1005002433</v>
      </c>
      <c r="I300" s="1" t="s">
        <v>11</v>
      </c>
      <c r="J300" s="1">
        <v>14</v>
      </c>
      <c r="K300" s="1" t="s">
        <v>184</v>
      </c>
      <c r="L300" s="1">
        <v>1001027760</v>
      </c>
      <c r="M300" s="1" t="s">
        <v>493</v>
      </c>
      <c r="N300" s="1" t="s">
        <v>144</v>
      </c>
      <c r="O300" s="1" t="s">
        <v>145</v>
      </c>
      <c r="P300" s="1" t="s">
        <v>146</v>
      </c>
      <c r="Q300" s="1" t="s">
        <v>147</v>
      </c>
      <c r="R300" s="1" t="s">
        <v>148</v>
      </c>
      <c r="S300" s="44">
        <v>5.05</v>
      </c>
      <c r="T300" s="44">
        <v>0.35</v>
      </c>
      <c r="U300" s="44">
        <v>0</v>
      </c>
      <c r="V300" s="44">
        <v>0</v>
      </c>
      <c r="W300" s="44">
        <v>0</v>
      </c>
      <c r="X300" s="45">
        <v>101690</v>
      </c>
      <c r="Y300" s="45">
        <v>2542250</v>
      </c>
      <c r="Z300" s="45"/>
      <c r="AA300" s="46">
        <v>2542250</v>
      </c>
    </row>
    <row r="301" spans="1:27" ht="15" customHeight="1">
      <c r="A301" s="1">
        <v>59</v>
      </c>
      <c r="B301" s="1" t="s">
        <v>486</v>
      </c>
      <c r="C301" s="1" t="s">
        <v>487</v>
      </c>
      <c r="D301" s="49" t="s">
        <v>252</v>
      </c>
      <c r="E301" s="1" t="s">
        <v>487</v>
      </c>
      <c r="F301" s="1" t="s">
        <v>183</v>
      </c>
      <c r="G301" s="1" t="s">
        <v>141</v>
      </c>
      <c r="H301" s="1">
        <v>1005002434</v>
      </c>
      <c r="I301" s="1" t="s">
        <v>11</v>
      </c>
      <c r="J301" s="1">
        <v>14</v>
      </c>
      <c r="K301" s="1" t="s">
        <v>184</v>
      </c>
      <c r="L301" s="1">
        <v>1001027814</v>
      </c>
      <c r="M301" s="1" t="s">
        <v>494</v>
      </c>
      <c r="N301" s="1" t="s">
        <v>144</v>
      </c>
      <c r="O301" s="1" t="s">
        <v>145</v>
      </c>
      <c r="P301" s="1" t="s">
        <v>146</v>
      </c>
      <c r="Q301" s="1" t="s">
        <v>147</v>
      </c>
      <c r="R301" s="1" t="s">
        <v>148</v>
      </c>
      <c r="S301" s="44">
        <v>5.04</v>
      </c>
      <c r="T301" s="44">
        <v>0.31</v>
      </c>
      <c r="U301" s="44">
        <v>0</v>
      </c>
      <c r="V301" s="44">
        <v>0</v>
      </c>
      <c r="W301" s="44">
        <v>0</v>
      </c>
      <c r="X301" s="45">
        <v>250100</v>
      </c>
      <c r="Y301" s="45">
        <v>6252500</v>
      </c>
      <c r="Z301" s="45"/>
      <c r="AA301" s="46">
        <v>6252500</v>
      </c>
    </row>
    <row r="302" spans="1:27" ht="15" customHeight="1">
      <c r="A302" s="56"/>
      <c r="B302" s="56" t="s">
        <v>149</v>
      </c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7"/>
      <c r="T302" s="57"/>
      <c r="U302" s="57"/>
      <c r="V302" s="57"/>
      <c r="W302" s="57"/>
      <c r="X302" s="58">
        <f>SUM(X295:X301)</f>
        <v>812850</v>
      </c>
      <c r="Y302" s="58">
        <f t="shared" ref="Y302:AA302" si="58">SUM(Y295:Y301)</f>
        <v>20321250</v>
      </c>
      <c r="Z302" s="58">
        <f t="shared" si="58"/>
        <v>0</v>
      </c>
      <c r="AA302" s="58">
        <f t="shared" si="58"/>
        <v>20321250</v>
      </c>
    </row>
    <row r="303" spans="1:27" ht="15" customHeight="1">
      <c r="A303" s="1">
        <v>60</v>
      </c>
      <c r="B303" s="1" t="s">
        <v>495</v>
      </c>
      <c r="C303" s="1" t="s">
        <v>496</v>
      </c>
      <c r="D303" s="1" t="s">
        <v>497</v>
      </c>
      <c r="E303" s="1" t="s">
        <v>496</v>
      </c>
      <c r="F303" s="1" t="s">
        <v>153</v>
      </c>
      <c r="G303" s="1" t="s">
        <v>141</v>
      </c>
      <c r="H303" s="1">
        <v>1005000823</v>
      </c>
      <c r="I303" s="1" t="s">
        <v>91</v>
      </c>
      <c r="J303" s="1">
        <v>268</v>
      </c>
      <c r="K303" s="1" t="s">
        <v>142</v>
      </c>
      <c r="L303" s="1">
        <v>1001022698</v>
      </c>
      <c r="M303" s="1" t="s">
        <v>498</v>
      </c>
      <c r="N303" s="1" t="s">
        <v>144</v>
      </c>
      <c r="O303" s="1" t="s">
        <v>145</v>
      </c>
      <c r="P303" s="1" t="s">
        <v>146</v>
      </c>
      <c r="Q303" s="1" t="s">
        <v>147</v>
      </c>
      <c r="R303" s="1" t="s">
        <v>148</v>
      </c>
      <c r="S303" s="44">
        <v>5.0199999999999996</v>
      </c>
      <c r="T303" s="44">
        <v>0.74</v>
      </c>
      <c r="U303" s="44">
        <v>0</v>
      </c>
      <c r="V303" s="44">
        <v>0</v>
      </c>
      <c r="W303" s="44">
        <v>0</v>
      </c>
      <c r="X303" s="45">
        <v>8240</v>
      </c>
      <c r="Y303" s="45">
        <v>824000</v>
      </c>
      <c r="Z303" s="45"/>
      <c r="AA303" s="46">
        <v>824000</v>
      </c>
    </row>
    <row r="304" spans="1:27" ht="15" customHeight="1">
      <c r="A304" s="56"/>
      <c r="B304" s="56" t="s">
        <v>149</v>
      </c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7"/>
      <c r="T304" s="57"/>
      <c r="U304" s="57"/>
      <c r="V304" s="57"/>
      <c r="W304" s="57"/>
      <c r="X304" s="58">
        <f>SUM(X303)</f>
        <v>8240</v>
      </c>
      <c r="Y304" s="58">
        <f t="shared" ref="Y304:AA304" si="59">SUM(Y303)</f>
        <v>824000</v>
      </c>
      <c r="Z304" s="58">
        <f t="shared" si="59"/>
        <v>0</v>
      </c>
      <c r="AA304" s="58">
        <f t="shared" si="59"/>
        <v>824000</v>
      </c>
    </row>
    <row r="305" spans="1:27" ht="15" customHeight="1">
      <c r="A305" s="1">
        <v>62</v>
      </c>
      <c r="B305" s="1" t="s">
        <v>499</v>
      </c>
      <c r="C305" s="1" t="s">
        <v>500</v>
      </c>
      <c r="D305" s="1" t="s">
        <v>501</v>
      </c>
      <c r="E305" s="1" t="s">
        <v>500</v>
      </c>
      <c r="F305" s="1" t="s">
        <v>170</v>
      </c>
      <c r="G305" s="1" t="s">
        <v>141</v>
      </c>
      <c r="H305" s="1">
        <v>1005000917</v>
      </c>
      <c r="I305" s="1" t="s">
        <v>92</v>
      </c>
      <c r="J305" s="1">
        <v>255</v>
      </c>
      <c r="K305" s="1" t="s">
        <v>171</v>
      </c>
      <c r="L305" s="1">
        <v>1001022412</v>
      </c>
      <c r="M305" s="1" t="s">
        <v>502</v>
      </c>
      <c r="N305" s="1" t="s">
        <v>178</v>
      </c>
      <c r="O305" s="1" t="s">
        <v>179</v>
      </c>
      <c r="P305" s="1" t="s">
        <v>146</v>
      </c>
      <c r="Q305" s="1" t="s">
        <v>147</v>
      </c>
      <c r="R305" s="1" t="s">
        <v>148</v>
      </c>
      <c r="S305" s="44">
        <v>0</v>
      </c>
      <c r="T305" s="44">
        <v>21.1</v>
      </c>
      <c r="U305" s="44">
        <v>0.77</v>
      </c>
      <c r="V305" s="44">
        <v>0</v>
      </c>
      <c r="W305" s="44">
        <v>0</v>
      </c>
      <c r="X305" s="45">
        <v>5469.47</v>
      </c>
      <c r="Y305" s="45">
        <v>5606209</v>
      </c>
      <c r="Z305" s="45"/>
      <c r="AA305" s="46">
        <v>5606209</v>
      </c>
    </row>
    <row r="306" spans="1:27" ht="15" customHeight="1">
      <c r="A306" s="1">
        <v>62</v>
      </c>
      <c r="B306" s="1" t="s">
        <v>499</v>
      </c>
      <c r="C306" s="1" t="s">
        <v>500</v>
      </c>
      <c r="D306" s="1" t="s">
        <v>501</v>
      </c>
      <c r="E306" s="1" t="s">
        <v>500</v>
      </c>
      <c r="F306" s="1" t="s">
        <v>170</v>
      </c>
      <c r="G306" s="1" t="s">
        <v>141</v>
      </c>
      <c r="H306" s="1">
        <v>1005001151</v>
      </c>
      <c r="I306" s="1" t="s">
        <v>93</v>
      </c>
      <c r="J306" s="1">
        <v>217</v>
      </c>
      <c r="K306" s="1" t="s">
        <v>171</v>
      </c>
      <c r="L306" s="1">
        <v>1001023281</v>
      </c>
      <c r="M306" s="1" t="s">
        <v>503</v>
      </c>
      <c r="N306" s="1" t="s">
        <v>178</v>
      </c>
      <c r="O306" s="1" t="s">
        <v>179</v>
      </c>
      <c r="P306" s="1" t="s">
        <v>146</v>
      </c>
      <c r="Q306" s="1" t="s">
        <v>147</v>
      </c>
      <c r="R306" s="1" t="s">
        <v>148</v>
      </c>
      <c r="S306" s="44">
        <v>0</v>
      </c>
      <c r="T306" s="44">
        <v>22.04</v>
      </c>
      <c r="U306" s="44">
        <v>0.88</v>
      </c>
      <c r="V306" s="44">
        <v>0</v>
      </c>
      <c r="W306" s="44">
        <v>0</v>
      </c>
      <c r="X306" s="45">
        <v>3300.22</v>
      </c>
      <c r="Y306" s="45">
        <v>3382726</v>
      </c>
      <c r="Z306" s="45"/>
      <c r="AA306" s="46">
        <v>3382726</v>
      </c>
    </row>
    <row r="307" spans="1:27" ht="15" customHeight="1">
      <c r="A307" s="1">
        <v>62</v>
      </c>
      <c r="B307" s="1" t="s">
        <v>499</v>
      </c>
      <c r="C307" s="1" t="s">
        <v>500</v>
      </c>
      <c r="D307" s="1" t="s">
        <v>501</v>
      </c>
      <c r="E307" s="1" t="s">
        <v>500</v>
      </c>
      <c r="F307" s="1" t="s">
        <v>170</v>
      </c>
      <c r="G307" s="1" t="s">
        <v>141</v>
      </c>
      <c r="H307" s="1">
        <v>1005002156</v>
      </c>
      <c r="I307" s="1" t="s">
        <v>62</v>
      </c>
      <c r="J307" s="1">
        <v>52</v>
      </c>
      <c r="K307" s="1" t="s">
        <v>171</v>
      </c>
      <c r="L307" s="1">
        <v>1001026447</v>
      </c>
      <c r="M307" s="1" t="s">
        <v>504</v>
      </c>
      <c r="N307" s="1" t="s">
        <v>178</v>
      </c>
      <c r="O307" s="1" t="s">
        <v>179</v>
      </c>
      <c r="P307" s="1" t="s">
        <v>146</v>
      </c>
      <c r="Q307" s="1" t="s">
        <v>147</v>
      </c>
      <c r="R307" s="1" t="s">
        <v>148</v>
      </c>
      <c r="S307" s="44">
        <v>0</v>
      </c>
      <c r="T307" s="44">
        <v>20.61</v>
      </c>
      <c r="U307" s="44">
        <v>0.81</v>
      </c>
      <c r="V307" s="44">
        <v>0</v>
      </c>
      <c r="W307" s="44">
        <v>0</v>
      </c>
      <c r="X307" s="45">
        <v>2415.41</v>
      </c>
      <c r="Y307" s="45">
        <v>2850183</v>
      </c>
      <c r="Z307" s="45"/>
      <c r="AA307" s="46">
        <v>2850183</v>
      </c>
    </row>
    <row r="308" spans="1:27" ht="15" customHeight="1">
      <c r="A308" s="1">
        <v>62</v>
      </c>
      <c r="B308" s="1" t="s">
        <v>499</v>
      </c>
      <c r="C308" s="1" t="s">
        <v>500</v>
      </c>
      <c r="D308" s="1" t="s">
        <v>501</v>
      </c>
      <c r="E308" s="1" t="s">
        <v>500</v>
      </c>
      <c r="F308" s="1" t="s">
        <v>170</v>
      </c>
      <c r="G308" s="1" t="s">
        <v>141</v>
      </c>
      <c r="H308" s="1">
        <v>1005002283</v>
      </c>
      <c r="I308" s="1" t="s">
        <v>40</v>
      </c>
      <c r="J308" s="1">
        <v>37</v>
      </c>
      <c r="K308" s="1" t="s">
        <v>171</v>
      </c>
      <c r="L308" s="1">
        <v>1001027240</v>
      </c>
      <c r="M308" s="1" t="s">
        <v>505</v>
      </c>
      <c r="N308" s="1" t="s">
        <v>178</v>
      </c>
      <c r="O308" s="1" t="s">
        <v>179</v>
      </c>
      <c r="P308" s="1" t="s">
        <v>146</v>
      </c>
      <c r="Q308" s="1" t="s">
        <v>147</v>
      </c>
      <c r="R308" s="1" t="s">
        <v>148</v>
      </c>
      <c r="S308" s="44">
        <v>0</v>
      </c>
      <c r="T308" s="44">
        <v>20.68</v>
      </c>
      <c r="U308" s="44">
        <v>0.83</v>
      </c>
      <c r="V308" s="44">
        <v>0</v>
      </c>
      <c r="W308" s="44">
        <v>0</v>
      </c>
      <c r="X308" s="45">
        <v>2027.14</v>
      </c>
      <c r="Y308" s="45">
        <v>1976464</v>
      </c>
      <c r="Z308" s="45"/>
      <c r="AA308" s="46">
        <v>1976464</v>
      </c>
    </row>
    <row r="309" spans="1:27" ht="15" customHeight="1">
      <c r="A309" s="56"/>
      <c r="B309" s="56" t="s">
        <v>149</v>
      </c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7"/>
      <c r="T309" s="57"/>
      <c r="U309" s="57"/>
      <c r="V309" s="57"/>
      <c r="W309" s="57"/>
      <c r="X309" s="58">
        <f>SUM(X305:X308)</f>
        <v>13212.24</v>
      </c>
      <c r="Y309" s="58">
        <f t="shared" ref="Y309:AA309" si="60">SUM(Y305:Y308)</f>
        <v>13815582</v>
      </c>
      <c r="Z309" s="58">
        <f t="shared" si="60"/>
        <v>0</v>
      </c>
      <c r="AA309" s="58">
        <f t="shared" si="60"/>
        <v>13815582</v>
      </c>
    </row>
    <row r="310" spans="1:27" ht="15" customHeight="1">
      <c r="A310" s="1">
        <v>63</v>
      </c>
      <c r="B310" s="1" t="s">
        <v>506</v>
      </c>
      <c r="C310" s="1" t="s">
        <v>507</v>
      </c>
      <c r="D310" s="1" t="s">
        <v>217</v>
      </c>
      <c r="E310" s="1" t="s">
        <v>507</v>
      </c>
      <c r="F310" s="1" t="s">
        <v>170</v>
      </c>
      <c r="G310" s="1" t="s">
        <v>141</v>
      </c>
      <c r="H310" s="1">
        <v>1005002392</v>
      </c>
      <c r="I310" s="1" t="s">
        <v>90</v>
      </c>
      <c r="J310" s="1">
        <v>15</v>
      </c>
      <c r="K310" s="1" t="s">
        <v>171</v>
      </c>
      <c r="L310" s="1">
        <v>1001026185</v>
      </c>
      <c r="M310" s="1" t="s">
        <v>508</v>
      </c>
      <c r="N310" s="1" t="s">
        <v>178</v>
      </c>
      <c r="O310" s="1" t="s">
        <v>179</v>
      </c>
      <c r="P310" s="1" t="s">
        <v>146</v>
      </c>
      <c r="Q310" s="1" t="s">
        <v>147</v>
      </c>
      <c r="R310" s="1" t="s">
        <v>148</v>
      </c>
      <c r="S310" s="44">
        <v>0</v>
      </c>
      <c r="T310" s="44">
        <v>20.56</v>
      </c>
      <c r="U310" s="44">
        <v>0.83</v>
      </c>
      <c r="V310" s="44">
        <v>0</v>
      </c>
      <c r="W310" s="44">
        <v>0</v>
      </c>
      <c r="X310" s="45">
        <v>3687.36</v>
      </c>
      <c r="Y310" s="45">
        <v>4793568</v>
      </c>
      <c r="Z310" s="45"/>
      <c r="AA310" s="46">
        <v>4793568</v>
      </c>
    </row>
    <row r="311" spans="1:27" ht="15" customHeight="1">
      <c r="A311" s="56"/>
      <c r="B311" s="56" t="s">
        <v>149</v>
      </c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7"/>
      <c r="T311" s="57"/>
      <c r="U311" s="57"/>
      <c r="V311" s="57"/>
      <c r="W311" s="57"/>
      <c r="X311" s="58">
        <f>SUM(X310)</f>
        <v>3687.36</v>
      </c>
      <c r="Y311" s="58">
        <f t="shared" ref="Y311:AA311" si="61">SUM(Y310)</f>
        <v>4793568</v>
      </c>
      <c r="Z311" s="58">
        <f t="shared" si="61"/>
        <v>0</v>
      </c>
      <c r="AA311" s="58">
        <f t="shared" si="61"/>
        <v>4793568</v>
      </c>
    </row>
    <row r="312" spans="1:27" ht="15" customHeight="1">
      <c r="A312" s="1">
        <v>64</v>
      </c>
      <c r="B312" s="1" t="s">
        <v>509</v>
      </c>
      <c r="C312" s="1" t="s">
        <v>510</v>
      </c>
      <c r="D312" s="1" t="s">
        <v>511</v>
      </c>
      <c r="E312" s="1" t="s">
        <v>510</v>
      </c>
      <c r="F312" s="1" t="s">
        <v>140</v>
      </c>
      <c r="G312" s="1" t="s">
        <v>141</v>
      </c>
      <c r="H312" s="1">
        <v>1005002206</v>
      </c>
      <c r="I312" s="1" t="s">
        <v>89</v>
      </c>
      <c r="J312" s="1">
        <v>44</v>
      </c>
      <c r="K312" s="1" t="s">
        <v>142</v>
      </c>
      <c r="L312" s="1">
        <v>1001025798</v>
      </c>
      <c r="M312" s="1" t="s">
        <v>512</v>
      </c>
      <c r="N312" s="1" t="s">
        <v>334</v>
      </c>
      <c r="O312" s="1" t="s">
        <v>297</v>
      </c>
      <c r="P312" s="1" t="s">
        <v>146</v>
      </c>
      <c r="Q312" s="1" t="s">
        <v>147</v>
      </c>
      <c r="R312" s="1" t="s">
        <v>148</v>
      </c>
      <c r="S312" s="44">
        <v>25.31</v>
      </c>
      <c r="T312" s="44">
        <v>1.06</v>
      </c>
      <c r="U312" s="44">
        <v>0</v>
      </c>
      <c r="V312" s="44">
        <v>0</v>
      </c>
      <c r="W312" s="44">
        <v>0</v>
      </c>
      <c r="X312" s="45">
        <v>1053.19</v>
      </c>
      <c r="Y312" s="45">
        <v>12427642</v>
      </c>
      <c r="Z312" s="45"/>
      <c r="AA312" s="46">
        <v>12427642</v>
      </c>
    </row>
    <row r="313" spans="1:27" ht="15" customHeight="1">
      <c r="A313" s="1">
        <v>64</v>
      </c>
      <c r="B313" s="1" t="s">
        <v>509</v>
      </c>
      <c r="C313" s="1" t="s">
        <v>510</v>
      </c>
      <c r="D313" s="1" t="s">
        <v>511</v>
      </c>
      <c r="E313" s="1" t="s">
        <v>510</v>
      </c>
      <c r="F313" s="1" t="s">
        <v>140</v>
      </c>
      <c r="G313" s="1" t="s">
        <v>141</v>
      </c>
      <c r="H313" s="1">
        <v>1005002208</v>
      </c>
      <c r="I313" s="1" t="s">
        <v>89</v>
      </c>
      <c r="J313" s="1">
        <v>44</v>
      </c>
      <c r="K313" s="1" t="s">
        <v>142</v>
      </c>
      <c r="L313" s="1">
        <v>1001025798</v>
      </c>
      <c r="M313" s="1" t="s">
        <v>512</v>
      </c>
      <c r="N313" s="1" t="s">
        <v>334</v>
      </c>
      <c r="O313" s="1" t="s">
        <v>297</v>
      </c>
      <c r="P313" s="1" t="s">
        <v>146</v>
      </c>
      <c r="Q313" s="1" t="s">
        <v>147</v>
      </c>
      <c r="R313" s="1" t="s">
        <v>148</v>
      </c>
      <c r="S313" s="44">
        <v>16.57</v>
      </c>
      <c r="T313" s="44">
        <v>1.51</v>
      </c>
      <c r="U313" s="44">
        <v>0</v>
      </c>
      <c r="V313" s="44">
        <v>0</v>
      </c>
      <c r="W313" s="44">
        <v>0</v>
      </c>
      <c r="X313" s="45">
        <v>0.82</v>
      </c>
      <c r="Y313" s="45">
        <v>9676</v>
      </c>
      <c r="Z313" s="45"/>
      <c r="AA313" s="46">
        <v>9676</v>
      </c>
    </row>
    <row r="314" spans="1:27" ht="15" customHeight="1">
      <c r="A314" s="1">
        <v>64</v>
      </c>
      <c r="B314" s="1" t="s">
        <v>509</v>
      </c>
      <c r="C314" s="1" t="s">
        <v>510</v>
      </c>
      <c r="D314" s="1" t="s">
        <v>511</v>
      </c>
      <c r="E314" s="1" t="s">
        <v>510</v>
      </c>
      <c r="F314" s="1" t="s">
        <v>140</v>
      </c>
      <c r="G314" s="1" t="s">
        <v>141</v>
      </c>
      <c r="H314" s="1">
        <v>1005002279</v>
      </c>
      <c r="I314" s="1" t="s">
        <v>43</v>
      </c>
      <c r="J314" s="1">
        <v>38</v>
      </c>
      <c r="K314" s="1" t="s">
        <v>142</v>
      </c>
      <c r="L314" s="1">
        <v>1001026010</v>
      </c>
      <c r="M314" s="1" t="s">
        <v>513</v>
      </c>
      <c r="N314" s="1" t="s">
        <v>334</v>
      </c>
      <c r="O314" s="1" t="s">
        <v>297</v>
      </c>
      <c r="P314" s="1" t="s">
        <v>146</v>
      </c>
      <c r="Q314" s="1" t="s">
        <v>147</v>
      </c>
      <c r="R314" s="1" t="s">
        <v>148</v>
      </c>
      <c r="S314" s="44">
        <v>28.62</v>
      </c>
      <c r="T314" s="44">
        <v>1.24</v>
      </c>
      <c r="U314" s="44">
        <v>0</v>
      </c>
      <c r="V314" s="44">
        <v>0</v>
      </c>
      <c r="W314" s="44">
        <v>0</v>
      </c>
      <c r="X314" s="45">
        <v>18237.63</v>
      </c>
      <c r="Y314" s="45">
        <v>213380271</v>
      </c>
      <c r="Z314" s="45"/>
      <c r="AA314" s="46">
        <v>213380271</v>
      </c>
    </row>
    <row r="315" spans="1:27" ht="15" customHeight="1">
      <c r="A315" s="1">
        <v>64</v>
      </c>
      <c r="B315" s="1" t="s">
        <v>509</v>
      </c>
      <c r="C315" s="1" t="s">
        <v>510</v>
      </c>
      <c r="D315" s="1" t="s">
        <v>511</v>
      </c>
      <c r="E315" s="1" t="s">
        <v>510</v>
      </c>
      <c r="F315" s="1" t="s">
        <v>140</v>
      </c>
      <c r="G315" s="1" t="s">
        <v>141</v>
      </c>
      <c r="H315" s="1">
        <v>1005002280</v>
      </c>
      <c r="I315" s="1" t="s">
        <v>43</v>
      </c>
      <c r="J315" s="1">
        <v>38</v>
      </c>
      <c r="K315" s="1" t="s">
        <v>142</v>
      </c>
      <c r="L315" s="1">
        <v>1001026010</v>
      </c>
      <c r="M315" s="1" t="s">
        <v>513</v>
      </c>
      <c r="N315" s="1" t="s">
        <v>334</v>
      </c>
      <c r="O315" s="1" t="s">
        <v>297</v>
      </c>
      <c r="P315" s="1" t="s">
        <v>146</v>
      </c>
      <c r="Q315" s="1" t="s">
        <v>147</v>
      </c>
      <c r="R315" s="1" t="s">
        <v>148</v>
      </c>
      <c r="S315" s="44">
        <v>35.58</v>
      </c>
      <c r="T315" s="44">
        <v>2.38</v>
      </c>
      <c r="U315" s="44">
        <v>0</v>
      </c>
      <c r="V315" s="44">
        <v>0</v>
      </c>
      <c r="W315" s="44">
        <v>0</v>
      </c>
      <c r="X315" s="45">
        <v>348.65</v>
      </c>
      <c r="Y315" s="45">
        <v>4079205</v>
      </c>
      <c r="Z315" s="45"/>
      <c r="AA315" s="46">
        <v>4079205</v>
      </c>
    </row>
    <row r="316" spans="1:27" ht="15" customHeight="1">
      <c r="A316" s="1">
        <v>64</v>
      </c>
      <c r="B316" s="1" t="s">
        <v>509</v>
      </c>
      <c r="C316" s="1" t="s">
        <v>510</v>
      </c>
      <c r="D316" s="1" t="s">
        <v>511</v>
      </c>
      <c r="E316" s="1" t="s">
        <v>510</v>
      </c>
      <c r="F316" s="1" t="s">
        <v>140</v>
      </c>
      <c r="G316" s="1" t="s">
        <v>141</v>
      </c>
      <c r="H316" s="1">
        <v>1005002324</v>
      </c>
      <c r="I316" s="1" t="s">
        <v>10</v>
      </c>
      <c r="J316" s="1">
        <v>31</v>
      </c>
      <c r="K316" s="1" t="s">
        <v>142</v>
      </c>
      <c r="L316" s="1">
        <v>1001026976</v>
      </c>
      <c r="M316" s="1" t="s">
        <v>514</v>
      </c>
      <c r="N316" s="1" t="s">
        <v>334</v>
      </c>
      <c r="O316" s="1" t="s">
        <v>297</v>
      </c>
      <c r="P316" s="1" t="s">
        <v>146</v>
      </c>
      <c r="Q316" s="1" t="s">
        <v>147</v>
      </c>
      <c r="R316" s="1" t="s">
        <v>148</v>
      </c>
      <c r="S316" s="44">
        <v>27</v>
      </c>
      <c r="T316" s="44">
        <v>1.86</v>
      </c>
      <c r="U316" s="44">
        <v>0</v>
      </c>
      <c r="V316" s="44">
        <v>0</v>
      </c>
      <c r="W316" s="44">
        <v>0</v>
      </c>
      <c r="X316" s="45">
        <v>91.57</v>
      </c>
      <c r="Y316" s="45">
        <v>1069262</v>
      </c>
      <c r="Z316" s="45"/>
      <c r="AA316" s="46">
        <v>1069262</v>
      </c>
    </row>
    <row r="317" spans="1:27" ht="15" customHeight="1">
      <c r="A317" s="1">
        <v>64</v>
      </c>
      <c r="B317" s="1" t="s">
        <v>509</v>
      </c>
      <c r="C317" s="1" t="s">
        <v>510</v>
      </c>
      <c r="D317" s="1" t="s">
        <v>511</v>
      </c>
      <c r="E317" s="1" t="s">
        <v>510</v>
      </c>
      <c r="F317" s="1" t="s">
        <v>140</v>
      </c>
      <c r="G317" s="1" t="s">
        <v>141</v>
      </c>
      <c r="H317" s="1">
        <v>1005002325</v>
      </c>
      <c r="I317" s="1" t="s">
        <v>10</v>
      </c>
      <c r="J317" s="1">
        <v>31</v>
      </c>
      <c r="K317" s="1" t="s">
        <v>142</v>
      </c>
      <c r="L317" s="1">
        <v>1001026976</v>
      </c>
      <c r="M317" s="1" t="s">
        <v>514</v>
      </c>
      <c r="N317" s="1" t="s">
        <v>334</v>
      </c>
      <c r="O317" s="1" t="s">
        <v>297</v>
      </c>
      <c r="P317" s="1" t="s">
        <v>146</v>
      </c>
      <c r="Q317" s="1" t="s">
        <v>147</v>
      </c>
      <c r="R317" s="1" t="s">
        <v>148</v>
      </c>
      <c r="S317" s="44">
        <v>27.66</v>
      </c>
      <c r="T317" s="44">
        <v>1.25</v>
      </c>
      <c r="U317" s="44">
        <v>0</v>
      </c>
      <c r="V317" s="44">
        <v>0</v>
      </c>
      <c r="W317" s="44">
        <v>0</v>
      </c>
      <c r="X317" s="45">
        <v>7487.28</v>
      </c>
      <c r="Y317" s="45">
        <v>87428970</v>
      </c>
      <c r="Z317" s="45"/>
      <c r="AA317" s="46">
        <v>87428970</v>
      </c>
    </row>
    <row r="318" spans="1:27" ht="15" customHeight="1">
      <c r="A318" s="1">
        <v>64</v>
      </c>
      <c r="B318" s="1" t="s">
        <v>509</v>
      </c>
      <c r="C318" s="1" t="s">
        <v>510</v>
      </c>
      <c r="D318" s="1" t="s">
        <v>511</v>
      </c>
      <c r="E318" s="1" t="s">
        <v>510</v>
      </c>
      <c r="F318" s="1" t="s">
        <v>140</v>
      </c>
      <c r="G318" s="1" t="s">
        <v>141</v>
      </c>
      <c r="H318" s="1">
        <v>1005002472</v>
      </c>
      <c r="I318" s="1" t="s">
        <v>28</v>
      </c>
      <c r="J318" s="1">
        <v>8</v>
      </c>
      <c r="K318" s="1" t="s">
        <v>142</v>
      </c>
      <c r="L318" s="1">
        <v>1001027520</v>
      </c>
      <c r="M318" s="1" t="s">
        <v>515</v>
      </c>
      <c r="N318" s="1" t="s">
        <v>351</v>
      </c>
      <c r="O318" s="1" t="s">
        <v>352</v>
      </c>
      <c r="P318" s="1" t="s">
        <v>146</v>
      </c>
      <c r="Q318" s="1" t="s">
        <v>147</v>
      </c>
      <c r="R318" s="1" t="s">
        <v>148</v>
      </c>
      <c r="S318" s="44">
        <v>6.87</v>
      </c>
      <c r="T318" s="44">
        <v>6.98</v>
      </c>
      <c r="U318" s="44">
        <v>8.76</v>
      </c>
      <c r="V318" s="44">
        <v>0</v>
      </c>
      <c r="W318" s="44">
        <v>0</v>
      </c>
      <c r="X318" s="45">
        <v>909.09</v>
      </c>
      <c r="Y318" s="45">
        <v>10727262</v>
      </c>
      <c r="Z318" s="45"/>
      <c r="AA318" s="46">
        <v>10727262</v>
      </c>
    </row>
    <row r="319" spans="1:27" ht="15" customHeight="1">
      <c r="A319" s="1">
        <v>64</v>
      </c>
      <c r="B319" s="1" t="s">
        <v>509</v>
      </c>
      <c r="C319" s="1" t="s">
        <v>510</v>
      </c>
      <c r="D319" s="1" t="s">
        <v>511</v>
      </c>
      <c r="E319" s="1" t="s">
        <v>510</v>
      </c>
      <c r="F319" s="1" t="s">
        <v>140</v>
      </c>
      <c r="G319" s="1" t="s">
        <v>141</v>
      </c>
      <c r="H319" s="1">
        <v>1005002474</v>
      </c>
      <c r="I319" s="1" t="s">
        <v>28</v>
      </c>
      <c r="J319" s="1">
        <v>8</v>
      </c>
      <c r="K319" s="1" t="s">
        <v>142</v>
      </c>
      <c r="L319" s="1">
        <v>1001027520</v>
      </c>
      <c r="M319" s="1" t="s">
        <v>515</v>
      </c>
      <c r="N319" s="1" t="s">
        <v>351</v>
      </c>
      <c r="O319" s="1" t="s">
        <v>352</v>
      </c>
      <c r="P319" s="1" t="s">
        <v>146</v>
      </c>
      <c r="Q319" s="1" t="s">
        <v>147</v>
      </c>
      <c r="R319" s="1" t="s">
        <v>148</v>
      </c>
      <c r="S319" s="44">
        <v>6.25</v>
      </c>
      <c r="T319" s="44">
        <v>7.39</v>
      </c>
      <c r="U319" s="44">
        <v>8.49</v>
      </c>
      <c r="V319" s="44">
        <v>0</v>
      </c>
      <c r="W319" s="44">
        <v>0</v>
      </c>
      <c r="X319" s="45">
        <v>238.75</v>
      </c>
      <c r="Y319" s="45">
        <v>2817250</v>
      </c>
      <c r="Z319" s="45"/>
      <c r="AA319" s="46">
        <v>2817250</v>
      </c>
    </row>
    <row r="320" spans="1:27" ht="15" customHeight="1">
      <c r="A320" s="56"/>
      <c r="B320" s="56" t="s">
        <v>149</v>
      </c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7"/>
      <c r="T320" s="57"/>
      <c r="U320" s="57"/>
      <c r="V320" s="57"/>
      <c r="W320" s="57"/>
      <c r="X320" s="58">
        <f>SUM(X312:X319)</f>
        <v>28366.98</v>
      </c>
      <c r="Y320" s="58">
        <f t="shared" ref="Y320:AA320" si="62">SUM(Y312:Y319)</f>
        <v>331939538</v>
      </c>
      <c r="Z320" s="58">
        <f t="shared" si="62"/>
        <v>0</v>
      </c>
      <c r="AA320" s="58">
        <f t="shared" si="62"/>
        <v>331939538</v>
      </c>
    </row>
    <row r="321" spans="1:27" ht="15" customHeight="1">
      <c r="A321" s="1">
        <v>65</v>
      </c>
      <c r="B321" s="1" t="s">
        <v>516</v>
      </c>
      <c r="C321" s="1" t="s">
        <v>517</v>
      </c>
      <c r="D321" s="1" t="s">
        <v>252</v>
      </c>
      <c r="E321" s="1" t="s">
        <v>517</v>
      </c>
      <c r="F321" s="1" t="s">
        <v>140</v>
      </c>
      <c r="G321" s="1" t="s">
        <v>141</v>
      </c>
      <c r="H321" s="1">
        <v>1005002228</v>
      </c>
      <c r="I321" s="1" t="s">
        <v>51</v>
      </c>
      <c r="J321" s="1">
        <v>43</v>
      </c>
      <c r="K321" s="1" t="s">
        <v>142</v>
      </c>
      <c r="L321" s="1">
        <v>1001027200</v>
      </c>
      <c r="M321" s="1" t="s">
        <v>518</v>
      </c>
      <c r="N321" s="1" t="s">
        <v>144</v>
      </c>
      <c r="O321" s="1" t="s">
        <v>145</v>
      </c>
      <c r="P321" s="1" t="s">
        <v>146</v>
      </c>
      <c r="Q321" s="1" t="s">
        <v>147</v>
      </c>
      <c r="R321" s="1" t="s">
        <v>148</v>
      </c>
      <c r="S321" s="44">
        <v>5.23</v>
      </c>
      <c r="T321" s="44">
        <v>0.28000000000000003</v>
      </c>
      <c r="U321" s="44">
        <v>0</v>
      </c>
      <c r="V321" s="44">
        <v>0</v>
      </c>
      <c r="W321" s="44">
        <v>0</v>
      </c>
      <c r="X321" s="45">
        <v>30030</v>
      </c>
      <c r="Y321" s="45">
        <v>1245000</v>
      </c>
      <c r="Z321" s="45"/>
      <c r="AA321" s="46">
        <v>1245000</v>
      </c>
    </row>
    <row r="322" spans="1:27" ht="15" customHeight="1">
      <c r="A322" s="1">
        <v>65</v>
      </c>
      <c r="B322" s="1" t="s">
        <v>516</v>
      </c>
      <c r="C322" s="1" t="s">
        <v>517</v>
      </c>
      <c r="D322" s="1" t="s">
        <v>252</v>
      </c>
      <c r="E322" s="1" t="s">
        <v>517</v>
      </c>
      <c r="F322" s="1" t="s">
        <v>140</v>
      </c>
      <c r="G322" s="1" t="s">
        <v>141</v>
      </c>
      <c r="H322" s="1">
        <v>1005002229</v>
      </c>
      <c r="I322" s="1" t="s">
        <v>51</v>
      </c>
      <c r="J322" s="1">
        <v>43</v>
      </c>
      <c r="K322" s="1" t="s">
        <v>142</v>
      </c>
      <c r="L322" s="1">
        <v>1001027173</v>
      </c>
      <c r="M322" s="1" t="s">
        <v>519</v>
      </c>
      <c r="N322" s="1" t="s">
        <v>144</v>
      </c>
      <c r="O322" s="1" t="s">
        <v>145</v>
      </c>
      <c r="P322" s="1" t="s">
        <v>146</v>
      </c>
      <c r="Q322" s="1" t="s">
        <v>147</v>
      </c>
      <c r="R322" s="1" t="s">
        <v>148</v>
      </c>
      <c r="S322" s="44">
        <v>5.21</v>
      </c>
      <c r="T322" s="44">
        <v>0.35</v>
      </c>
      <c r="U322" s="44">
        <v>0</v>
      </c>
      <c r="V322" s="44">
        <v>0</v>
      </c>
      <c r="W322" s="44">
        <v>0</v>
      </c>
      <c r="X322" s="45">
        <v>17970</v>
      </c>
      <c r="Y322" s="45">
        <v>449250</v>
      </c>
      <c r="Z322" s="45"/>
      <c r="AA322" s="46">
        <v>449250</v>
      </c>
    </row>
    <row r="323" spans="1:27" ht="15" customHeight="1">
      <c r="A323" s="1">
        <v>65</v>
      </c>
      <c r="B323" s="1" t="s">
        <v>516</v>
      </c>
      <c r="C323" s="1" t="s">
        <v>517</v>
      </c>
      <c r="D323" s="1" t="s">
        <v>252</v>
      </c>
      <c r="E323" s="1" t="s">
        <v>517</v>
      </c>
      <c r="F323" s="1" t="s">
        <v>140</v>
      </c>
      <c r="G323" s="1" t="s">
        <v>141</v>
      </c>
      <c r="H323" s="1">
        <v>1005002298</v>
      </c>
      <c r="I323" s="1" t="s">
        <v>65</v>
      </c>
      <c r="J323" s="1">
        <v>35</v>
      </c>
      <c r="K323" s="1" t="s">
        <v>142</v>
      </c>
      <c r="L323" s="1">
        <v>1001027405</v>
      </c>
      <c r="M323" s="1" t="s">
        <v>520</v>
      </c>
      <c r="N323" s="1" t="s">
        <v>144</v>
      </c>
      <c r="O323" s="1" t="s">
        <v>145</v>
      </c>
      <c r="P323" s="1" t="s">
        <v>146</v>
      </c>
      <c r="Q323" s="1" t="s">
        <v>147</v>
      </c>
      <c r="R323" s="1" t="s">
        <v>148</v>
      </c>
      <c r="S323" s="44">
        <v>5.17</v>
      </c>
      <c r="T323" s="44">
        <v>0.28000000000000003</v>
      </c>
      <c r="U323" s="44">
        <v>0</v>
      </c>
      <c r="V323" s="44">
        <v>0</v>
      </c>
      <c r="W323" s="44">
        <v>0</v>
      </c>
      <c r="X323" s="45">
        <v>58052</v>
      </c>
      <c r="Y323" s="45">
        <v>1753350</v>
      </c>
      <c r="Z323" s="45"/>
      <c r="AA323" s="46">
        <v>1753350</v>
      </c>
    </row>
    <row r="324" spans="1:27" ht="15" customHeight="1">
      <c r="A324" s="1">
        <v>65</v>
      </c>
      <c r="B324" s="1" t="s">
        <v>516</v>
      </c>
      <c r="C324" s="1" t="s">
        <v>517</v>
      </c>
      <c r="D324" s="1" t="s">
        <v>252</v>
      </c>
      <c r="E324" s="1" t="s">
        <v>517</v>
      </c>
      <c r="F324" s="1" t="s">
        <v>140</v>
      </c>
      <c r="G324" s="1" t="s">
        <v>141</v>
      </c>
      <c r="H324" s="1">
        <v>1005002299</v>
      </c>
      <c r="I324" s="1" t="s">
        <v>65</v>
      </c>
      <c r="J324" s="1">
        <v>35</v>
      </c>
      <c r="K324" s="1" t="s">
        <v>142</v>
      </c>
      <c r="L324" s="1">
        <v>1001027291</v>
      </c>
      <c r="M324" s="1" t="s">
        <v>521</v>
      </c>
      <c r="N324" s="1" t="s">
        <v>144</v>
      </c>
      <c r="O324" s="1" t="s">
        <v>145</v>
      </c>
      <c r="P324" s="1" t="s">
        <v>146</v>
      </c>
      <c r="Q324" s="1" t="s">
        <v>147</v>
      </c>
      <c r="R324" s="1" t="s">
        <v>148</v>
      </c>
      <c r="S324" s="44">
        <v>5.2</v>
      </c>
      <c r="T324" s="44">
        <v>0.27</v>
      </c>
      <c r="U324" s="44">
        <v>0</v>
      </c>
      <c r="V324" s="44">
        <v>0</v>
      </c>
      <c r="W324" s="44">
        <v>0</v>
      </c>
      <c r="X324" s="45">
        <v>502408</v>
      </c>
      <c r="Y324" s="45">
        <v>16772650</v>
      </c>
      <c r="Z324" s="45"/>
      <c r="AA324" s="46">
        <v>16772650</v>
      </c>
    </row>
    <row r="325" spans="1:27" ht="15" customHeight="1">
      <c r="A325" s="1">
        <v>65</v>
      </c>
      <c r="B325" s="1" t="s">
        <v>516</v>
      </c>
      <c r="C325" s="1" t="s">
        <v>517</v>
      </c>
      <c r="D325" s="1" t="s">
        <v>252</v>
      </c>
      <c r="E325" s="1" t="s">
        <v>517</v>
      </c>
      <c r="F325" s="1" t="s">
        <v>153</v>
      </c>
      <c r="G325" s="1" t="s">
        <v>141</v>
      </c>
      <c r="H325" s="1">
        <v>1005002306</v>
      </c>
      <c r="I325" s="1" t="s">
        <v>66</v>
      </c>
      <c r="J325" s="1">
        <v>32</v>
      </c>
      <c r="K325" s="1" t="s">
        <v>142</v>
      </c>
      <c r="L325" s="1">
        <v>1001027252</v>
      </c>
      <c r="M325" s="1" t="s">
        <v>522</v>
      </c>
      <c r="N325" s="1" t="s">
        <v>144</v>
      </c>
      <c r="O325" s="1" t="s">
        <v>145</v>
      </c>
      <c r="P325" s="1" t="s">
        <v>146</v>
      </c>
      <c r="Q325" s="1" t="s">
        <v>147</v>
      </c>
      <c r="R325" s="1" t="s">
        <v>148</v>
      </c>
      <c r="S325" s="44">
        <v>5.33</v>
      </c>
      <c r="T325" s="44">
        <v>0.28000000000000003</v>
      </c>
      <c r="U325" s="44">
        <v>0</v>
      </c>
      <c r="V325" s="44">
        <v>0</v>
      </c>
      <c r="W325" s="44">
        <v>0</v>
      </c>
      <c r="X325" s="45">
        <v>16240</v>
      </c>
      <c r="Y325" s="45">
        <v>812000</v>
      </c>
      <c r="Z325" s="45"/>
      <c r="AA325" s="46">
        <v>812000</v>
      </c>
    </row>
    <row r="326" spans="1:27" ht="15" customHeight="1">
      <c r="A326" s="1">
        <v>65</v>
      </c>
      <c r="B326" s="1" t="s">
        <v>516</v>
      </c>
      <c r="C326" s="1" t="s">
        <v>517</v>
      </c>
      <c r="D326" s="1" t="s">
        <v>252</v>
      </c>
      <c r="E326" s="1" t="s">
        <v>517</v>
      </c>
      <c r="F326" s="1" t="s">
        <v>153</v>
      </c>
      <c r="G326" s="1" t="s">
        <v>141</v>
      </c>
      <c r="H326" s="1">
        <v>1005002307</v>
      </c>
      <c r="I326" s="1" t="s">
        <v>66</v>
      </c>
      <c r="J326" s="1">
        <v>32</v>
      </c>
      <c r="K326" s="1" t="s">
        <v>142</v>
      </c>
      <c r="L326" s="1">
        <v>1001027469</v>
      </c>
      <c r="M326" s="1" t="s">
        <v>523</v>
      </c>
      <c r="N326" s="1" t="s">
        <v>144</v>
      </c>
      <c r="O326" s="1" t="s">
        <v>145</v>
      </c>
      <c r="P326" s="1" t="s">
        <v>146</v>
      </c>
      <c r="Q326" s="1" t="s">
        <v>147</v>
      </c>
      <c r="R326" s="1" t="s">
        <v>148</v>
      </c>
      <c r="S326" s="44">
        <v>5.0599999999999996</v>
      </c>
      <c r="T326" s="44">
        <v>0.27</v>
      </c>
      <c r="U326" s="44">
        <v>0</v>
      </c>
      <c r="V326" s="44">
        <v>0</v>
      </c>
      <c r="W326" s="44">
        <v>0</v>
      </c>
      <c r="X326" s="45">
        <v>36090</v>
      </c>
      <c r="Y326" s="45">
        <v>902250</v>
      </c>
      <c r="Z326" s="45"/>
      <c r="AA326" s="46">
        <v>902250</v>
      </c>
    </row>
    <row r="327" spans="1:27" ht="15" customHeight="1">
      <c r="A327" s="1">
        <v>65</v>
      </c>
      <c r="B327" s="1" t="s">
        <v>516</v>
      </c>
      <c r="C327" s="1" t="s">
        <v>517</v>
      </c>
      <c r="D327" s="1" t="s">
        <v>252</v>
      </c>
      <c r="E327" s="1" t="s">
        <v>517</v>
      </c>
      <c r="F327" s="1" t="s">
        <v>140</v>
      </c>
      <c r="G327" s="1" t="s">
        <v>141</v>
      </c>
      <c r="H327" s="1">
        <v>1005002454</v>
      </c>
      <c r="I327" s="1" t="s">
        <v>9</v>
      </c>
      <c r="J327" s="1">
        <v>9</v>
      </c>
      <c r="K327" s="1" t="s">
        <v>142</v>
      </c>
      <c r="L327" s="1">
        <v>1001027748</v>
      </c>
      <c r="M327" s="1" t="s">
        <v>524</v>
      </c>
      <c r="N327" s="1" t="s">
        <v>144</v>
      </c>
      <c r="O327" s="1" t="s">
        <v>145</v>
      </c>
      <c r="P327" s="1" t="s">
        <v>146</v>
      </c>
      <c r="Q327" s="1" t="s">
        <v>147</v>
      </c>
      <c r="R327" s="1" t="s">
        <v>148</v>
      </c>
      <c r="S327" s="44">
        <v>4.38</v>
      </c>
      <c r="T327" s="44">
        <v>0.86</v>
      </c>
      <c r="U327" s="44">
        <v>0</v>
      </c>
      <c r="V327" s="44">
        <v>0</v>
      </c>
      <c r="W327" s="44">
        <v>0</v>
      </c>
      <c r="X327" s="45">
        <v>27.18</v>
      </c>
      <c r="Y327" s="45">
        <v>401585</v>
      </c>
      <c r="Z327" s="45"/>
      <c r="AA327" s="46">
        <v>401585</v>
      </c>
    </row>
    <row r="328" spans="1:27" ht="15" customHeight="1">
      <c r="A328" s="1">
        <v>65</v>
      </c>
      <c r="B328" s="1" t="s">
        <v>516</v>
      </c>
      <c r="C328" s="1" t="s">
        <v>517</v>
      </c>
      <c r="D328" s="1" t="s">
        <v>252</v>
      </c>
      <c r="E328" s="1" t="s">
        <v>517</v>
      </c>
      <c r="F328" s="1" t="s">
        <v>140</v>
      </c>
      <c r="G328" s="1" t="s">
        <v>141</v>
      </c>
      <c r="H328" s="1">
        <v>1005002455</v>
      </c>
      <c r="I328" s="1" t="s">
        <v>9</v>
      </c>
      <c r="J328" s="1">
        <v>9</v>
      </c>
      <c r="K328" s="1" t="s">
        <v>142</v>
      </c>
      <c r="L328" s="1">
        <v>1001027843</v>
      </c>
      <c r="M328" s="1" t="s">
        <v>525</v>
      </c>
      <c r="N328" s="1" t="s">
        <v>144</v>
      </c>
      <c r="O328" s="1" t="s">
        <v>145</v>
      </c>
      <c r="P328" s="1" t="s">
        <v>146</v>
      </c>
      <c r="Q328" s="1" t="s">
        <v>147</v>
      </c>
      <c r="R328" s="1" t="s">
        <v>148</v>
      </c>
      <c r="S328" s="44">
        <v>4.5999999999999996</v>
      </c>
      <c r="T328" s="44">
        <v>0.61</v>
      </c>
      <c r="U328" s="44">
        <v>0</v>
      </c>
      <c r="V328" s="44">
        <v>0</v>
      </c>
      <c r="W328" s="44">
        <v>0</v>
      </c>
      <c r="X328" s="45">
        <v>11.2</v>
      </c>
      <c r="Y328" s="45">
        <v>163240</v>
      </c>
      <c r="Z328" s="45"/>
      <c r="AA328" s="46">
        <v>163240</v>
      </c>
    </row>
    <row r="329" spans="1:27" ht="15" customHeight="1">
      <c r="A329" s="56"/>
      <c r="B329" s="56" t="s">
        <v>149</v>
      </c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7"/>
      <c r="T329" s="57"/>
      <c r="U329" s="57"/>
      <c r="V329" s="57"/>
      <c r="W329" s="57"/>
      <c r="X329" s="58">
        <f>SUM(X321:X328)</f>
        <v>660828.38</v>
      </c>
      <c r="Y329" s="58">
        <f t="shared" ref="Y329:AA329" si="63">SUM(Y321:Y328)</f>
        <v>22499325</v>
      </c>
      <c r="Z329" s="58">
        <f t="shared" si="63"/>
        <v>0</v>
      </c>
      <c r="AA329" s="58">
        <f t="shared" si="63"/>
        <v>22499325</v>
      </c>
    </row>
    <row r="330" spans="1:27" ht="15" customHeight="1">
      <c r="A330" s="1">
        <v>66</v>
      </c>
      <c r="B330" s="1" t="s">
        <v>526</v>
      </c>
      <c r="C330" s="1" t="s">
        <v>527</v>
      </c>
      <c r="D330" s="1" t="s">
        <v>501</v>
      </c>
      <c r="E330" s="1" t="s">
        <v>527</v>
      </c>
      <c r="F330" s="1" t="s">
        <v>170</v>
      </c>
      <c r="G330" s="1" t="s">
        <v>141</v>
      </c>
      <c r="H330" s="1">
        <v>1005000923</v>
      </c>
      <c r="I330" s="1" t="s">
        <v>94</v>
      </c>
      <c r="J330" s="1">
        <v>254</v>
      </c>
      <c r="K330" s="1" t="s">
        <v>171</v>
      </c>
      <c r="L330" s="1">
        <v>1001022755</v>
      </c>
      <c r="M330" s="1" t="s">
        <v>528</v>
      </c>
      <c r="N330" s="1" t="s">
        <v>178</v>
      </c>
      <c r="O330" s="1" t="s">
        <v>179</v>
      </c>
      <c r="P330" s="1" t="s">
        <v>146</v>
      </c>
      <c r="Q330" s="1" t="s">
        <v>147</v>
      </c>
      <c r="R330" s="1" t="s">
        <v>148</v>
      </c>
      <c r="S330" s="44">
        <v>0</v>
      </c>
      <c r="T330" s="44">
        <v>20.82</v>
      </c>
      <c r="U330" s="44">
        <v>0.89</v>
      </c>
      <c r="V330" s="44">
        <v>0</v>
      </c>
      <c r="W330" s="44">
        <v>0</v>
      </c>
      <c r="X330" s="45">
        <v>2885.6</v>
      </c>
      <c r="Y330" s="45">
        <v>2885600</v>
      </c>
      <c r="Z330" s="45"/>
      <c r="AA330" s="46">
        <v>2885600</v>
      </c>
    </row>
    <row r="331" spans="1:27" ht="15" customHeight="1">
      <c r="A331" s="1">
        <v>66</v>
      </c>
      <c r="B331" s="1" t="s">
        <v>526</v>
      </c>
      <c r="C331" s="1" t="s">
        <v>527</v>
      </c>
      <c r="D331" s="1" t="s">
        <v>501</v>
      </c>
      <c r="E331" s="1" t="s">
        <v>527</v>
      </c>
      <c r="F331" s="1" t="s">
        <v>170</v>
      </c>
      <c r="G331" s="1" t="s">
        <v>141</v>
      </c>
      <c r="H331" s="1">
        <v>1005001373</v>
      </c>
      <c r="I331" s="1" t="s">
        <v>95</v>
      </c>
      <c r="J331" s="1">
        <v>175</v>
      </c>
      <c r="K331" s="1" t="s">
        <v>171</v>
      </c>
      <c r="L331" s="1">
        <v>1001024214</v>
      </c>
      <c r="M331" s="1" t="s">
        <v>529</v>
      </c>
      <c r="N331" s="1" t="s">
        <v>178</v>
      </c>
      <c r="O331" s="1" t="s">
        <v>179</v>
      </c>
      <c r="P331" s="1" t="s">
        <v>146</v>
      </c>
      <c r="Q331" s="1" t="s">
        <v>147</v>
      </c>
      <c r="R331" s="1" t="s">
        <v>148</v>
      </c>
      <c r="S331" s="44">
        <v>0</v>
      </c>
      <c r="T331" s="44">
        <v>20.8</v>
      </c>
      <c r="U331" s="44">
        <v>0.83</v>
      </c>
      <c r="V331" s="44">
        <v>0</v>
      </c>
      <c r="W331" s="44">
        <v>0</v>
      </c>
      <c r="X331" s="45">
        <v>3236.65</v>
      </c>
      <c r="Y331" s="45">
        <v>3527949</v>
      </c>
      <c r="Z331" s="45"/>
      <c r="AA331" s="46">
        <v>3527949</v>
      </c>
    </row>
    <row r="332" spans="1:27" ht="15" customHeight="1">
      <c r="A332" s="1">
        <v>66</v>
      </c>
      <c r="B332" s="1" t="s">
        <v>526</v>
      </c>
      <c r="C332" s="1" t="s">
        <v>527</v>
      </c>
      <c r="D332" s="1" t="s">
        <v>501</v>
      </c>
      <c r="E332" s="1" t="s">
        <v>527</v>
      </c>
      <c r="F332" s="1" t="s">
        <v>170</v>
      </c>
      <c r="G332" s="1" t="s">
        <v>141</v>
      </c>
      <c r="H332" s="1">
        <v>1005002284</v>
      </c>
      <c r="I332" s="1" t="s">
        <v>40</v>
      </c>
      <c r="J332" s="1">
        <v>37</v>
      </c>
      <c r="K332" s="1" t="s">
        <v>171</v>
      </c>
      <c r="L332" s="1">
        <v>1001027243</v>
      </c>
      <c r="M332" s="1" t="s">
        <v>530</v>
      </c>
      <c r="N332" s="1" t="s">
        <v>178</v>
      </c>
      <c r="O332" s="1" t="s">
        <v>179</v>
      </c>
      <c r="P332" s="1" t="s">
        <v>146</v>
      </c>
      <c r="Q332" s="1" t="s">
        <v>147</v>
      </c>
      <c r="R332" s="1" t="s">
        <v>148</v>
      </c>
      <c r="S332" s="44">
        <v>0</v>
      </c>
      <c r="T332" s="44">
        <v>20.55</v>
      </c>
      <c r="U332" s="44">
        <v>0.81</v>
      </c>
      <c r="V332" s="44">
        <v>0</v>
      </c>
      <c r="W332" s="44">
        <v>0</v>
      </c>
      <c r="X332" s="45">
        <v>1453.66</v>
      </c>
      <c r="Y332" s="45">
        <v>1417320</v>
      </c>
      <c r="Z332" s="45"/>
      <c r="AA332" s="46">
        <v>1417320</v>
      </c>
    </row>
    <row r="333" spans="1:27" ht="15" customHeight="1">
      <c r="A333" s="56"/>
      <c r="B333" s="56" t="s">
        <v>149</v>
      </c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7"/>
      <c r="T333" s="57"/>
      <c r="U333" s="57"/>
      <c r="V333" s="57"/>
      <c r="W333" s="57"/>
      <c r="X333" s="58">
        <f>SUM(X330:X332)</f>
        <v>7575.91</v>
      </c>
      <c r="Y333" s="58">
        <f t="shared" ref="Y333:AA333" si="64">SUM(Y330:Y332)</f>
        <v>7830869</v>
      </c>
      <c r="Z333" s="58">
        <f t="shared" si="64"/>
        <v>0</v>
      </c>
      <c r="AA333" s="58">
        <f t="shared" si="64"/>
        <v>7830869</v>
      </c>
    </row>
    <row r="334" spans="1:27" ht="15" customHeight="1">
      <c r="A334" s="1">
        <v>67</v>
      </c>
      <c r="B334" s="1" t="s">
        <v>531</v>
      </c>
      <c r="C334" s="1" t="s">
        <v>532</v>
      </c>
      <c r="D334" s="49" t="s">
        <v>535</v>
      </c>
      <c r="E334" s="1" t="s">
        <v>436</v>
      </c>
      <c r="F334" s="1" t="s">
        <v>183</v>
      </c>
      <c r="G334" s="1" t="s">
        <v>141</v>
      </c>
      <c r="H334" s="1">
        <v>1688</v>
      </c>
      <c r="I334" s="1" t="s">
        <v>86</v>
      </c>
      <c r="J334" s="1">
        <v>491</v>
      </c>
      <c r="K334" s="1" t="s">
        <v>171</v>
      </c>
      <c r="L334" s="1">
        <v>1001018636</v>
      </c>
      <c r="M334" s="1">
        <v>1352000000331</v>
      </c>
      <c r="N334" s="1" t="s">
        <v>296</v>
      </c>
      <c r="O334" s="1" t="s">
        <v>297</v>
      </c>
      <c r="P334" s="1" t="s">
        <v>146</v>
      </c>
      <c r="Q334" s="1" t="s">
        <v>147</v>
      </c>
      <c r="R334" s="1" t="s">
        <v>148</v>
      </c>
      <c r="S334" s="44">
        <v>0</v>
      </c>
      <c r="T334" s="44">
        <v>0</v>
      </c>
      <c r="U334" s="44">
        <v>0</v>
      </c>
      <c r="V334" s="44">
        <v>0</v>
      </c>
      <c r="W334" s="44">
        <v>0</v>
      </c>
      <c r="X334" s="45">
        <v>1170.78</v>
      </c>
      <c r="Y334" s="45">
        <v>11824979</v>
      </c>
      <c r="Z334" s="45"/>
      <c r="AA334" s="46">
        <v>11824979</v>
      </c>
    </row>
    <row r="335" spans="1:27" ht="15" customHeight="1">
      <c r="A335" s="56"/>
      <c r="B335" s="56" t="s">
        <v>149</v>
      </c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7"/>
      <c r="T335" s="57"/>
      <c r="U335" s="57"/>
      <c r="V335" s="57"/>
      <c r="W335" s="57"/>
      <c r="X335" s="58">
        <f>SUM(X334)</f>
        <v>1170.78</v>
      </c>
      <c r="Y335" s="58">
        <f t="shared" ref="Y335:AA335" si="65">SUM(Y334)</f>
        <v>11824979</v>
      </c>
      <c r="Z335" s="58">
        <f t="shared" si="65"/>
        <v>0</v>
      </c>
      <c r="AA335" s="58">
        <f t="shared" si="65"/>
        <v>11824979</v>
      </c>
    </row>
    <row r="336" spans="1:27" ht="15" customHeight="1">
      <c r="A336" s="1">
        <v>68</v>
      </c>
      <c r="B336" s="1" t="s">
        <v>533</v>
      </c>
      <c r="C336" s="1" t="s">
        <v>534</v>
      </c>
      <c r="D336" s="1" t="s">
        <v>535</v>
      </c>
      <c r="E336" s="1" t="s">
        <v>534</v>
      </c>
      <c r="F336" s="1" t="s">
        <v>140</v>
      </c>
      <c r="G336" s="1" t="s">
        <v>141</v>
      </c>
      <c r="H336" s="1">
        <v>1005001937</v>
      </c>
      <c r="I336" s="1" t="s">
        <v>96</v>
      </c>
      <c r="J336" s="1">
        <v>87</v>
      </c>
      <c r="K336" s="1" t="s">
        <v>142</v>
      </c>
      <c r="L336" s="1">
        <v>1001022187</v>
      </c>
      <c r="M336" s="1">
        <v>1242000000618</v>
      </c>
      <c r="N336" s="1" t="s">
        <v>334</v>
      </c>
      <c r="O336" s="1" t="s">
        <v>297</v>
      </c>
      <c r="P336" s="1" t="s">
        <v>146</v>
      </c>
      <c r="Q336" s="1" t="s">
        <v>147</v>
      </c>
      <c r="R336" s="1" t="s">
        <v>148</v>
      </c>
      <c r="S336" s="44">
        <v>12.68</v>
      </c>
      <c r="T336" s="44">
        <v>1.38</v>
      </c>
      <c r="U336" s="44">
        <v>0</v>
      </c>
      <c r="V336" s="44">
        <v>0</v>
      </c>
      <c r="W336" s="44">
        <v>0</v>
      </c>
      <c r="X336" s="45">
        <v>17758</v>
      </c>
      <c r="Y336" s="45">
        <v>913300</v>
      </c>
      <c r="Z336" s="45"/>
      <c r="AA336" s="46">
        <v>913300</v>
      </c>
    </row>
    <row r="337" spans="1:27" ht="15" customHeight="1">
      <c r="A337" s="1">
        <v>68</v>
      </c>
      <c r="B337" s="1" t="s">
        <v>533</v>
      </c>
      <c r="C337" s="1" t="s">
        <v>534</v>
      </c>
      <c r="D337" s="1" t="s">
        <v>535</v>
      </c>
      <c r="E337" s="1" t="s">
        <v>534</v>
      </c>
      <c r="F337" s="1" t="s">
        <v>140</v>
      </c>
      <c r="G337" s="1" t="s">
        <v>141</v>
      </c>
      <c r="H337" s="1">
        <v>1005001938</v>
      </c>
      <c r="I337" s="1" t="s">
        <v>96</v>
      </c>
      <c r="J337" s="1">
        <v>87</v>
      </c>
      <c r="K337" s="1" t="s">
        <v>142</v>
      </c>
      <c r="L337" s="1">
        <v>1001022187</v>
      </c>
      <c r="M337" s="1">
        <v>1242000000618</v>
      </c>
      <c r="N337" s="1" t="s">
        <v>334</v>
      </c>
      <c r="O337" s="1" t="s">
        <v>297</v>
      </c>
      <c r="P337" s="1" t="s">
        <v>146</v>
      </c>
      <c r="Q337" s="1" t="s">
        <v>147</v>
      </c>
      <c r="R337" s="1" t="s">
        <v>148</v>
      </c>
      <c r="S337" s="44">
        <v>12.8</v>
      </c>
      <c r="T337" s="44">
        <v>1.92</v>
      </c>
      <c r="U337" s="44">
        <v>0</v>
      </c>
      <c r="V337" s="44">
        <v>0</v>
      </c>
      <c r="W337" s="44">
        <v>0</v>
      </c>
      <c r="X337" s="45">
        <v>79.209999999999994</v>
      </c>
      <c r="Y337" s="45">
        <v>1073296</v>
      </c>
      <c r="Z337" s="45"/>
      <c r="AA337" s="46">
        <v>1073296</v>
      </c>
    </row>
    <row r="338" spans="1:27" ht="15" customHeight="1">
      <c r="A338" s="1">
        <v>68</v>
      </c>
      <c r="B338" s="1" t="s">
        <v>533</v>
      </c>
      <c r="C338" s="1" t="s">
        <v>534</v>
      </c>
      <c r="D338" s="1" t="s">
        <v>535</v>
      </c>
      <c r="E338" s="1" t="s">
        <v>534</v>
      </c>
      <c r="F338" s="1" t="s">
        <v>153</v>
      </c>
      <c r="G338" s="1" t="s">
        <v>141</v>
      </c>
      <c r="H338" s="1">
        <v>9145000186</v>
      </c>
      <c r="I338" s="1" t="s">
        <v>80</v>
      </c>
      <c r="J338" s="1">
        <v>30</v>
      </c>
      <c r="K338" s="1" t="s">
        <v>142</v>
      </c>
      <c r="L338" s="1">
        <v>9141001758</v>
      </c>
      <c r="M338" s="1">
        <v>1242000000705</v>
      </c>
      <c r="N338" s="1" t="s">
        <v>144</v>
      </c>
      <c r="O338" s="1" t="s">
        <v>145</v>
      </c>
      <c r="P338" s="1" t="s">
        <v>146</v>
      </c>
      <c r="Q338" s="1" t="s">
        <v>147</v>
      </c>
      <c r="R338" s="1" t="s">
        <v>162</v>
      </c>
      <c r="S338" s="44">
        <v>5.81</v>
      </c>
      <c r="T338" s="44">
        <v>0.33</v>
      </c>
      <c r="U338" s="44">
        <v>0</v>
      </c>
      <c r="V338" s="44">
        <v>0</v>
      </c>
      <c r="W338" s="44">
        <v>0</v>
      </c>
      <c r="X338" s="45">
        <v>500000</v>
      </c>
      <c r="Y338" s="45">
        <v>99126000</v>
      </c>
      <c r="Z338" s="45"/>
      <c r="AA338" s="46">
        <v>99126000</v>
      </c>
    </row>
    <row r="339" spans="1:27" ht="15" customHeight="1">
      <c r="A339" s="1">
        <v>68</v>
      </c>
      <c r="B339" s="1" t="s">
        <v>533</v>
      </c>
      <c r="C339" s="1" t="s">
        <v>534</v>
      </c>
      <c r="D339" s="1" t="s">
        <v>535</v>
      </c>
      <c r="E339" s="1" t="s">
        <v>534</v>
      </c>
      <c r="F339" s="1" t="s">
        <v>153</v>
      </c>
      <c r="G339" s="1" t="s">
        <v>141</v>
      </c>
      <c r="H339" s="1">
        <v>9145000188</v>
      </c>
      <c r="I339" s="1" t="s">
        <v>42</v>
      </c>
      <c r="J339" s="1">
        <v>29</v>
      </c>
      <c r="K339" s="1" t="s">
        <v>142</v>
      </c>
      <c r="L339" s="1">
        <v>9141001763</v>
      </c>
      <c r="M339" s="1">
        <v>1242000000706</v>
      </c>
      <c r="N339" s="1" t="s">
        <v>144</v>
      </c>
      <c r="O339" s="1" t="s">
        <v>145</v>
      </c>
      <c r="P339" s="1" t="s">
        <v>146</v>
      </c>
      <c r="Q339" s="1" t="s">
        <v>147</v>
      </c>
      <c r="R339" s="1" t="s">
        <v>162</v>
      </c>
      <c r="S339" s="44">
        <v>5.95</v>
      </c>
      <c r="T339" s="44">
        <v>0.32</v>
      </c>
      <c r="U339" s="44">
        <v>0</v>
      </c>
      <c r="V339" s="44">
        <v>0</v>
      </c>
      <c r="W339" s="44">
        <v>0</v>
      </c>
      <c r="X339" s="45">
        <v>600000</v>
      </c>
      <c r="Y339" s="45">
        <v>138880000</v>
      </c>
      <c r="Z339" s="45"/>
      <c r="AA339" s="46">
        <v>138880000</v>
      </c>
    </row>
    <row r="340" spans="1:27" ht="15" customHeight="1">
      <c r="A340" s="1">
        <v>68</v>
      </c>
      <c r="B340" s="1" t="s">
        <v>533</v>
      </c>
      <c r="C340" s="1" t="s">
        <v>534</v>
      </c>
      <c r="D340" s="1" t="s">
        <v>535</v>
      </c>
      <c r="E340" s="1" t="s">
        <v>534</v>
      </c>
      <c r="F340" s="1" t="s">
        <v>140</v>
      </c>
      <c r="G340" s="1" t="s">
        <v>141</v>
      </c>
      <c r="H340" s="1">
        <v>9145000200</v>
      </c>
      <c r="I340" s="1" t="s">
        <v>90</v>
      </c>
      <c r="J340" s="1">
        <v>15</v>
      </c>
      <c r="K340" s="1" t="s">
        <v>142</v>
      </c>
      <c r="L340" s="1">
        <v>9141001752</v>
      </c>
      <c r="M340" s="1">
        <v>1242000000703</v>
      </c>
      <c r="N340" s="1" t="s">
        <v>144</v>
      </c>
      <c r="O340" s="1" t="s">
        <v>145</v>
      </c>
      <c r="P340" s="1" t="s">
        <v>146</v>
      </c>
      <c r="Q340" s="1" t="s">
        <v>147</v>
      </c>
      <c r="R340" s="1" t="s">
        <v>162</v>
      </c>
      <c r="S340" s="44">
        <v>5.82</v>
      </c>
      <c r="T340" s="44">
        <v>0.32</v>
      </c>
      <c r="U340" s="44">
        <v>0</v>
      </c>
      <c r="V340" s="44">
        <v>0</v>
      </c>
      <c r="W340" s="44">
        <v>0</v>
      </c>
      <c r="X340" s="45">
        <v>400000</v>
      </c>
      <c r="Y340" s="45">
        <v>84781000</v>
      </c>
      <c r="Z340" s="45"/>
      <c r="AA340" s="46">
        <v>84781000</v>
      </c>
    </row>
    <row r="341" spans="1:27" ht="15" customHeight="1">
      <c r="A341" s="1">
        <v>68</v>
      </c>
      <c r="B341" s="1" t="s">
        <v>533</v>
      </c>
      <c r="C341" s="1" t="s">
        <v>534</v>
      </c>
      <c r="D341" s="1" t="s">
        <v>535</v>
      </c>
      <c r="E341" s="1" t="s">
        <v>534</v>
      </c>
      <c r="F341" s="1" t="s">
        <v>140</v>
      </c>
      <c r="G341" s="1" t="s">
        <v>141</v>
      </c>
      <c r="H341" s="1">
        <v>9145000201</v>
      </c>
      <c r="I341" s="1" t="s">
        <v>11</v>
      </c>
      <c r="J341" s="1">
        <v>14</v>
      </c>
      <c r="K341" s="1" t="s">
        <v>142</v>
      </c>
      <c r="L341" s="1">
        <v>9141001776</v>
      </c>
      <c r="M341" s="1">
        <v>1242000000709</v>
      </c>
      <c r="N341" s="1" t="s">
        <v>144</v>
      </c>
      <c r="O341" s="1" t="s">
        <v>145</v>
      </c>
      <c r="P341" s="1" t="s">
        <v>146</v>
      </c>
      <c r="Q341" s="1" t="s">
        <v>147</v>
      </c>
      <c r="R341" s="1" t="s">
        <v>162</v>
      </c>
      <c r="S341" s="44">
        <v>5.99</v>
      </c>
      <c r="T341" s="44">
        <v>0.3</v>
      </c>
      <c r="U341" s="44">
        <v>0</v>
      </c>
      <c r="V341" s="44">
        <v>0</v>
      </c>
      <c r="W341" s="44">
        <v>0</v>
      </c>
      <c r="X341" s="45">
        <v>500000</v>
      </c>
      <c r="Y341" s="45">
        <v>133814000</v>
      </c>
      <c r="Z341" s="45"/>
      <c r="AA341" s="46">
        <v>133814000</v>
      </c>
    </row>
    <row r="342" spans="1:27" ht="15" customHeight="1">
      <c r="A342" s="1">
        <v>68</v>
      </c>
      <c r="B342" s="1" t="s">
        <v>533</v>
      </c>
      <c r="C342" s="1" t="s">
        <v>534</v>
      </c>
      <c r="D342" s="1" t="s">
        <v>535</v>
      </c>
      <c r="E342" s="1" t="s">
        <v>534</v>
      </c>
      <c r="F342" s="1" t="s">
        <v>140</v>
      </c>
      <c r="G342" s="1" t="s">
        <v>141</v>
      </c>
      <c r="H342" s="1">
        <v>1005002376</v>
      </c>
      <c r="I342" s="1" t="s">
        <v>31</v>
      </c>
      <c r="J342" s="1">
        <v>18</v>
      </c>
      <c r="K342" s="1" t="s">
        <v>142</v>
      </c>
      <c r="L342" s="1">
        <v>1001023659</v>
      </c>
      <c r="M342" s="1">
        <v>1242000000642</v>
      </c>
      <c r="N342" s="1" t="s">
        <v>144</v>
      </c>
      <c r="O342" s="1" t="s">
        <v>145</v>
      </c>
      <c r="P342" s="1" t="s">
        <v>146</v>
      </c>
      <c r="Q342" s="1" t="s">
        <v>147</v>
      </c>
      <c r="R342" s="1" t="s">
        <v>148</v>
      </c>
      <c r="S342" s="44">
        <v>5.56</v>
      </c>
      <c r="T342" s="44">
        <v>0.32</v>
      </c>
      <c r="U342" s="44">
        <v>0</v>
      </c>
      <c r="V342" s="44">
        <v>0</v>
      </c>
      <c r="W342" s="44">
        <v>0</v>
      </c>
      <c r="X342" s="45">
        <v>376590</v>
      </c>
      <c r="Y342" s="45">
        <v>64851000</v>
      </c>
      <c r="Z342" s="45"/>
      <c r="AA342" s="46">
        <v>64851000</v>
      </c>
    </row>
    <row r="343" spans="1:27" ht="15" customHeight="1">
      <c r="A343" s="1">
        <v>68</v>
      </c>
      <c r="B343" s="1" t="s">
        <v>533</v>
      </c>
      <c r="C343" s="1" t="s">
        <v>534</v>
      </c>
      <c r="D343" s="1" t="s">
        <v>535</v>
      </c>
      <c r="E343" s="1" t="s">
        <v>534</v>
      </c>
      <c r="F343" s="1" t="s">
        <v>140</v>
      </c>
      <c r="G343" s="1" t="s">
        <v>141</v>
      </c>
      <c r="H343" s="1">
        <v>1005002377</v>
      </c>
      <c r="I343" s="1" t="s">
        <v>31</v>
      </c>
      <c r="J343" s="1">
        <v>18</v>
      </c>
      <c r="K343" s="1" t="s">
        <v>142</v>
      </c>
      <c r="L343" s="1">
        <v>1001026498</v>
      </c>
      <c r="M343" s="1">
        <v>1242000000699</v>
      </c>
      <c r="N343" s="1" t="s">
        <v>144</v>
      </c>
      <c r="O343" s="1" t="s">
        <v>145</v>
      </c>
      <c r="P343" s="1" t="s">
        <v>146</v>
      </c>
      <c r="Q343" s="1" t="s">
        <v>147</v>
      </c>
      <c r="R343" s="1" t="s">
        <v>148</v>
      </c>
      <c r="S343" s="44">
        <v>5.63</v>
      </c>
      <c r="T343" s="44">
        <v>0.33</v>
      </c>
      <c r="U343" s="44">
        <v>0</v>
      </c>
      <c r="V343" s="44">
        <v>0</v>
      </c>
      <c r="W343" s="44">
        <v>0</v>
      </c>
      <c r="X343" s="45">
        <v>500000</v>
      </c>
      <c r="Y343" s="45">
        <v>86626000</v>
      </c>
      <c r="Z343" s="45"/>
      <c r="AA343" s="46">
        <v>86626000</v>
      </c>
    </row>
    <row r="344" spans="1:27" ht="15" customHeight="1">
      <c r="A344" s="1">
        <v>68</v>
      </c>
      <c r="B344" s="1" t="s">
        <v>533</v>
      </c>
      <c r="C344" s="1" t="s">
        <v>534</v>
      </c>
      <c r="D344" s="1" t="s">
        <v>535</v>
      </c>
      <c r="E344" s="1" t="s">
        <v>534</v>
      </c>
      <c r="F344" s="1" t="s">
        <v>153</v>
      </c>
      <c r="G344" s="1" t="s">
        <v>141</v>
      </c>
      <c r="H344" s="1">
        <v>1005002364</v>
      </c>
      <c r="I344" s="1" t="s">
        <v>97</v>
      </c>
      <c r="J344" s="1">
        <v>24</v>
      </c>
      <c r="K344" s="1" t="s">
        <v>142</v>
      </c>
      <c r="L344" s="1">
        <v>1001026592</v>
      </c>
      <c r="M344" s="1">
        <v>1242000000701</v>
      </c>
      <c r="N344" s="1" t="s">
        <v>351</v>
      </c>
      <c r="O344" s="1" t="s">
        <v>352</v>
      </c>
      <c r="P344" s="1" t="s">
        <v>146</v>
      </c>
      <c r="Q344" s="1" t="s">
        <v>147</v>
      </c>
      <c r="R344" s="1" t="s">
        <v>148</v>
      </c>
      <c r="S344" s="44">
        <v>3.48</v>
      </c>
      <c r="T344" s="44">
        <v>7.55</v>
      </c>
      <c r="U344" s="44">
        <v>9.18</v>
      </c>
      <c r="V344" s="44">
        <v>0</v>
      </c>
      <c r="W344" s="44">
        <v>0</v>
      </c>
      <c r="X344" s="45">
        <v>679.07</v>
      </c>
      <c r="Y344" s="45">
        <v>7289819</v>
      </c>
      <c r="Z344" s="45"/>
      <c r="AA344" s="46">
        <v>7289819</v>
      </c>
    </row>
    <row r="345" spans="1:27" ht="15" customHeight="1">
      <c r="A345" s="1">
        <v>68</v>
      </c>
      <c r="B345" s="1" t="s">
        <v>533</v>
      </c>
      <c r="C345" s="1" t="s">
        <v>534</v>
      </c>
      <c r="D345" s="1" t="s">
        <v>535</v>
      </c>
      <c r="E345" s="1" t="s">
        <v>534</v>
      </c>
      <c r="F345" s="1" t="s">
        <v>153</v>
      </c>
      <c r="G345" s="1" t="s">
        <v>141</v>
      </c>
      <c r="H345" s="1">
        <v>1005002365</v>
      </c>
      <c r="I345" s="1" t="s">
        <v>97</v>
      </c>
      <c r="J345" s="1">
        <v>24</v>
      </c>
      <c r="K345" s="1" t="s">
        <v>142</v>
      </c>
      <c r="L345" s="1">
        <v>1001026787</v>
      </c>
      <c r="M345" s="1">
        <v>1242000000704</v>
      </c>
      <c r="N345" s="1" t="s">
        <v>351</v>
      </c>
      <c r="O345" s="1" t="s">
        <v>352</v>
      </c>
      <c r="P345" s="1" t="s">
        <v>146</v>
      </c>
      <c r="Q345" s="1" t="s">
        <v>147</v>
      </c>
      <c r="R345" s="1" t="s">
        <v>148</v>
      </c>
      <c r="S345" s="44">
        <v>3.12</v>
      </c>
      <c r="T345" s="44">
        <v>7.69</v>
      </c>
      <c r="U345" s="44">
        <v>8.74</v>
      </c>
      <c r="V345" s="44">
        <v>0</v>
      </c>
      <c r="W345" s="44">
        <v>0</v>
      </c>
      <c r="X345" s="45">
        <v>241.75</v>
      </c>
      <c r="Y345" s="45">
        <v>2630240</v>
      </c>
      <c r="Z345" s="45"/>
      <c r="AA345" s="46">
        <v>2630240</v>
      </c>
    </row>
    <row r="346" spans="1:27" ht="15" customHeight="1">
      <c r="A346" s="56"/>
      <c r="B346" s="56" t="s">
        <v>149</v>
      </c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7"/>
      <c r="T346" s="57"/>
      <c r="U346" s="57"/>
      <c r="V346" s="57"/>
      <c r="W346" s="57"/>
      <c r="X346" s="58">
        <f>SUM(X336:X345)</f>
        <v>2895348.03</v>
      </c>
      <c r="Y346" s="58">
        <f t="shared" ref="Y346:AA346" si="66">SUM(Y336:Y345)</f>
        <v>619984655</v>
      </c>
      <c r="Z346" s="58">
        <f t="shared" si="66"/>
        <v>0</v>
      </c>
      <c r="AA346" s="58">
        <f t="shared" si="66"/>
        <v>619984655</v>
      </c>
    </row>
    <row r="347" spans="1:27" ht="15" customHeight="1">
      <c r="A347" s="1">
        <v>69</v>
      </c>
      <c r="B347" s="1" t="s">
        <v>536</v>
      </c>
      <c r="C347" s="1" t="s">
        <v>537</v>
      </c>
      <c r="D347" s="1" t="s">
        <v>535</v>
      </c>
      <c r="E347" s="1" t="s">
        <v>538</v>
      </c>
      <c r="F347" s="1" t="s">
        <v>140</v>
      </c>
      <c r="G347" s="1" t="s">
        <v>141</v>
      </c>
      <c r="H347" s="1">
        <v>1005000008</v>
      </c>
      <c r="I347" s="1" t="s">
        <v>98</v>
      </c>
      <c r="J347" s="1">
        <v>396</v>
      </c>
      <c r="K347" s="1" t="s">
        <v>142</v>
      </c>
      <c r="L347" s="1">
        <v>1001020342</v>
      </c>
      <c r="M347" s="1">
        <v>1232000000571</v>
      </c>
      <c r="N347" s="1" t="s">
        <v>144</v>
      </c>
      <c r="O347" s="1" t="s">
        <v>145</v>
      </c>
      <c r="P347" s="1" t="s">
        <v>146</v>
      </c>
      <c r="Q347" s="1" t="s">
        <v>147</v>
      </c>
      <c r="R347" s="1" t="s">
        <v>148</v>
      </c>
      <c r="S347" s="44">
        <v>0</v>
      </c>
      <c r="T347" s="44">
        <v>0</v>
      </c>
      <c r="U347" s="44">
        <v>0</v>
      </c>
      <c r="V347" s="44">
        <v>0</v>
      </c>
      <c r="W347" s="44">
        <v>0</v>
      </c>
      <c r="X347" s="45">
        <v>14.92</v>
      </c>
      <c r="Y347" s="45">
        <v>211222</v>
      </c>
      <c r="Z347" s="45"/>
      <c r="AA347" s="46">
        <v>211222</v>
      </c>
    </row>
    <row r="348" spans="1:27" ht="15" customHeight="1">
      <c r="A348" s="1">
        <v>69</v>
      </c>
      <c r="B348" s="1" t="s">
        <v>536</v>
      </c>
      <c r="C348" s="1" t="s">
        <v>537</v>
      </c>
      <c r="D348" s="1" t="s">
        <v>535</v>
      </c>
      <c r="E348" s="1" t="s">
        <v>538</v>
      </c>
      <c r="F348" s="1" t="s">
        <v>153</v>
      </c>
      <c r="G348" s="1" t="s">
        <v>141</v>
      </c>
      <c r="H348" s="1">
        <v>1005001085</v>
      </c>
      <c r="I348" s="1" t="s">
        <v>99</v>
      </c>
      <c r="J348" s="1">
        <v>226</v>
      </c>
      <c r="K348" s="1" t="s">
        <v>142</v>
      </c>
      <c r="L348" s="1">
        <v>1001023133</v>
      </c>
      <c r="M348" s="1">
        <v>1232000000621</v>
      </c>
      <c r="N348" s="1" t="s">
        <v>351</v>
      </c>
      <c r="O348" s="1" t="s">
        <v>352</v>
      </c>
      <c r="P348" s="1" t="s">
        <v>146</v>
      </c>
      <c r="Q348" s="1" t="s">
        <v>147</v>
      </c>
      <c r="R348" s="1" t="s">
        <v>148</v>
      </c>
      <c r="S348" s="44">
        <v>0</v>
      </c>
      <c r="T348" s="44">
        <v>13.36</v>
      </c>
      <c r="U348" s="44">
        <v>7.82</v>
      </c>
      <c r="V348" s="44">
        <v>0</v>
      </c>
      <c r="W348" s="44">
        <v>0</v>
      </c>
      <c r="X348" s="45">
        <v>718.24</v>
      </c>
      <c r="Y348" s="45">
        <v>7099802</v>
      </c>
      <c r="Z348" s="45"/>
      <c r="AA348" s="46">
        <v>7099802</v>
      </c>
    </row>
    <row r="349" spans="1:27" ht="15" customHeight="1">
      <c r="A349" s="1">
        <v>69</v>
      </c>
      <c r="B349" s="1" t="s">
        <v>536</v>
      </c>
      <c r="C349" s="1" t="s">
        <v>537</v>
      </c>
      <c r="D349" s="1" t="s">
        <v>535</v>
      </c>
      <c r="E349" s="1" t="s">
        <v>539</v>
      </c>
      <c r="F349" s="1" t="s">
        <v>140</v>
      </c>
      <c r="G349" s="1" t="s">
        <v>141</v>
      </c>
      <c r="H349" s="1">
        <v>1005001939</v>
      </c>
      <c r="I349" s="1" t="s">
        <v>96</v>
      </c>
      <c r="J349" s="1">
        <v>87</v>
      </c>
      <c r="K349" s="1" t="s">
        <v>142</v>
      </c>
      <c r="L349" s="1">
        <v>1001025419</v>
      </c>
      <c r="M349" s="1">
        <v>1232000000689</v>
      </c>
      <c r="N349" s="1" t="s">
        <v>334</v>
      </c>
      <c r="O349" s="1" t="s">
        <v>297</v>
      </c>
      <c r="P349" s="1" t="s">
        <v>146</v>
      </c>
      <c r="Q349" s="1" t="s">
        <v>147</v>
      </c>
      <c r="R349" s="1" t="s">
        <v>148</v>
      </c>
      <c r="S349" s="44">
        <v>12.45</v>
      </c>
      <c r="T349" s="44">
        <v>0.65</v>
      </c>
      <c r="U349" s="44">
        <v>0</v>
      </c>
      <c r="V349" s="44">
        <v>0</v>
      </c>
      <c r="W349" s="44">
        <v>0</v>
      </c>
      <c r="X349" s="45">
        <v>48000</v>
      </c>
      <c r="Y349" s="45">
        <v>2400000</v>
      </c>
      <c r="Z349" s="45"/>
      <c r="AA349" s="46">
        <v>2400000</v>
      </c>
    </row>
    <row r="350" spans="1:27" ht="15" customHeight="1">
      <c r="A350" s="1">
        <v>69</v>
      </c>
      <c r="B350" s="1" t="s">
        <v>536</v>
      </c>
      <c r="C350" s="1" t="s">
        <v>537</v>
      </c>
      <c r="D350" s="1" t="s">
        <v>535</v>
      </c>
      <c r="E350" s="1" t="s">
        <v>539</v>
      </c>
      <c r="F350" s="1" t="s">
        <v>140</v>
      </c>
      <c r="G350" s="1" t="s">
        <v>141</v>
      </c>
      <c r="H350" s="1">
        <v>1005001941</v>
      </c>
      <c r="I350" s="1" t="s">
        <v>100</v>
      </c>
      <c r="J350" s="1">
        <v>86</v>
      </c>
      <c r="K350" s="1" t="s">
        <v>142</v>
      </c>
      <c r="L350" s="1">
        <v>1001025479</v>
      </c>
      <c r="M350" s="1">
        <v>1232000000692</v>
      </c>
      <c r="N350" s="1" t="s">
        <v>334</v>
      </c>
      <c r="O350" s="1" t="s">
        <v>297</v>
      </c>
      <c r="P350" s="1" t="s">
        <v>146</v>
      </c>
      <c r="Q350" s="1" t="s">
        <v>147</v>
      </c>
      <c r="R350" s="1" t="s">
        <v>148</v>
      </c>
      <c r="S350" s="44">
        <v>12.12</v>
      </c>
      <c r="T350" s="44">
        <v>0.47</v>
      </c>
      <c r="U350" s="44">
        <v>0</v>
      </c>
      <c r="V350" s="44">
        <v>0</v>
      </c>
      <c r="W350" s="44">
        <v>0</v>
      </c>
      <c r="X350" s="45">
        <v>5020</v>
      </c>
      <c r="Y350" s="45">
        <v>251000</v>
      </c>
      <c r="Z350" s="45"/>
      <c r="AA350" s="46">
        <v>251000</v>
      </c>
    </row>
    <row r="351" spans="1:27" ht="15" customHeight="1">
      <c r="A351" s="1">
        <v>69</v>
      </c>
      <c r="B351" s="1" t="s">
        <v>536</v>
      </c>
      <c r="C351" s="1" t="s">
        <v>537</v>
      </c>
      <c r="D351" s="1" t="s">
        <v>535</v>
      </c>
      <c r="E351" s="1" t="s">
        <v>537</v>
      </c>
      <c r="F351" s="1" t="s">
        <v>153</v>
      </c>
      <c r="G351" s="1" t="s">
        <v>141</v>
      </c>
      <c r="H351" s="1">
        <v>1005002362</v>
      </c>
      <c r="I351" s="1" t="s">
        <v>97</v>
      </c>
      <c r="J351" s="1">
        <v>24</v>
      </c>
      <c r="K351" s="1" t="s">
        <v>142</v>
      </c>
      <c r="L351" s="1">
        <v>1001027221</v>
      </c>
      <c r="M351" s="1">
        <v>1232000000731</v>
      </c>
      <c r="N351" s="1" t="s">
        <v>351</v>
      </c>
      <c r="O351" s="1" t="s">
        <v>352</v>
      </c>
      <c r="P351" s="1" t="s">
        <v>146</v>
      </c>
      <c r="Q351" s="1" t="s">
        <v>147</v>
      </c>
      <c r="R351" s="1" t="s">
        <v>148</v>
      </c>
      <c r="S351" s="44">
        <v>3.32</v>
      </c>
      <c r="T351" s="44">
        <v>9.24</v>
      </c>
      <c r="U351" s="44">
        <v>7.81</v>
      </c>
      <c r="V351" s="44">
        <v>0</v>
      </c>
      <c r="W351" s="44">
        <v>0</v>
      </c>
      <c r="X351" s="45">
        <v>1540.27</v>
      </c>
      <c r="Y351" s="45">
        <v>17763933</v>
      </c>
      <c r="Z351" s="45"/>
      <c r="AA351" s="46">
        <v>17763933</v>
      </c>
    </row>
    <row r="352" spans="1:27" ht="15" customHeight="1">
      <c r="A352" s="1">
        <v>69</v>
      </c>
      <c r="B352" s="1" t="s">
        <v>536</v>
      </c>
      <c r="C352" s="1" t="s">
        <v>537</v>
      </c>
      <c r="D352" s="1" t="s">
        <v>535</v>
      </c>
      <c r="E352" s="1" t="s">
        <v>537</v>
      </c>
      <c r="F352" s="1" t="s">
        <v>153</v>
      </c>
      <c r="G352" s="1" t="s">
        <v>141</v>
      </c>
      <c r="H352" s="1">
        <v>1005002363</v>
      </c>
      <c r="I352" s="1" t="s">
        <v>97</v>
      </c>
      <c r="J352" s="1">
        <v>24</v>
      </c>
      <c r="K352" s="1" t="s">
        <v>142</v>
      </c>
      <c r="L352" s="1">
        <v>1001027372</v>
      </c>
      <c r="M352" s="1">
        <v>1232000000733</v>
      </c>
      <c r="N352" s="1" t="s">
        <v>351</v>
      </c>
      <c r="O352" s="1" t="s">
        <v>352</v>
      </c>
      <c r="P352" s="1" t="s">
        <v>146</v>
      </c>
      <c r="Q352" s="1" t="s">
        <v>147</v>
      </c>
      <c r="R352" s="1" t="s">
        <v>148</v>
      </c>
      <c r="S352" s="44">
        <v>2.83</v>
      </c>
      <c r="T352" s="44">
        <v>9.2100000000000009</v>
      </c>
      <c r="U352" s="44">
        <v>7.88</v>
      </c>
      <c r="V352" s="44">
        <v>0</v>
      </c>
      <c r="W352" s="44">
        <v>0</v>
      </c>
      <c r="X352" s="45">
        <v>1426.26</v>
      </c>
      <c r="Y352" s="45">
        <v>16808473</v>
      </c>
      <c r="Z352" s="45"/>
      <c r="AA352" s="46">
        <v>16808473</v>
      </c>
    </row>
    <row r="353" spans="1:27" ht="15" customHeight="1">
      <c r="A353" s="56"/>
      <c r="B353" s="56" t="s">
        <v>149</v>
      </c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7"/>
      <c r="T353" s="57"/>
      <c r="U353" s="57"/>
      <c r="V353" s="57"/>
      <c r="W353" s="57"/>
      <c r="X353" s="58">
        <f>SUM(X347:X352)</f>
        <v>56719.69</v>
      </c>
      <c r="Y353" s="58">
        <f t="shared" ref="Y353:AA353" si="67">SUM(Y347:Y352)</f>
        <v>44534430</v>
      </c>
      <c r="Z353" s="58">
        <f t="shared" si="67"/>
        <v>0</v>
      </c>
      <c r="AA353" s="58">
        <f t="shared" si="67"/>
        <v>44534430</v>
      </c>
    </row>
    <row r="354" spans="1:27" ht="15" customHeight="1">
      <c r="A354" s="1">
        <v>70</v>
      </c>
      <c r="B354" s="1" t="s">
        <v>540</v>
      </c>
      <c r="C354" s="1" t="s">
        <v>541</v>
      </c>
      <c r="D354" s="1" t="s">
        <v>535</v>
      </c>
      <c r="E354" s="1" t="s">
        <v>541</v>
      </c>
      <c r="F354" s="1" t="s">
        <v>140</v>
      </c>
      <c r="G354" s="1" t="s">
        <v>141</v>
      </c>
      <c r="H354" s="1">
        <v>1365000216</v>
      </c>
      <c r="I354" s="1" t="s">
        <v>41</v>
      </c>
      <c r="J354" s="1">
        <v>36</v>
      </c>
      <c r="K354" s="1" t="s">
        <v>542</v>
      </c>
      <c r="L354" s="1">
        <v>1361001964</v>
      </c>
      <c r="M354" s="1">
        <v>1092000002275</v>
      </c>
      <c r="N354" s="1" t="s">
        <v>178</v>
      </c>
      <c r="O354" s="1" t="s">
        <v>179</v>
      </c>
      <c r="P354" s="1" t="s">
        <v>146</v>
      </c>
      <c r="Q354" s="1" t="s">
        <v>147</v>
      </c>
      <c r="R354" s="1" t="s">
        <v>228</v>
      </c>
      <c r="S354" s="44">
        <v>0</v>
      </c>
      <c r="T354" s="44">
        <v>20.53</v>
      </c>
      <c r="U354" s="44">
        <v>0.53</v>
      </c>
      <c r="V354" s="44">
        <v>0</v>
      </c>
      <c r="W354" s="44">
        <v>0</v>
      </c>
      <c r="X354" s="45">
        <v>213.62</v>
      </c>
      <c r="Y354" s="45">
        <v>217679</v>
      </c>
      <c r="Z354" s="45"/>
      <c r="AA354" s="46">
        <v>217679</v>
      </c>
    </row>
    <row r="355" spans="1:27" ht="15" customHeight="1">
      <c r="A355" s="1">
        <v>70</v>
      </c>
      <c r="B355" s="1" t="s">
        <v>540</v>
      </c>
      <c r="C355" s="1" t="s">
        <v>541</v>
      </c>
      <c r="D355" s="1" t="s">
        <v>535</v>
      </c>
      <c r="E355" s="1" t="s">
        <v>541</v>
      </c>
      <c r="F355" s="1" t="s">
        <v>140</v>
      </c>
      <c r="G355" s="1" t="s">
        <v>141</v>
      </c>
      <c r="H355" s="1">
        <v>1365000217</v>
      </c>
      <c r="I355" s="1" t="s">
        <v>41</v>
      </c>
      <c r="J355" s="1">
        <v>36</v>
      </c>
      <c r="K355" s="1" t="s">
        <v>542</v>
      </c>
      <c r="L355" s="1">
        <v>1361001965</v>
      </c>
      <c r="M355" s="1">
        <v>1092000002276</v>
      </c>
      <c r="N355" s="1" t="s">
        <v>178</v>
      </c>
      <c r="O355" s="1" t="s">
        <v>179</v>
      </c>
      <c r="P355" s="1" t="s">
        <v>146</v>
      </c>
      <c r="Q355" s="1" t="s">
        <v>147</v>
      </c>
      <c r="R355" s="1" t="s">
        <v>228</v>
      </c>
      <c r="S355" s="44">
        <v>0</v>
      </c>
      <c r="T355" s="44">
        <v>20.51</v>
      </c>
      <c r="U355" s="44">
        <v>0.54</v>
      </c>
      <c r="V355" s="44">
        <v>0</v>
      </c>
      <c r="W355" s="44">
        <v>0</v>
      </c>
      <c r="X355" s="45">
        <v>170.39</v>
      </c>
      <c r="Y355" s="45">
        <v>173627</v>
      </c>
      <c r="Z355" s="45"/>
      <c r="AA355" s="46">
        <v>173627</v>
      </c>
    </row>
    <row r="356" spans="1:27" ht="15" customHeight="1">
      <c r="A356" s="1">
        <v>70</v>
      </c>
      <c r="B356" s="1" t="s">
        <v>540</v>
      </c>
      <c r="C356" s="1" t="s">
        <v>541</v>
      </c>
      <c r="D356" s="1" t="s">
        <v>535</v>
      </c>
      <c r="E356" s="1" t="s">
        <v>541</v>
      </c>
      <c r="F356" s="1" t="s">
        <v>140</v>
      </c>
      <c r="G356" s="1" t="s">
        <v>141</v>
      </c>
      <c r="H356" s="1">
        <v>1365000215</v>
      </c>
      <c r="I356" s="1" t="s">
        <v>40</v>
      </c>
      <c r="J356" s="1">
        <v>37</v>
      </c>
      <c r="K356" s="1" t="s">
        <v>542</v>
      </c>
      <c r="L356" s="1">
        <v>1361001977</v>
      </c>
      <c r="M356" s="1">
        <v>1092000002284</v>
      </c>
      <c r="N356" s="1" t="s">
        <v>178</v>
      </c>
      <c r="O356" s="1" t="s">
        <v>179</v>
      </c>
      <c r="P356" s="1" t="s">
        <v>146</v>
      </c>
      <c r="Q356" s="1" t="s">
        <v>147</v>
      </c>
      <c r="R356" s="1" t="s">
        <v>228</v>
      </c>
      <c r="S356" s="44">
        <v>0</v>
      </c>
      <c r="T356" s="44">
        <v>20.69</v>
      </c>
      <c r="U356" s="44">
        <v>0.52</v>
      </c>
      <c r="V356" s="44">
        <v>0</v>
      </c>
      <c r="W356" s="44">
        <v>0</v>
      </c>
      <c r="X356" s="45">
        <v>1512.92</v>
      </c>
      <c r="Y356" s="45">
        <v>1428197</v>
      </c>
      <c r="Z356" s="45"/>
      <c r="AA356" s="46">
        <v>1428197</v>
      </c>
    </row>
    <row r="357" spans="1:27" ht="15" customHeight="1">
      <c r="A357" s="1">
        <v>70</v>
      </c>
      <c r="B357" s="1" t="s">
        <v>540</v>
      </c>
      <c r="C357" s="1" t="s">
        <v>541</v>
      </c>
      <c r="D357" s="1" t="s">
        <v>535</v>
      </c>
      <c r="E357" s="1" t="s">
        <v>541</v>
      </c>
      <c r="F357" s="1" t="s">
        <v>140</v>
      </c>
      <c r="G357" s="1" t="s">
        <v>141</v>
      </c>
      <c r="H357" s="1">
        <v>1365000218</v>
      </c>
      <c r="I357" s="1" t="s">
        <v>41</v>
      </c>
      <c r="J357" s="1">
        <v>36</v>
      </c>
      <c r="K357" s="1" t="s">
        <v>542</v>
      </c>
      <c r="L357" s="1">
        <v>1361001978</v>
      </c>
      <c r="M357" s="1">
        <v>1092000002285</v>
      </c>
      <c r="N357" s="1" t="s">
        <v>178</v>
      </c>
      <c r="O357" s="1" t="s">
        <v>179</v>
      </c>
      <c r="P357" s="1" t="s">
        <v>146</v>
      </c>
      <c r="Q357" s="1" t="s">
        <v>147</v>
      </c>
      <c r="R357" s="1" t="s">
        <v>228</v>
      </c>
      <c r="S357" s="44">
        <v>0</v>
      </c>
      <c r="T357" s="44">
        <v>20.65</v>
      </c>
      <c r="U357" s="44">
        <v>0.51</v>
      </c>
      <c r="V357" s="44">
        <v>0</v>
      </c>
      <c r="W357" s="44">
        <v>0</v>
      </c>
      <c r="X357" s="45">
        <v>329.67</v>
      </c>
      <c r="Y357" s="45">
        <v>311208</v>
      </c>
      <c r="Z357" s="45"/>
      <c r="AA357" s="46">
        <v>311208</v>
      </c>
    </row>
    <row r="358" spans="1:27" ht="15" customHeight="1">
      <c r="A358" s="56"/>
      <c r="B358" s="56" t="s">
        <v>149</v>
      </c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7"/>
      <c r="T358" s="57"/>
      <c r="U358" s="57"/>
      <c r="V358" s="57"/>
      <c r="W358" s="57"/>
      <c r="X358" s="58">
        <f>SUM(X354:X357)</f>
        <v>2226.6</v>
      </c>
      <c r="Y358" s="58">
        <f t="shared" ref="Y358:AA358" si="68">SUM(Y354:Y357)</f>
        <v>2130711</v>
      </c>
      <c r="Z358" s="58">
        <f t="shared" si="68"/>
        <v>0</v>
      </c>
      <c r="AA358" s="58">
        <f t="shared" si="68"/>
        <v>2130711</v>
      </c>
    </row>
    <row r="359" spans="1:27" ht="15" customHeight="1">
      <c r="A359" s="1">
        <v>71</v>
      </c>
      <c r="B359" s="1" t="s">
        <v>543</v>
      </c>
      <c r="C359" s="1" t="s">
        <v>544</v>
      </c>
      <c r="D359" s="1" t="s">
        <v>535</v>
      </c>
      <c r="E359" s="1" t="s">
        <v>544</v>
      </c>
      <c r="F359" s="1" t="s">
        <v>140</v>
      </c>
      <c r="G359" s="1" t="s">
        <v>141</v>
      </c>
      <c r="H359" s="1">
        <v>1005001731</v>
      </c>
      <c r="I359" s="1" t="s">
        <v>101</v>
      </c>
      <c r="J359" s="1">
        <v>116</v>
      </c>
      <c r="K359" s="1" t="s">
        <v>142</v>
      </c>
      <c r="L359" s="1">
        <v>1001025420</v>
      </c>
      <c r="M359" s="1">
        <v>1332000000430</v>
      </c>
      <c r="N359" s="1" t="s">
        <v>334</v>
      </c>
      <c r="O359" s="1" t="s">
        <v>297</v>
      </c>
      <c r="P359" s="1" t="s">
        <v>146</v>
      </c>
      <c r="Q359" s="1" t="s">
        <v>147</v>
      </c>
      <c r="R359" s="1" t="s">
        <v>148</v>
      </c>
      <c r="S359" s="44">
        <v>11.51</v>
      </c>
      <c r="T359" s="44">
        <v>1.74</v>
      </c>
      <c r="U359" s="44">
        <v>0</v>
      </c>
      <c r="V359" s="44">
        <v>0</v>
      </c>
      <c r="W359" s="44">
        <v>0</v>
      </c>
      <c r="X359" s="45">
        <v>115.91</v>
      </c>
      <c r="Y359" s="45">
        <v>1692634</v>
      </c>
      <c r="Z359" s="45"/>
      <c r="AA359" s="46">
        <v>1692634</v>
      </c>
    </row>
    <row r="360" spans="1:27" ht="15" customHeight="1">
      <c r="A360" s="1">
        <v>71</v>
      </c>
      <c r="B360" s="1" t="s">
        <v>543</v>
      </c>
      <c r="C360" s="1" t="s">
        <v>544</v>
      </c>
      <c r="D360" s="1" t="s">
        <v>535</v>
      </c>
      <c r="E360" s="1" t="s">
        <v>544</v>
      </c>
      <c r="F360" s="1" t="s">
        <v>153</v>
      </c>
      <c r="G360" s="1" t="s">
        <v>141</v>
      </c>
      <c r="H360" s="1">
        <v>1005002424</v>
      </c>
      <c r="I360" s="1" t="s">
        <v>11</v>
      </c>
      <c r="J360" s="1">
        <v>14</v>
      </c>
      <c r="K360" s="1" t="s">
        <v>142</v>
      </c>
      <c r="L360" s="1">
        <v>1001026788</v>
      </c>
      <c r="M360" s="1">
        <v>1332000000446</v>
      </c>
      <c r="N360" s="1" t="s">
        <v>351</v>
      </c>
      <c r="O360" s="1" t="s">
        <v>352</v>
      </c>
      <c r="P360" s="1" t="s">
        <v>146</v>
      </c>
      <c r="Q360" s="1" t="s">
        <v>147</v>
      </c>
      <c r="R360" s="1" t="s">
        <v>148</v>
      </c>
      <c r="S360" s="44">
        <v>5.61</v>
      </c>
      <c r="T360" s="44">
        <v>6.92</v>
      </c>
      <c r="U360" s="44">
        <v>7.79</v>
      </c>
      <c r="V360" s="44">
        <v>0</v>
      </c>
      <c r="W360" s="44">
        <v>0</v>
      </c>
      <c r="X360" s="45">
        <v>305.39</v>
      </c>
      <c r="Y360" s="45">
        <v>3203889</v>
      </c>
      <c r="Z360" s="45"/>
      <c r="AA360" s="46">
        <v>3203889</v>
      </c>
    </row>
    <row r="361" spans="1:27" ht="15" customHeight="1">
      <c r="A361" s="1">
        <v>71</v>
      </c>
      <c r="B361" s="1" t="s">
        <v>543</v>
      </c>
      <c r="C361" s="1" t="s">
        <v>544</v>
      </c>
      <c r="D361" s="1" t="s">
        <v>535</v>
      </c>
      <c r="E361" s="1" t="s">
        <v>544</v>
      </c>
      <c r="F361" s="1" t="s">
        <v>153</v>
      </c>
      <c r="G361" s="1" t="s">
        <v>141</v>
      </c>
      <c r="H361" s="1">
        <v>1005002420</v>
      </c>
      <c r="I361" s="1" t="s">
        <v>11</v>
      </c>
      <c r="J361" s="1">
        <v>14</v>
      </c>
      <c r="K361" s="1" t="s">
        <v>142</v>
      </c>
      <c r="L361" s="1">
        <v>1001026897</v>
      </c>
      <c r="M361" s="1">
        <v>1332000000448</v>
      </c>
      <c r="N361" s="1" t="s">
        <v>351</v>
      </c>
      <c r="O361" s="1" t="s">
        <v>352</v>
      </c>
      <c r="P361" s="1" t="s">
        <v>146</v>
      </c>
      <c r="Q361" s="1" t="s">
        <v>147</v>
      </c>
      <c r="R361" s="1" t="s">
        <v>148</v>
      </c>
      <c r="S361" s="44">
        <v>6.13</v>
      </c>
      <c r="T361" s="44">
        <v>6.94</v>
      </c>
      <c r="U361" s="44">
        <v>8.0399999999999991</v>
      </c>
      <c r="V361" s="44">
        <v>0</v>
      </c>
      <c r="W361" s="44">
        <v>0</v>
      </c>
      <c r="X361" s="45">
        <v>464.95</v>
      </c>
      <c r="Y361" s="45">
        <v>4987032</v>
      </c>
      <c r="Z361" s="45"/>
      <c r="AA361" s="46">
        <v>4987032</v>
      </c>
    </row>
    <row r="362" spans="1:27" ht="15" customHeight="1">
      <c r="A362" s="1">
        <v>71</v>
      </c>
      <c r="B362" s="1" t="s">
        <v>543</v>
      </c>
      <c r="C362" s="1" t="s">
        <v>544</v>
      </c>
      <c r="D362" s="1" t="s">
        <v>535</v>
      </c>
      <c r="E362" s="1" t="s">
        <v>544</v>
      </c>
      <c r="F362" s="1" t="s">
        <v>153</v>
      </c>
      <c r="G362" s="1" t="s">
        <v>141</v>
      </c>
      <c r="H362" s="1">
        <v>1005002425</v>
      </c>
      <c r="I362" s="1" t="s">
        <v>11</v>
      </c>
      <c r="J362" s="1">
        <v>14</v>
      </c>
      <c r="K362" s="1" t="s">
        <v>142</v>
      </c>
      <c r="L362" s="1">
        <v>1001026897</v>
      </c>
      <c r="M362" s="1">
        <v>1332000000448</v>
      </c>
      <c r="N362" s="1" t="s">
        <v>351</v>
      </c>
      <c r="O362" s="1" t="s">
        <v>352</v>
      </c>
      <c r="P362" s="1" t="s">
        <v>146</v>
      </c>
      <c r="Q362" s="1" t="s">
        <v>147</v>
      </c>
      <c r="R362" s="1" t="s">
        <v>148</v>
      </c>
      <c r="S362" s="44">
        <v>6.32</v>
      </c>
      <c r="T362" s="44">
        <v>6.87</v>
      </c>
      <c r="U362" s="44">
        <v>8.51</v>
      </c>
      <c r="V362" s="44">
        <v>0</v>
      </c>
      <c r="W362" s="44">
        <v>0</v>
      </c>
      <c r="X362" s="45">
        <v>76.34</v>
      </c>
      <c r="Y362" s="45">
        <v>818823</v>
      </c>
      <c r="Z362" s="45"/>
      <c r="AA362" s="46">
        <v>818823</v>
      </c>
    </row>
    <row r="363" spans="1:27" ht="15" customHeight="1">
      <c r="A363" s="56"/>
      <c r="B363" s="56" t="s">
        <v>149</v>
      </c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7"/>
      <c r="T363" s="57"/>
      <c r="U363" s="57"/>
      <c r="V363" s="57"/>
      <c r="W363" s="57"/>
      <c r="X363" s="58">
        <f>SUM(X359:X362)</f>
        <v>962.59</v>
      </c>
      <c r="Y363" s="58">
        <f t="shared" ref="Y363:AA363" si="69">SUM(Y359:Y362)</f>
        <v>10702378</v>
      </c>
      <c r="Z363" s="58">
        <f t="shared" si="69"/>
        <v>0</v>
      </c>
      <c r="AA363" s="58">
        <f t="shared" si="69"/>
        <v>10702378</v>
      </c>
    </row>
    <row r="364" spans="1:27" ht="15" customHeight="1">
      <c r="A364" s="1">
        <v>72</v>
      </c>
      <c r="B364" s="1" t="s">
        <v>545</v>
      </c>
      <c r="C364" s="1" t="s">
        <v>546</v>
      </c>
      <c r="D364" s="1" t="s">
        <v>535</v>
      </c>
      <c r="E364" s="1" t="s">
        <v>538</v>
      </c>
      <c r="F364" s="1" t="s">
        <v>140</v>
      </c>
      <c r="G364" s="1" t="s">
        <v>141</v>
      </c>
      <c r="H364" s="1">
        <v>1624</v>
      </c>
      <c r="I364" s="1" t="s">
        <v>78</v>
      </c>
      <c r="J364" s="1">
        <v>512</v>
      </c>
      <c r="K364" s="1" t="s">
        <v>142</v>
      </c>
      <c r="L364" s="1">
        <v>1001018447</v>
      </c>
      <c r="M364" s="1">
        <v>1082000001833</v>
      </c>
      <c r="N364" s="1" t="s">
        <v>144</v>
      </c>
      <c r="O364" s="1" t="s">
        <v>145</v>
      </c>
      <c r="P364" s="1" t="s">
        <v>146</v>
      </c>
      <c r="Q364" s="1" t="s">
        <v>147</v>
      </c>
      <c r="R364" s="1" t="s">
        <v>148</v>
      </c>
      <c r="S364" s="44">
        <v>0</v>
      </c>
      <c r="T364" s="44">
        <v>0</v>
      </c>
      <c r="U364" s="44">
        <v>0</v>
      </c>
      <c r="V364" s="44">
        <v>0</v>
      </c>
      <c r="W364" s="44">
        <v>0</v>
      </c>
      <c r="X364" s="45">
        <v>6.92</v>
      </c>
      <c r="Y364" s="45">
        <v>91752</v>
      </c>
      <c r="Z364" s="45"/>
      <c r="AA364" s="46">
        <v>91752</v>
      </c>
    </row>
    <row r="365" spans="1:27" ht="15" customHeight="1">
      <c r="A365" s="1">
        <v>72</v>
      </c>
      <c r="B365" s="1" t="s">
        <v>545</v>
      </c>
      <c r="C365" s="1" t="s">
        <v>546</v>
      </c>
      <c r="D365" s="1" t="s">
        <v>535</v>
      </c>
      <c r="E365" s="1" t="s">
        <v>293</v>
      </c>
      <c r="F365" s="1" t="s">
        <v>153</v>
      </c>
      <c r="G365" s="1" t="s">
        <v>141</v>
      </c>
      <c r="H365" s="1">
        <v>1005000582</v>
      </c>
      <c r="I365" s="1" t="s">
        <v>59</v>
      </c>
      <c r="J365" s="1">
        <v>310</v>
      </c>
      <c r="K365" s="1" t="s">
        <v>142</v>
      </c>
      <c r="L365" s="1">
        <v>1001019570</v>
      </c>
      <c r="M365" s="1">
        <v>1082000001934</v>
      </c>
      <c r="N365" s="1" t="s">
        <v>296</v>
      </c>
      <c r="O365" s="1" t="s">
        <v>297</v>
      </c>
      <c r="P365" s="1" t="s">
        <v>146</v>
      </c>
      <c r="Q365" s="1" t="s">
        <v>147</v>
      </c>
      <c r="R365" s="1" t="s">
        <v>148</v>
      </c>
      <c r="S365" s="44">
        <v>52.66</v>
      </c>
      <c r="T365" s="44">
        <v>2.06</v>
      </c>
      <c r="U365" s="44">
        <v>0</v>
      </c>
      <c r="V365" s="44">
        <v>0</v>
      </c>
      <c r="W365" s="44">
        <v>0</v>
      </c>
      <c r="X365" s="45">
        <v>1678.99</v>
      </c>
      <c r="Y365" s="45">
        <v>19325164</v>
      </c>
      <c r="Z365" s="45"/>
      <c r="AA365" s="46">
        <v>19325164</v>
      </c>
    </row>
    <row r="366" spans="1:27" ht="15" customHeight="1">
      <c r="A366" s="1">
        <v>72</v>
      </c>
      <c r="B366" s="1" t="s">
        <v>545</v>
      </c>
      <c r="C366" s="1" t="s">
        <v>546</v>
      </c>
      <c r="D366" s="1" t="s">
        <v>535</v>
      </c>
      <c r="E366" s="1" t="s">
        <v>444</v>
      </c>
      <c r="F366" s="1" t="s">
        <v>170</v>
      </c>
      <c r="G366" s="1" t="s">
        <v>141</v>
      </c>
      <c r="H366" s="1">
        <v>1005000647</v>
      </c>
      <c r="I366" s="1" t="s">
        <v>87</v>
      </c>
      <c r="J366" s="1">
        <v>296</v>
      </c>
      <c r="K366" s="1" t="s">
        <v>171</v>
      </c>
      <c r="L366" s="1">
        <v>1001021988</v>
      </c>
      <c r="M366" s="1">
        <v>1082000002164</v>
      </c>
      <c r="N366" s="1" t="s">
        <v>178</v>
      </c>
      <c r="O366" s="1" t="s">
        <v>179</v>
      </c>
      <c r="P366" s="1" t="s">
        <v>146</v>
      </c>
      <c r="Q366" s="1" t="s">
        <v>147</v>
      </c>
      <c r="R366" s="1" t="s">
        <v>148</v>
      </c>
      <c r="S366" s="44">
        <v>0</v>
      </c>
      <c r="T366" s="44">
        <v>0</v>
      </c>
      <c r="U366" s="44">
        <v>0</v>
      </c>
      <c r="V366" s="44">
        <v>0</v>
      </c>
      <c r="W366" s="44">
        <v>0</v>
      </c>
      <c r="X366" s="45">
        <v>630.4</v>
      </c>
      <c r="Y366" s="45">
        <v>775392</v>
      </c>
      <c r="Z366" s="45"/>
      <c r="AA366" s="46">
        <v>775392</v>
      </c>
    </row>
    <row r="367" spans="1:27" ht="15" customHeight="1">
      <c r="A367" s="1">
        <v>72</v>
      </c>
      <c r="B367" s="1" t="s">
        <v>545</v>
      </c>
      <c r="C367" s="1" t="s">
        <v>546</v>
      </c>
      <c r="D367" s="1" t="s">
        <v>535</v>
      </c>
      <c r="E367" s="1" t="s">
        <v>190</v>
      </c>
      <c r="F367" s="1" t="s">
        <v>153</v>
      </c>
      <c r="G367" s="1" t="s">
        <v>141</v>
      </c>
      <c r="H367" s="1">
        <v>1005001104</v>
      </c>
      <c r="I367" s="1" t="s">
        <v>16</v>
      </c>
      <c r="J367" s="1">
        <v>221</v>
      </c>
      <c r="K367" s="1" t="s">
        <v>142</v>
      </c>
      <c r="L367" s="1">
        <v>1001023126</v>
      </c>
      <c r="M367" s="1">
        <v>1082000002293</v>
      </c>
      <c r="N367" s="1" t="s">
        <v>192</v>
      </c>
      <c r="O367" s="1" t="s">
        <v>145</v>
      </c>
      <c r="P367" s="1" t="s">
        <v>146</v>
      </c>
      <c r="Q367" s="1" t="s">
        <v>147</v>
      </c>
      <c r="R367" s="1" t="s">
        <v>148</v>
      </c>
      <c r="S367" s="44">
        <v>8.7200000000000006</v>
      </c>
      <c r="T367" s="44">
        <v>0.47</v>
      </c>
      <c r="U367" s="44">
        <v>0</v>
      </c>
      <c r="V367" s="44">
        <v>0</v>
      </c>
      <c r="W367" s="44">
        <v>0</v>
      </c>
      <c r="X367" s="45">
        <v>483670</v>
      </c>
      <c r="Y367" s="45">
        <v>86556000</v>
      </c>
      <c r="Z367" s="45"/>
      <c r="AA367" s="46">
        <v>86556000</v>
      </c>
    </row>
    <row r="368" spans="1:27" ht="15" customHeight="1">
      <c r="A368" s="1">
        <v>72</v>
      </c>
      <c r="B368" s="1" t="s">
        <v>545</v>
      </c>
      <c r="C368" s="1" t="s">
        <v>546</v>
      </c>
      <c r="D368" s="1" t="s">
        <v>535</v>
      </c>
      <c r="E368" s="1" t="s">
        <v>190</v>
      </c>
      <c r="F368" s="1" t="s">
        <v>153</v>
      </c>
      <c r="G368" s="1" t="s">
        <v>141</v>
      </c>
      <c r="H368" s="1">
        <v>1005001105</v>
      </c>
      <c r="I368" s="1" t="s">
        <v>16</v>
      </c>
      <c r="J368" s="1">
        <v>221</v>
      </c>
      <c r="K368" s="1" t="s">
        <v>142</v>
      </c>
      <c r="L368" s="1">
        <v>1001023126</v>
      </c>
      <c r="M368" s="1">
        <v>1082000002293</v>
      </c>
      <c r="N368" s="1" t="s">
        <v>192</v>
      </c>
      <c r="O368" s="1" t="s">
        <v>145</v>
      </c>
      <c r="P368" s="1" t="s">
        <v>146</v>
      </c>
      <c r="Q368" s="1" t="s">
        <v>147</v>
      </c>
      <c r="R368" s="1" t="s">
        <v>148</v>
      </c>
      <c r="S368" s="44">
        <v>8.56</v>
      </c>
      <c r="T368" s="44">
        <v>0.56999999999999995</v>
      </c>
      <c r="U368" s="44">
        <v>0</v>
      </c>
      <c r="V368" s="44">
        <v>0</v>
      </c>
      <c r="W368" s="44">
        <v>0</v>
      </c>
      <c r="X368" s="45">
        <v>27.81</v>
      </c>
      <c r="Y368" s="45">
        <v>348738</v>
      </c>
      <c r="Z368" s="45"/>
      <c r="AA368" s="46">
        <v>348738</v>
      </c>
    </row>
    <row r="369" spans="1:27" ht="15" customHeight="1">
      <c r="A369" s="1">
        <v>72</v>
      </c>
      <c r="B369" s="1" t="s">
        <v>545</v>
      </c>
      <c r="C369" s="1" t="s">
        <v>546</v>
      </c>
      <c r="D369" s="1" t="s">
        <v>535</v>
      </c>
      <c r="E369" s="1" t="s">
        <v>190</v>
      </c>
      <c r="F369" s="1" t="s">
        <v>153</v>
      </c>
      <c r="G369" s="1" t="s">
        <v>141</v>
      </c>
      <c r="H369" s="1">
        <v>1005001169</v>
      </c>
      <c r="I369" s="1" t="s">
        <v>17</v>
      </c>
      <c r="J369" s="1">
        <v>212</v>
      </c>
      <c r="K369" s="1" t="s">
        <v>142</v>
      </c>
      <c r="L369" s="1">
        <v>1001022778</v>
      </c>
      <c r="M369" s="1">
        <v>1082000002256</v>
      </c>
      <c r="N369" s="1" t="s">
        <v>144</v>
      </c>
      <c r="O369" s="1" t="s">
        <v>145</v>
      </c>
      <c r="P369" s="1" t="s">
        <v>146</v>
      </c>
      <c r="Q369" s="1" t="s">
        <v>147</v>
      </c>
      <c r="R369" s="1" t="s">
        <v>148</v>
      </c>
      <c r="S369" s="44">
        <v>6</v>
      </c>
      <c r="T369" s="44">
        <v>0.38</v>
      </c>
      <c r="U369" s="44">
        <v>0</v>
      </c>
      <c r="V369" s="44">
        <v>0</v>
      </c>
      <c r="W369" s="44">
        <v>0</v>
      </c>
      <c r="X369" s="45">
        <v>1001200</v>
      </c>
      <c r="Y369" s="45">
        <v>260547000</v>
      </c>
      <c r="Z369" s="45"/>
      <c r="AA369" s="46">
        <v>260547000</v>
      </c>
    </row>
    <row r="370" spans="1:27" ht="15" customHeight="1">
      <c r="A370" s="1">
        <v>72</v>
      </c>
      <c r="B370" s="1" t="s">
        <v>545</v>
      </c>
      <c r="C370" s="1" t="s">
        <v>546</v>
      </c>
      <c r="D370" s="1" t="s">
        <v>535</v>
      </c>
      <c r="E370" s="1" t="s">
        <v>190</v>
      </c>
      <c r="F370" s="1" t="s">
        <v>153</v>
      </c>
      <c r="G370" s="1" t="s">
        <v>141</v>
      </c>
      <c r="H370" s="1">
        <v>1005001170</v>
      </c>
      <c r="I370" s="1" t="s">
        <v>17</v>
      </c>
      <c r="J370" s="1">
        <v>212</v>
      </c>
      <c r="K370" s="1" t="s">
        <v>142</v>
      </c>
      <c r="L370" s="1">
        <v>1001022778</v>
      </c>
      <c r="M370" s="1">
        <v>1082000002256</v>
      </c>
      <c r="N370" s="1" t="s">
        <v>144</v>
      </c>
      <c r="O370" s="1" t="s">
        <v>145</v>
      </c>
      <c r="P370" s="1" t="s">
        <v>146</v>
      </c>
      <c r="Q370" s="1" t="s">
        <v>147</v>
      </c>
      <c r="R370" s="1" t="s">
        <v>148</v>
      </c>
      <c r="S370" s="44">
        <v>6.43</v>
      </c>
      <c r="T370" s="44">
        <v>0.63</v>
      </c>
      <c r="U370" s="44">
        <v>0</v>
      </c>
      <c r="V370" s="44">
        <v>0</v>
      </c>
      <c r="W370" s="44">
        <v>0</v>
      </c>
      <c r="X370" s="45">
        <v>52.33</v>
      </c>
      <c r="Y370" s="45">
        <v>704154</v>
      </c>
      <c r="Z370" s="45"/>
      <c r="AA370" s="46">
        <v>704154</v>
      </c>
    </row>
    <row r="371" spans="1:27" ht="15" customHeight="1">
      <c r="A371" s="1">
        <v>72</v>
      </c>
      <c r="B371" s="1" t="s">
        <v>545</v>
      </c>
      <c r="C371" s="1" t="s">
        <v>546</v>
      </c>
      <c r="D371" s="1" t="s">
        <v>535</v>
      </c>
      <c r="E371" s="1" t="s">
        <v>190</v>
      </c>
      <c r="F371" s="1" t="s">
        <v>140</v>
      </c>
      <c r="G371" s="1" t="s">
        <v>141</v>
      </c>
      <c r="H371" s="1">
        <v>1005001200</v>
      </c>
      <c r="I371" s="1" t="s">
        <v>18</v>
      </c>
      <c r="J371" s="1">
        <v>206</v>
      </c>
      <c r="K371" s="1" t="s">
        <v>142</v>
      </c>
      <c r="L371" s="1">
        <v>1001023014</v>
      </c>
      <c r="M371" s="1">
        <v>1082000002282</v>
      </c>
      <c r="N371" s="1" t="s">
        <v>144</v>
      </c>
      <c r="O371" s="1" t="s">
        <v>145</v>
      </c>
      <c r="P371" s="1" t="s">
        <v>146</v>
      </c>
      <c r="Q371" s="1" t="s">
        <v>147</v>
      </c>
      <c r="R371" s="1" t="s">
        <v>148</v>
      </c>
      <c r="S371" s="44">
        <v>5.57</v>
      </c>
      <c r="T371" s="44">
        <v>0.3</v>
      </c>
      <c r="U371" s="44">
        <v>0</v>
      </c>
      <c r="V371" s="44">
        <v>0</v>
      </c>
      <c r="W371" s="44">
        <v>0</v>
      </c>
      <c r="X371" s="45">
        <v>1000330</v>
      </c>
      <c r="Y371" s="45">
        <v>162650000</v>
      </c>
      <c r="Z371" s="45"/>
      <c r="AA371" s="46">
        <v>162650000</v>
      </c>
    </row>
    <row r="372" spans="1:27" ht="15" customHeight="1">
      <c r="A372" s="1">
        <v>72</v>
      </c>
      <c r="B372" s="1" t="s">
        <v>545</v>
      </c>
      <c r="C372" s="1" t="s">
        <v>546</v>
      </c>
      <c r="D372" s="1" t="s">
        <v>535</v>
      </c>
      <c r="E372" s="1" t="s">
        <v>190</v>
      </c>
      <c r="F372" s="1" t="s">
        <v>153</v>
      </c>
      <c r="G372" s="1" t="s">
        <v>141</v>
      </c>
      <c r="H372" s="1">
        <v>1005001250</v>
      </c>
      <c r="I372" s="1" t="s">
        <v>7</v>
      </c>
      <c r="J372" s="1">
        <v>200</v>
      </c>
      <c r="K372" s="1" t="s">
        <v>142</v>
      </c>
      <c r="L372" s="1">
        <v>1001023212</v>
      </c>
      <c r="M372" s="1">
        <v>1082000002302</v>
      </c>
      <c r="N372" s="1" t="s">
        <v>144</v>
      </c>
      <c r="O372" s="1" t="s">
        <v>145</v>
      </c>
      <c r="P372" s="1" t="s">
        <v>146</v>
      </c>
      <c r="Q372" s="1" t="s">
        <v>147</v>
      </c>
      <c r="R372" s="1" t="s">
        <v>148</v>
      </c>
      <c r="S372" s="44">
        <v>5.96</v>
      </c>
      <c r="T372" s="44">
        <v>0.37</v>
      </c>
      <c r="U372" s="44">
        <v>0</v>
      </c>
      <c r="V372" s="44">
        <v>0</v>
      </c>
      <c r="W372" s="44">
        <v>0</v>
      </c>
      <c r="X372" s="45">
        <v>1003400</v>
      </c>
      <c r="Y372" s="45">
        <v>200680000</v>
      </c>
      <c r="Z372" s="45"/>
      <c r="AA372" s="46">
        <v>200680000</v>
      </c>
    </row>
    <row r="373" spans="1:27" ht="15" customHeight="1">
      <c r="A373" s="1">
        <v>72</v>
      </c>
      <c r="B373" s="1" t="s">
        <v>545</v>
      </c>
      <c r="C373" s="1" t="s">
        <v>546</v>
      </c>
      <c r="D373" s="1" t="s">
        <v>535</v>
      </c>
      <c r="E373" s="1" t="s">
        <v>190</v>
      </c>
      <c r="F373" s="1" t="s">
        <v>140</v>
      </c>
      <c r="G373" s="1" t="s">
        <v>141</v>
      </c>
      <c r="H373" s="1">
        <v>1005001251</v>
      </c>
      <c r="I373" s="1" t="s">
        <v>7</v>
      </c>
      <c r="J373" s="1">
        <v>200</v>
      </c>
      <c r="K373" s="1" t="s">
        <v>142</v>
      </c>
      <c r="L373" s="1">
        <v>1001022974</v>
      </c>
      <c r="M373" s="1">
        <v>1082000002277</v>
      </c>
      <c r="N373" s="1" t="s">
        <v>144</v>
      </c>
      <c r="O373" s="1" t="s">
        <v>145</v>
      </c>
      <c r="P373" s="1" t="s">
        <v>146</v>
      </c>
      <c r="Q373" s="1" t="s">
        <v>147</v>
      </c>
      <c r="R373" s="1" t="s">
        <v>148</v>
      </c>
      <c r="S373" s="44">
        <v>5.33</v>
      </c>
      <c r="T373" s="44">
        <v>0.28999999999999998</v>
      </c>
      <c r="U373" s="44">
        <v>0</v>
      </c>
      <c r="V373" s="44">
        <v>0</v>
      </c>
      <c r="W373" s="44">
        <v>0</v>
      </c>
      <c r="X373" s="45">
        <v>998160</v>
      </c>
      <c r="Y373" s="45">
        <v>99816000</v>
      </c>
      <c r="Z373" s="45"/>
      <c r="AA373" s="46">
        <v>99816000</v>
      </c>
    </row>
    <row r="374" spans="1:27" ht="15" customHeight="1">
      <c r="A374" s="1">
        <v>72</v>
      </c>
      <c r="B374" s="1" t="s">
        <v>545</v>
      </c>
      <c r="C374" s="1" t="s">
        <v>546</v>
      </c>
      <c r="D374" s="1" t="s">
        <v>535</v>
      </c>
      <c r="E374" s="1" t="s">
        <v>190</v>
      </c>
      <c r="F374" s="1" t="s">
        <v>153</v>
      </c>
      <c r="G374" s="1" t="s">
        <v>141</v>
      </c>
      <c r="H374" s="1">
        <v>1005001335</v>
      </c>
      <c r="I374" s="1" t="s">
        <v>19</v>
      </c>
      <c r="J374" s="1">
        <v>184</v>
      </c>
      <c r="K374" s="1" t="s">
        <v>142</v>
      </c>
      <c r="L374" s="1">
        <v>1001023348</v>
      </c>
      <c r="M374" s="1">
        <v>1082000002332</v>
      </c>
      <c r="N374" s="1" t="s">
        <v>144</v>
      </c>
      <c r="O374" s="1" t="s">
        <v>145</v>
      </c>
      <c r="P374" s="1" t="s">
        <v>146</v>
      </c>
      <c r="Q374" s="1" t="s">
        <v>147</v>
      </c>
      <c r="R374" s="1" t="s">
        <v>148</v>
      </c>
      <c r="S374" s="44">
        <v>5.48</v>
      </c>
      <c r="T374" s="44">
        <v>0.34</v>
      </c>
      <c r="U374" s="44">
        <v>0</v>
      </c>
      <c r="V374" s="44">
        <v>0</v>
      </c>
      <c r="W374" s="44">
        <v>0</v>
      </c>
      <c r="X374" s="45">
        <v>1011420</v>
      </c>
      <c r="Y374" s="45">
        <v>138432000</v>
      </c>
      <c r="Z374" s="45"/>
      <c r="AA374" s="46">
        <v>138432000</v>
      </c>
    </row>
    <row r="375" spans="1:27" ht="15" customHeight="1">
      <c r="A375" s="1">
        <v>72</v>
      </c>
      <c r="B375" s="1" t="s">
        <v>545</v>
      </c>
      <c r="C375" s="1" t="s">
        <v>546</v>
      </c>
      <c r="D375" s="1" t="s">
        <v>535</v>
      </c>
      <c r="E375" s="1" t="s">
        <v>190</v>
      </c>
      <c r="F375" s="1" t="s">
        <v>153</v>
      </c>
      <c r="G375" s="1" t="s">
        <v>141</v>
      </c>
      <c r="H375" s="1">
        <v>1005001344</v>
      </c>
      <c r="I375" s="1" t="s">
        <v>20</v>
      </c>
      <c r="J375" s="1">
        <v>179</v>
      </c>
      <c r="K375" s="1" t="s">
        <v>142</v>
      </c>
      <c r="L375" s="1">
        <v>1001023458</v>
      </c>
      <c r="M375" s="1">
        <v>1082000002354</v>
      </c>
      <c r="N375" s="1" t="s">
        <v>144</v>
      </c>
      <c r="O375" s="1" t="s">
        <v>145</v>
      </c>
      <c r="P375" s="1" t="s">
        <v>146</v>
      </c>
      <c r="Q375" s="1" t="s">
        <v>147</v>
      </c>
      <c r="R375" s="1" t="s">
        <v>148</v>
      </c>
      <c r="S375" s="44">
        <v>5.44</v>
      </c>
      <c r="T375" s="44">
        <v>0.35</v>
      </c>
      <c r="U375" s="44">
        <v>0</v>
      </c>
      <c r="V375" s="44">
        <v>0</v>
      </c>
      <c r="W375" s="44">
        <v>0</v>
      </c>
      <c r="X375" s="45">
        <v>767710</v>
      </c>
      <c r="Y375" s="45">
        <v>107248000</v>
      </c>
      <c r="Z375" s="45"/>
      <c r="AA375" s="46">
        <v>107248000</v>
      </c>
    </row>
    <row r="376" spans="1:27" ht="15" customHeight="1">
      <c r="A376" s="1">
        <v>72</v>
      </c>
      <c r="B376" s="1" t="s">
        <v>545</v>
      </c>
      <c r="C376" s="1" t="s">
        <v>546</v>
      </c>
      <c r="D376" s="1" t="s">
        <v>535</v>
      </c>
      <c r="E376" s="1" t="s">
        <v>190</v>
      </c>
      <c r="F376" s="1" t="s">
        <v>153</v>
      </c>
      <c r="G376" s="1" t="s">
        <v>141</v>
      </c>
      <c r="H376" s="1">
        <v>1005001369</v>
      </c>
      <c r="I376" s="1" t="s">
        <v>21</v>
      </c>
      <c r="J376" s="1">
        <v>176</v>
      </c>
      <c r="K376" s="1" t="s">
        <v>142</v>
      </c>
      <c r="L376" s="1">
        <v>1001023831</v>
      </c>
      <c r="M376" s="1">
        <v>1082000002389</v>
      </c>
      <c r="N376" s="1" t="s">
        <v>144</v>
      </c>
      <c r="O376" s="1" t="s">
        <v>145</v>
      </c>
      <c r="P376" s="1" t="s">
        <v>146</v>
      </c>
      <c r="Q376" s="1" t="s">
        <v>147</v>
      </c>
      <c r="R376" s="1" t="s">
        <v>148</v>
      </c>
      <c r="S376" s="44">
        <v>5.73</v>
      </c>
      <c r="T376" s="44">
        <v>0.35</v>
      </c>
      <c r="U376" s="44">
        <v>0</v>
      </c>
      <c r="V376" s="44">
        <v>0</v>
      </c>
      <c r="W376" s="44">
        <v>0</v>
      </c>
      <c r="X376" s="45">
        <v>999820</v>
      </c>
      <c r="Y376" s="45">
        <v>197707000</v>
      </c>
      <c r="Z376" s="45"/>
      <c r="AA376" s="46">
        <v>197707000</v>
      </c>
    </row>
    <row r="377" spans="1:27" ht="15" customHeight="1">
      <c r="A377" s="1">
        <v>72</v>
      </c>
      <c r="B377" s="1" t="s">
        <v>545</v>
      </c>
      <c r="C377" s="1" t="s">
        <v>546</v>
      </c>
      <c r="D377" s="1" t="s">
        <v>535</v>
      </c>
      <c r="E377" s="1" t="s">
        <v>190</v>
      </c>
      <c r="F377" s="1" t="s">
        <v>153</v>
      </c>
      <c r="G377" s="1" t="s">
        <v>141</v>
      </c>
      <c r="H377" s="1">
        <v>1005001370</v>
      </c>
      <c r="I377" s="1" t="s">
        <v>21</v>
      </c>
      <c r="J377" s="1">
        <v>176</v>
      </c>
      <c r="K377" s="1" t="s">
        <v>142</v>
      </c>
      <c r="L377" s="1">
        <v>1001023646</v>
      </c>
      <c r="M377" s="1">
        <v>1082000002374</v>
      </c>
      <c r="N377" s="1" t="s">
        <v>144</v>
      </c>
      <c r="O377" s="1" t="s">
        <v>145</v>
      </c>
      <c r="P377" s="1" t="s">
        <v>146</v>
      </c>
      <c r="Q377" s="1" t="s">
        <v>147</v>
      </c>
      <c r="R377" s="1" t="s">
        <v>148</v>
      </c>
      <c r="S377" s="44">
        <v>5.54</v>
      </c>
      <c r="T377" s="44">
        <v>0.36</v>
      </c>
      <c r="U377" s="44">
        <v>0</v>
      </c>
      <c r="V377" s="44">
        <v>0</v>
      </c>
      <c r="W377" s="44">
        <v>0</v>
      </c>
      <c r="X377" s="45">
        <v>1000200</v>
      </c>
      <c r="Y377" s="45">
        <v>149987000</v>
      </c>
      <c r="Z377" s="45"/>
      <c r="AA377" s="46">
        <v>149987000</v>
      </c>
    </row>
    <row r="378" spans="1:27" ht="15" customHeight="1">
      <c r="A378" s="1">
        <v>72</v>
      </c>
      <c r="B378" s="1" t="s">
        <v>545</v>
      </c>
      <c r="C378" s="1" t="s">
        <v>546</v>
      </c>
      <c r="D378" s="1" t="s">
        <v>535</v>
      </c>
      <c r="E378" s="1" t="s">
        <v>190</v>
      </c>
      <c r="F378" s="1" t="s">
        <v>153</v>
      </c>
      <c r="G378" s="1" t="s">
        <v>141</v>
      </c>
      <c r="H378" s="1">
        <v>1005001400</v>
      </c>
      <c r="I378" s="1" t="s">
        <v>22</v>
      </c>
      <c r="J378" s="1">
        <v>170</v>
      </c>
      <c r="K378" s="1" t="s">
        <v>142</v>
      </c>
      <c r="L378" s="1">
        <v>1001024165</v>
      </c>
      <c r="M378" s="1">
        <v>1082000002451</v>
      </c>
      <c r="N378" s="1" t="s">
        <v>144</v>
      </c>
      <c r="O378" s="1" t="s">
        <v>145</v>
      </c>
      <c r="P378" s="1" t="s">
        <v>146</v>
      </c>
      <c r="Q378" s="1" t="s">
        <v>147</v>
      </c>
      <c r="R378" s="1" t="s">
        <v>148</v>
      </c>
      <c r="S378" s="44">
        <v>5.74</v>
      </c>
      <c r="T378" s="44">
        <v>0.33</v>
      </c>
      <c r="U378" s="44">
        <v>0</v>
      </c>
      <c r="V378" s="44">
        <v>0</v>
      </c>
      <c r="W378" s="44">
        <v>0</v>
      </c>
      <c r="X378" s="45">
        <v>999060</v>
      </c>
      <c r="Y378" s="45">
        <v>191069000</v>
      </c>
      <c r="Z378" s="45"/>
      <c r="AA378" s="46">
        <v>191069000</v>
      </c>
    </row>
    <row r="379" spans="1:27" ht="15" customHeight="1">
      <c r="A379" s="1">
        <v>72</v>
      </c>
      <c r="B379" s="1" t="s">
        <v>545</v>
      </c>
      <c r="C379" s="1" t="s">
        <v>546</v>
      </c>
      <c r="D379" s="1" t="s">
        <v>535</v>
      </c>
      <c r="E379" s="1" t="s">
        <v>190</v>
      </c>
      <c r="F379" s="1" t="s">
        <v>153</v>
      </c>
      <c r="G379" s="1" t="s">
        <v>141</v>
      </c>
      <c r="H379" s="1">
        <v>1005001401</v>
      </c>
      <c r="I379" s="1" t="s">
        <v>22</v>
      </c>
      <c r="J379" s="1">
        <v>170</v>
      </c>
      <c r="K379" s="1" t="s">
        <v>142</v>
      </c>
      <c r="L379" s="1">
        <v>1001024273</v>
      </c>
      <c r="M379" s="1">
        <v>1082000002480</v>
      </c>
      <c r="N379" s="1" t="s">
        <v>144</v>
      </c>
      <c r="O379" s="1" t="s">
        <v>145</v>
      </c>
      <c r="P379" s="1" t="s">
        <v>146</v>
      </c>
      <c r="Q379" s="1" t="s">
        <v>147</v>
      </c>
      <c r="R379" s="1" t="s">
        <v>148</v>
      </c>
      <c r="S379" s="44">
        <v>5.91</v>
      </c>
      <c r="T379" s="44">
        <v>0.34</v>
      </c>
      <c r="U379" s="44">
        <v>0</v>
      </c>
      <c r="V379" s="44">
        <v>0</v>
      </c>
      <c r="W379" s="44">
        <v>0</v>
      </c>
      <c r="X379" s="45">
        <v>995660</v>
      </c>
      <c r="Y379" s="45">
        <v>223862000</v>
      </c>
      <c r="Z379" s="45"/>
      <c r="AA379" s="46">
        <v>223862000</v>
      </c>
    </row>
    <row r="380" spans="1:27" ht="15" customHeight="1">
      <c r="A380" s="1">
        <v>72</v>
      </c>
      <c r="B380" s="1" t="s">
        <v>545</v>
      </c>
      <c r="C380" s="1" t="s">
        <v>546</v>
      </c>
      <c r="D380" s="1" t="s">
        <v>535</v>
      </c>
      <c r="E380" s="1" t="s">
        <v>190</v>
      </c>
      <c r="F380" s="1" t="s">
        <v>140</v>
      </c>
      <c r="G380" s="1" t="s">
        <v>141</v>
      </c>
      <c r="H380" s="1">
        <v>1005001450</v>
      </c>
      <c r="I380" s="1" t="s">
        <v>23</v>
      </c>
      <c r="J380" s="1">
        <v>161</v>
      </c>
      <c r="K380" s="1" t="s">
        <v>142</v>
      </c>
      <c r="L380" s="1">
        <v>1001024418</v>
      </c>
      <c r="M380" s="1">
        <v>1082000002510</v>
      </c>
      <c r="N380" s="1" t="s">
        <v>144</v>
      </c>
      <c r="O380" s="1" t="s">
        <v>145</v>
      </c>
      <c r="P380" s="1" t="s">
        <v>146</v>
      </c>
      <c r="Q380" s="1" t="s">
        <v>147</v>
      </c>
      <c r="R380" s="1" t="s">
        <v>148</v>
      </c>
      <c r="S380" s="44">
        <v>5.89</v>
      </c>
      <c r="T380" s="44">
        <v>0.32</v>
      </c>
      <c r="U380" s="44">
        <v>0</v>
      </c>
      <c r="V380" s="44">
        <v>0</v>
      </c>
      <c r="W380" s="44">
        <v>0</v>
      </c>
      <c r="X380" s="45">
        <v>900240</v>
      </c>
      <c r="Y380" s="45">
        <v>180048000</v>
      </c>
      <c r="Z380" s="45"/>
      <c r="AA380" s="46">
        <v>180048000</v>
      </c>
    </row>
    <row r="381" spans="1:27" ht="15" customHeight="1">
      <c r="A381" s="1">
        <v>72</v>
      </c>
      <c r="B381" s="1" t="s">
        <v>545</v>
      </c>
      <c r="C381" s="1" t="s">
        <v>546</v>
      </c>
      <c r="D381" s="1" t="s">
        <v>535</v>
      </c>
      <c r="E381" s="1" t="s">
        <v>190</v>
      </c>
      <c r="F381" s="1" t="s">
        <v>140</v>
      </c>
      <c r="G381" s="1" t="s">
        <v>141</v>
      </c>
      <c r="H381" s="1">
        <v>1005001468</v>
      </c>
      <c r="I381" s="1" t="s">
        <v>24</v>
      </c>
      <c r="J381" s="1">
        <v>158</v>
      </c>
      <c r="K381" s="1" t="s">
        <v>142</v>
      </c>
      <c r="L381" s="1">
        <v>1001024523</v>
      </c>
      <c r="M381" s="1">
        <v>1082000002520</v>
      </c>
      <c r="N381" s="1" t="s">
        <v>144</v>
      </c>
      <c r="O381" s="1" t="s">
        <v>145</v>
      </c>
      <c r="P381" s="1" t="s">
        <v>146</v>
      </c>
      <c r="Q381" s="1" t="s">
        <v>147</v>
      </c>
      <c r="R381" s="1" t="s">
        <v>148</v>
      </c>
      <c r="S381" s="44">
        <v>6.62</v>
      </c>
      <c r="T381" s="44">
        <v>0.32</v>
      </c>
      <c r="U381" s="44">
        <v>0</v>
      </c>
      <c r="V381" s="44">
        <v>0</v>
      </c>
      <c r="W381" s="44">
        <v>0</v>
      </c>
      <c r="X381" s="45">
        <v>172660</v>
      </c>
      <c r="Y381" s="45">
        <v>138128000</v>
      </c>
      <c r="Z381" s="45"/>
      <c r="AA381" s="46">
        <v>138128000</v>
      </c>
    </row>
    <row r="382" spans="1:27" ht="15" customHeight="1">
      <c r="A382" s="1">
        <v>72</v>
      </c>
      <c r="B382" s="1" t="s">
        <v>545</v>
      </c>
      <c r="C382" s="1" t="s">
        <v>546</v>
      </c>
      <c r="D382" s="1" t="s">
        <v>535</v>
      </c>
      <c r="E382" s="1" t="s">
        <v>268</v>
      </c>
      <c r="F382" s="1" t="s">
        <v>140</v>
      </c>
      <c r="G382" s="1" t="s">
        <v>141</v>
      </c>
      <c r="H382" s="1">
        <v>1005001689</v>
      </c>
      <c r="I382" s="1" t="s">
        <v>49</v>
      </c>
      <c r="J382" s="1">
        <v>126</v>
      </c>
      <c r="K382" s="1" t="s">
        <v>142</v>
      </c>
      <c r="L382" s="1">
        <v>1001025299</v>
      </c>
      <c r="M382" s="1">
        <v>1082000002632</v>
      </c>
      <c r="N382" s="1" t="s">
        <v>271</v>
      </c>
      <c r="O382" s="1" t="s">
        <v>179</v>
      </c>
      <c r="P382" s="1" t="s">
        <v>146</v>
      </c>
      <c r="Q382" s="1" t="s">
        <v>147</v>
      </c>
      <c r="R382" s="1" t="s">
        <v>148</v>
      </c>
      <c r="S382" s="44">
        <v>0</v>
      </c>
      <c r="T382" s="44">
        <v>20.329999999999998</v>
      </c>
      <c r="U382" s="44">
        <v>0.9</v>
      </c>
      <c r="V382" s="44">
        <v>0</v>
      </c>
      <c r="W382" s="44">
        <v>0</v>
      </c>
      <c r="X382" s="45">
        <v>22.11</v>
      </c>
      <c r="Y382" s="45">
        <v>19346</v>
      </c>
      <c r="Z382" s="45"/>
      <c r="AA382" s="46">
        <v>19346</v>
      </c>
    </row>
    <row r="383" spans="1:27" ht="15" customHeight="1">
      <c r="A383" s="1">
        <v>72</v>
      </c>
      <c r="B383" s="1" t="s">
        <v>545</v>
      </c>
      <c r="C383" s="1" t="s">
        <v>546</v>
      </c>
      <c r="D383" s="1" t="s">
        <v>535</v>
      </c>
      <c r="E383" s="1" t="s">
        <v>190</v>
      </c>
      <c r="F383" s="1" t="s">
        <v>153</v>
      </c>
      <c r="G383" s="1" t="s">
        <v>141</v>
      </c>
      <c r="H383" s="1">
        <v>1005001875</v>
      </c>
      <c r="I383" s="1" t="s">
        <v>25</v>
      </c>
      <c r="J383" s="1">
        <v>95</v>
      </c>
      <c r="K383" s="1" t="s">
        <v>142</v>
      </c>
      <c r="L383" s="1">
        <v>1001025288</v>
      </c>
      <c r="M383" s="1">
        <v>1082000002629</v>
      </c>
      <c r="N383" s="1" t="s">
        <v>144</v>
      </c>
      <c r="O383" s="1" t="s">
        <v>145</v>
      </c>
      <c r="P383" s="1" t="s">
        <v>146</v>
      </c>
      <c r="Q383" s="1" t="s">
        <v>147</v>
      </c>
      <c r="R383" s="1" t="s">
        <v>148</v>
      </c>
      <c r="S383" s="44">
        <v>4.6100000000000003</v>
      </c>
      <c r="T383" s="44">
        <v>0.55000000000000004</v>
      </c>
      <c r="U383" s="44">
        <v>0</v>
      </c>
      <c r="V383" s="44">
        <v>0</v>
      </c>
      <c r="W383" s="44">
        <v>0</v>
      </c>
      <c r="X383" s="45">
        <v>7.11</v>
      </c>
      <c r="Y383" s="45">
        <v>106444</v>
      </c>
      <c r="Z383" s="45"/>
      <c r="AA383" s="46">
        <v>106444</v>
      </c>
    </row>
    <row r="384" spans="1:27" ht="15" customHeight="1">
      <c r="A384" s="1">
        <v>72</v>
      </c>
      <c r="B384" s="1" t="s">
        <v>545</v>
      </c>
      <c r="C384" s="1" t="s">
        <v>546</v>
      </c>
      <c r="D384" s="1" t="s">
        <v>535</v>
      </c>
      <c r="E384" s="1" t="s">
        <v>190</v>
      </c>
      <c r="F384" s="1" t="s">
        <v>153</v>
      </c>
      <c r="G384" s="1" t="s">
        <v>141</v>
      </c>
      <c r="H384" s="1">
        <v>1005002047</v>
      </c>
      <c r="I384" s="1" t="s">
        <v>26</v>
      </c>
      <c r="J384" s="1">
        <v>67</v>
      </c>
      <c r="K384" s="1" t="s">
        <v>142</v>
      </c>
      <c r="L384" s="1">
        <v>1001026390</v>
      </c>
      <c r="M384" s="1">
        <v>1082000002790</v>
      </c>
      <c r="N384" s="1" t="s">
        <v>144</v>
      </c>
      <c r="O384" s="1" t="s">
        <v>145</v>
      </c>
      <c r="P384" s="1" t="s">
        <v>146</v>
      </c>
      <c r="Q384" s="1" t="s">
        <v>147</v>
      </c>
      <c r="R384" s="1" t="s">
        <v>148</v>
      </c>
      <c r="S384" s="44">
        <v>5.13</v>
      </c>
      <c r="T384" s="44">
        <v>0.49</v>
      </c>
      <c r="U384" s="44">
        <v>0</v>
      </c>
      <c r="V384" s="44">
        <v>0</v>
      </c>
      <c r="W384" s="44">
        <v>0</v>
      </c>
      <c r="X384" s="45">
        <v>17300</v>
      </c>
      <c r="Y384" s="45">
        <v>1730000</v>
      </c>
      <c r="Z384" s="45"/>
      <c r="AA384" s="46">
        <v>1730000</v>
      </c>
    </row>
    <row r="385" spans="1:27" ht="15" customHeight="1">
      <c r="A385" s="1">
        <v>72</v>
      </c>
      <c r="B385" s="1" t="s">
        <v>545</v>
      </c>
      <c r="C385" s="1" t="s">
        <v>546</v>
      </c>
      <c r="D385" s="1" t="s">
        <v>535</v>
      </c>
      <c r="E385" s="1" t="s">
        <v>190</v>
      </c>
      <c r="F385" s="1" t="s">
        <v>153</v>
      </c>
      <c r="G385" s="1" t="s">
        <v>141</v>
      </c>
      <c r="H385" s="1">
        <v>1005002048</v>
      </c>
      <c r="I385" s="1" t="s">
        <v>26</v>
      </c>
      <c r="J385" s="1">
        <v>67</v>
      </c>
      <c r="K385" s="1" t="s">
        <v>142</v>
      </c>
      <c r="L385" s="1">
        <v>1001025504</v>
      </c>
      <c r="M385" s="1">
        <v>1082000002653</v>
      </c>
      <c r="N385" s="1" t="s">
        <v>144</v>
      </c>
      <c r="O385" s="1" t="s">
        <v>145</v>
      </c>
      <c r="P385" s="1" t="s">
        <v>146</v>
      </c>
      <c r="Q385" s="1" t="s">
        <v>147</v>
      </c>
      <c r="R385" s="1" t="s">
        <v>148</v>
      </c>
      <c r="S385" s="44">
        <v>4.7300000000000004</v>
      </c>
      <c r="T385" s="44">
        <v>0.86</v>
      </c>
      <c r="U385" s="44">
        <v>0</v>
      </c>
      <c r="V385" s="44">
        <v>0</v>
      </c>
      <c r="W385" s="44">
        <v>0</v>
      </c>
      <c r="X385" s="45">
        <v>130.79</v>
      </c>
      <c r="Y385" s="45">
        <v>1918951</v>
      </c>
      <c r="Z385" s="45"/>
      <c r="AA385" s="46">
        <v>1918951</v>
      </c>
    </row>
    <row r="386" spans="1:27" ht="15" customHeight="1">
      <c r="A386" s="1">
        <v>72</v>
      </c>
      <c r="B386" s="1" t="s">
        <v>545</v>
      </c>
      <c r="C386" s="1" t="s">
        <v>546</v>
      </c>
      <c r="D386" s="1" t="s">
        <v>535</v>
      </c>
      <c r="E386" s="1" t="s">
        <v>190</v>
      </c>
      <c r="F386" s="1" t="s">
        <v>153</v>
      </c>
      <c r="G386" s="1" t="s">
        <v>141</v>
      </c>
      <c r="H386" s="1">
        <v>1005002119</v>
      </c>
      <c r="I386" s="1" t="s">
        <v>27</v>
      </c>
      <c r="J386" s="1">
        <v>60</v>
      </c>
      <c r="K386" s="1" t="s">
        <v>142</v>
      </c>
      <c r="L386" s="1">
        <v>1001026516</v>
      </c>
      <c r="M386" s="1">
        <v>1082000002804</v>
      </c>
      <c r="N386" s="1" t="s">
        <v>144</v>
      </c>
      <c r="O386" s="1" t="s">
        <v>145</v>
      </c>
      <c r="P386" s="1" t="s">
        <v>146</v>
      </c>
      <c r="Q386" s="1" t="s">
        <v>147</v>
      </c>
      <c r="R386" s="1" t="s">
        <v>148</v>
      </c>
      <c r="S386" s="44">
        <v>5.37</v>
      </c>
      <c r="T386" s="44">
        <v>0.52</v>
      </c>
      <c r="U386" s="44">
        <v>0</v>
      </c>
      <c r="V386" s="44">
        <v>0</v>
      </c>
      <c r="W386" s="44">
        <v>0</v>
      </c>
      <c r="X386" s="45">
        <v>99830</v>
      </c>
      <c r="Y386" s="45">
        <v>9983000</v>
      </c>
      <c r="Z386" s="45"/>
      <c r="AA386" s="46">
        <v>9983000</v>
      </c>
    </row>
    <row r="387" spans="1:27" ht="15" customHeight="1">
      <c r="A387" s="1">
        <v>72</v>
      </c>
      <c r="B387" s="1" t="s">
        <v>545</v>
      </c>
      <c r="C387" s="1" t="s">
        <v>546</v>
      </c>
      <c r="D387" s="1" t="s">
        <v>535</v>
      </c>
      <c r="E387" s="1" t="s">
        <v>190</v>
      </c>
      <c r="F387" s="1" t="s">
        <v>153</v>
      </c>
      <c r="G387" s="1" t="s">
        <v>141</v>
      </c>
      <c r="H387" s="1">
        <v>1005002120</v>
      </c>
      <c r="I387" s="1" t="s">
        <v>27</v>
      </c>
      <c r="J387" s="1">
        <v>60</v>
      </c>
      <c r="K387" s="1" t="s">
        <v>142</v>
      </c>
      <c r="L387" s="1">
        <v>1001026516</v>
      </c>
      <c r="M387" s="1">
        <v>1082000002804</v>
      </c>
      <c r="N387" s="1" t="s">
        <v>144</v>
      </c>
      <c r="O387" s="1" t="s">
        <v>145</v>
      </c>
      <c r="P387" s="1" t="s">
        <v>146</v>
      </c>
      <c r="Q387" s="1" t="s">
        <v>147</v>
      </c>
      <c r="R387" s="1" t="s">
        <v>148</v>
      </c>
      <c r="S387" s="44">
        <v>5.36</v>
      </c>
      <c r="T387" s="44">
        <v>0.65</v>
      </c>
      <c r="U387" s="44">
        <v>0</v>
      </c>
      <c r="V387" s="44">
        <v>0</v>
      </c>
      <c r="W387" s="44">
        <v>0</v>
      </c>
      <c r="X387" s="45">
        <v>25.76</v>
      </c>
      <c r="Y387" s="45">
        <v>373391</v>
      </c>
      <c r="Z387" s="45"/>
      <c r="AA387" s="46">
        <v>373391</v>
      </c>
    </row>
    <row r="388" spans="1:27" ht="15" customHeight="1">
      <c r="A388" s="1">
        <v>72</v>
      </c>
      <c r="B388" s="1" t="s">
        <v>545</v>
      </c>
      <c r="C388" s="1" t="s">
        <v>546</v>
      </c>
      <c r="D388" s="1" t="s">
        <v>535</v>
      </c>
      <c r="E388" s="1" t="s">
        <v>276</v>
      </c>
      <c r="F388" s="1" t="s">
        <v>170</v>
      </c>
      <c r="G388" s="1" t="s">
        <v>141</v>
      </c>
      <c r="H388" s="1">
        <v>1005002222</v>
      </c>
      <c r="I388" s="1" t="s">
        <v>51</v>
      </c>
      <c r="J388" s="1">
        <v>43</v>
      </c>
      <c r="K388" s="1" t="s">
        <v>171</v>
      </c>
      <c r="L388" s="1">
        <v>1001026178</v>
      </c>
      <c r="M388" s="1">
        <v>1082000002752</v>
      </c>
      <c r="N388" s="1" t="s">
        <v>178</v>
      </c>
      <c r="O388" s="1" t="s">
        <v>179</v>
      </c>
      <c r="P388" s="1" t="s">
        <v>146</v>
      </c>
      <c r="Q388" s="1" t="s">
        <v>147</v>
      </c>
      <c r="R388" s="1" t="s">
        <v>148</v>
      </c>
      <c r="S388" s="44">
        <v>0</v>
      </c>
      <c r="T388" s="44">
        <v>21.07</v>
      </c>
      <c r="U388" s="44">
        <v>0.79</v>
      </c>
      <c r="V388" s="44">
        <v>0</v>
      </c>
      <c r="W388" s="44">
        <v>0</v>
      </c>
      <c r="X388" s="45">
        <v>5329.66</v>
      </c>
      <c r="Y388" s="45">
        <v>6662076</v>
      </c>
      <c r="Z388" s="45"/>
      <c r="AA388" s="46">
        <v>6662076</v>
      </c>
    </row>
    <row r="389" spans="1:27" ht="15" customHeight="1">
      <c r="A389" s="1">
        <v>72</v>
      </c>
      <c r="B389" s="1" t="s">
        <v>545</v>
      </c>
      <c r="C389" s="1" t="s">
        <v>546</v>
      </c>
      <c r="D389" s="1" t="s">
        <v>535</v>
      </c>
      <c r="E389" s="1" t="s">
        <v>547</v>
      </c>
      <c r="F389" s="1" t="s">
        <v>170</v>
      </c>
      <c r="G389" s="1" t="s">
        <v>141</v>
      </c>
      <c r="H389" s="1">
        <v>1005002331</v>
      </c>
      <c r="I389" s="1" t="s">
        <v>80</v>
      </c>
      <c r="J389" s="1">
        <v>30</v>
      </c>
      <c r="K389" s="1" t="s">
        <v>171</v>
      </c>
      <c r="L389" s="1">
        <v>1001026048</v>
      </c>
      <c r="M389" s="1">
        <v>1082000002725</v>
      </c>
      <c r="N389" s="1" t="s">
        <v>178</v>
      </c>
      <c r="O389" s="1" t="s">
        <v>179</v>
      </c>
      <c r="P389" s="1" t="s">
        <v>146</v>
      </c>
      <c r="Q389" s="1" t="s">
        <v>147</v>
      </c>
      <c r="R389" s="1" t="s">
        <v>148</v>
      </c>
      <c r="S389" s="44">
        <v>0</v>
      </c>
      <c r="T389" s="44">
        <v>20.3</v>
      </c>
      <c r="U389" s="44">
        <v>0.69</v>
      </c>
      <c r="V389" s="44">
        <v>0</v>
      </c>
      <c r="W389" s="44">
        <v>0</v>
      </c>
      <c r="X389" s="45">
        <v>85.59</v>
      </c>
      <c r="Y389" s="45">
        <v>107843</v>
      </c>
      <c r="Z389" s="45"/>
      <c r="AA389" s="46">
        <v>107843</v>
      </c>
    </row>
    <row r="390" spans="1:27" ht="15" customHeight="1">
      <c r="A390" s="1">
        <v>72</v>
      </c>
      <c r="B390" s="1" t="s">
        <v>545</v>
      </c>
      <c r="C390" s="1" t="s">
        <v>546</v>
      </c>
      <c r="D390" s="1" t="s">
        <v>535</v>
      </c>
      <c r="E390" s="1" t="s">
        <v>548</v>
      </c>
      <c r="F390" s="1" t="s">
        <v>170</v>
      </c>
      <c r="G390" s="1" t="s">
        <v>141</v>
      </c>
      <c r="H390" s="1">
        <v>1005002370</v>
      </c>
      <c r="I390" s="1" t="s">
        <v>60</v>
      </c>
      <c r="J390" s="1">
        <v>21</v>
      </c>
      <c r="K390" s="1" t="s">
        <v>171</v>
      </c>
      <c r="L390" s="1">
        <v>1001025786</v>
      </c>
      <c r="M390" s="1">
        <v>1082000002688</v>
      </c>
      <c r="N390" s="1" t="s">
        <v>178</v>
      </c>
      <c r="O390" s="1" t="s">
        <v>179</v>
      </c>
      <c r="P390" s="1" t="s">
        <v>146</v>
      </c>
      <c r="Q390" s="1" t="s">
        <v>147</v>
      </c>
      <c r="R390" s="1" t="s">
        <v>148</v>
      </c>
      <c r="S390" s="44">
        <v>0</v>
      </c>
      <c r="T390" s="44">
        <v>20.56</v>
      </c>
      <c r="U390" s="44">
        <v>0.84</v>
      </c>
      <c r="V390" s="44">
        <v>0</v>
      </c>
      <c r="W390" s="44">
        <v>0</v>
      </c>
      <c r="X390" s="45">
        <v>1442.64</v>
      </c>
      <c r="Y390" s="45">
        <v>1861005</v>
      </c>
      <c r="Z390" s="45"/>
      <c r="AA390" s="46">
        <v>1861005</v>
      </c>
    </row>
    <row r="391" spans="1:27" ht="15" customHeight="1">
      <c r="A391" s="1">
        <v>72</v>
      </c>
      <c r="B391" s="1" t="s">
        <v>545</v>
      </c>
      <c r="C391" s="1" t="s">
        <v>546</v>
      </c>
      <c r="D391" s="1" t="s">
        <v>535</v>
      </c>
      <c r="E391" s="1" t="s">
        <v>151</v>
      </c>
      <c r="F391" s="1" t="s">
        <v>153</v>
      </c>
      <c r="G391" s="1" t="s">
        <v>141</v>
      </c>
      <c r="H391" s="1">
        <v>1005002458</v>
      </c>
      <c r="I391" s="1" t="s">
        <v>9</v>
      </c>
      <c r="J391" s="1">
        <v>9</v>
      </c>
      <c r="K391" s="1" t="s">
        <v>142</v>
      </c>
      <c r="L391" s="1">
        <v>1001026945</v>
      </c>
      <c r="M391" s="1">
        <v>1082000002869</v>
      </c>
      <c r="N391" s="1" t="s">
        <v>144</v>
      </c>
      <c r="O391" s="1" t="s">
        <v>145</v>
      </c>
      <c r="P391" s="1" t="s">
        <v>146</v>
      </c>
      <c r="Q391" s="1" t="s">
        <v>147</v>
      </c>
      <c r="R391" s="1" t="s">
        <v>148</v>
      </c>
      <c r="S391" s="44">
        <v>5.87</v>
      </c>
      <c r="T391" s="44">
        <v>0.21299999999999999</v>
      </c>
      <c r="U391" s="44">
        <v>0</v>
      </c>
      <c r="V391" s="44">
        <v>0</v>
      </c>
      <c r="W391" s="44">
        <v>0</v>
      </c>
      <c r="X391" s="45">
        <v>2000451</v>
      </c>
      <c r="Y391" s="45">
        <v>400090200</v>
      </c>
      <c r="Z391" s="45"/>
      <c r="AA391" s="46">
        <v>400090200</v>
      </c>
    </row>
    <row r="392" spans="1:27" ht="15" customHeight="1">
      <c r="A392" s="1">
        <v>72</v>
      </c>
      <c r="B392" s="1" t="s">
        <v>545</v>
      </c>
      <c r="C392" s="1" t="s">
        <v>546</v>
      </c>
      <c r="D392" s="1" t="s">
        <v>535</v>
      </c>
      <c r="E392" s="1" t="s">
        <v>151</v>
      </c>
      <c r="F392" s="1" t="s">
        <v>153</v>
      </c>
      <c r="G392" s="1" t="s">
        <v>141</v>
      </c>
      <c r="H392" s="1">
        <v>1005002459</v>
      </c>
      <c r="I392" s="1" t="s">
        <v>9</v>
      </c>
      <c r="J392" s="1">
        <v>9</v>
      </c>
      <c r="K392" s="1" t="s">
        <v>142</v>
      </c>
      <c r="L392" s="1">
        <v>1001026945</v>
      </c>
      <c r="M392" s="1">
        <v>1082000002869</v>
      </c>
      <c r="N392" s="1" t="s">
        <v>144</v>
      </c>
      <c r="O392" s="1" t="s">
        <v>145</v>
      </c>
      <c r="P392" s="1" t="s">
        <v>146</v>
      </c>
      <c r="Q392" s="1" t="s">
        <v>147</v>
      </c>
      <c r="R392" s="1" t="s">
        <v>148</v>
      </c>
      <c r="S392" s="44">
        <v>5.66</v>
      </c>
      <c r="T392" s="44">
        <v>0.23</v>
      </c>
      <c r="U392" s="44">
        <v>0</v>
      </c>
      <c r="V392" s="44">
        <v>0</v>
      </c>
      <c r="W392" s="44">
        <v>0</v>
      </c>
      <c r="X392" s="45">
        <v>2000000</v>
      </c>
      <c r="Y392" s="45">
        <v>400000000</v>
      </c>
      <c r="Z392" s="45"/>
      <c r="AA392" s="46">
        <v>400000000</v>
      </c>
    </row>
    <row r="393" spans="1:27" ht="15" customHeight="1">
      <c r="A393" s="1">
        <v>72</v>
      </c>
      <c r="B393" s="1" t="s">
        <v>545</v>
      </c>
      <c r="C393" s="1" t="s">
        <v>546</v>
      </c>
      <c r="D393" s="1" t="s">
        <v>535</v>
      </c>
      <c r="E393" s="1" t="s">
        <v>190</v>
      </c>
      <c r="F393" s="1" t="s">
        <v>153</v>
      </c>
      <c r="G393" s="1" t="s">
        <v>141</v>
      </c>
      <c r="H393" s="1">
        <v>1005001365</v>
      </c>
      <c r="I393" s="1" t="s">
        <v>21</v>
      </c>
      <c r="J393" s="1">
        <v>176</v>
      </c>
      <c r="K393" s="1" t="s">
        <v>142</v>
      </c>
      <c r="L393" s="1">
        <v>1001023947</v>
      </c>
      <c r="M393" s="1">
        <v>1082000002406</v>
      </c>
      <c r="N393" s="1" t="s">
        <v>144</v>
      </c>
      <c r="O393" s="1" t="s">
        <v>145</v>
      </c>
      <c r="P393" s="1" t="s">
        <v>146</v>
      </c>
      <c r="Q393" s="1" t="s">
        <v>147</v>
      </c>
      <c r="R393" s="1" t="s">
        <v>148</v>
      </c>
      <c r="S393" s="44">
        <v>5.17</v>
      </c>
      <c r="T393" s="44">
        <v>0.32</v>
      </c>
      <c r="U393" s="44">
        <v>0</v>
      </c>
      <c r="V393" s="44">
        <v>0</v>
      </c>
      <c r="W393" s="44">
        <v>0</v>
      </c>
      <c r="X393" s="45">
        <v>999870</v>
      </c>
      <c r="Y393" s="45">
        <v>105125000</v>
      </c>
      <c r="Z393" s="45"/>
      <c r="AA393" s="46">
        <v>105125000</v>
      </c>
    </row>
    <row r="394" spans="1:27" ht="15" customHeight="1">
      <c r="A394" s="56"/>
      <c r="B394" s="56" t="s">
        <v>149</v>
      </c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7"/>
      <c r="T394" s="57"/>
      <c r="U394" s="57"/>
      <c r="V394" s="57"/>
      <c r="W394" s="57"/>
      <c r="X394" s="58">
        <f>SUM(X364:X393)</f>
        <v>16460421.109999998</v>
      </c>
      <c r="Y394" s="58">
        <f t="shared" ref="Y394:AA394" si="70">SUM(Y364:Y393)</f>
        <v>3085952456</v>
      </c>
      <c r="Z394" s="58">
        <f t="shared" si="70"/>
        <v>0</v>
      </c>
      <c r="AA394" s="58">
        <f t="shared" si="70"/>
        <v>3085952456</v>
      </c>
    </row>
    <row r="395" spans="1:27" ht="15" customHeight="1">
      <c r="A395" s="1">
        <v>73</v>
      </c>
      <c r="B395" s="1" t="s">
        <v>549</v>
      </c>
      <c r="C395" s="1" t="s">
        <v>550</v>
      </c>
      <c r="D395" s="1" t="s">
        <v>535</v>
      </c>
      <c r="E395" s="1" t="s">
        <v>551</v>
      </c>
      <c r="F395" s="1" t="s">
        <v>183</v>
      </c>
      <c r="G395" s="1" t="s">
        <v>141</v>
      </c>
      <c r="H395" s="1">
        <v>1005001905</v>
      </c>
      <c r="I395" s="1" t="s">
        <v>102</v>
      </c>
      <c r="J395" s="1">
        <v>88</v>
      </c>
      <c r="K395" s="1" t="s">
        <v>184</v>
      </c>
      <c r="L395" s="1">
        <v>1001025626</v>
      </c>
      <c r="M395" s="1">
        <v>1152000000506</v>
      </c>
      <c r="N395" s="1" t="s">
        <v>334</v>
      </c>
      <c r="O395" s="1" t="s">
        <v>297</v>
      </c>
      <c r="P395" s="1" t="s">
        <v>146</v>
      </c>
      <c r="Q395" s="1" t="s">
        <v>147</v>
      </c>
      <c r="R395" s="1" t="s">
        <v>148</v>
      </c>
      <c r="S395" s="44">
        <v>12.73</v>
      </c>
      <c r="T395" s="44">
        <v>0.31</v>
      </c>
      <c r="U395" s="44">
        <v>0</v>
      </c>
      <c r="V395" s="44">
        <v>0</v>
      </c>
      <c r="W395" s="44">
        <v>0</v>
      </c>
      <c r="X395" s="45">
        <v>343500</v>
      </c>
      <c r="Y395" s="45">
        <v>16831500</v>
      </c>
      <c r="Z395" s="45"/>
      <c r="AA395" s="46">
        <v>16831500</v>
      </c>
    </row>
    <row r="396" spans="1:27" ht="15" customHeight="1">
      <c r="A396" s="1">
        <v>73</v>
      </c>
      <c r="B396" s="1" t="s">
        <v>549</v>
      </c>
      <c r="C396" s="1" t="s">
        <v>550</v>
      </c>
      <c r="D396" s="1" t="s">
        <v>535</v>
      </c>
      <c r="E396" s="1" t="s">
        <v>550</v>
      </c>
      <c r="F396" s="1" t="s">
        <v>183</v>
      </c>
      <c r="G396" s="1" t="s">
        <v>141</v>
      </c>
      <c r="H396" s="1">
        <v>1005002479</v>
      </c>
      <c r="I396" s="1" t="s">
        <v>48</v>
      </c>
      <c r="J396" s="1">
        <v>7</v>
      </c>
      <c r="K396" s="1" t="s">
        <v>184</v>
      </c>
      <c r="L396" s="1">
        <v>1001027596</v>
      </c>
      <c r="M396" s="1">
        <v>1152000000550</v>
      </c>
      <c r="N396" s="1" t="s">
        <v>144</v>
      </c>
      <c r="O396" s="1" t="s">
        <v>145</v>
      </c>
      <c r="P396" s="1" t="s">
        <v>146</v>
      </c>
      <c r="Q396" s="1" t="s">
        <v>147</v>
      </c>
      <c r="R396" s="1" t="s">
        <v>148</v>
      </c>
      <c r="S396" s="44">
        <v>4.66</v>
      </c>
      <c r="T396" s="44">
        <v>0.6</v>
      </c>
      <c r="U396" s="44">
        <v>0</v>
      </c>
      <c r="V396" s="44">
        <v>0</v>
      </c>
      <c r="W396" s="44">
        <v>0</v>
      </c>
      <c r="X396" s="45">
        <v>7.34</v>
      </c>
      <c r="Y396" s="45">
        <v>110724</v>
      </c>
      <c r="Z396" s="45"/>
      <c r="AA396" s="46">
        <v>110724</v>
      </c>
    </row>
    <row r="397" spans="1:27" ht="15" customHeight="1">
      <c r="A397" s="56"/>
      <c r="B397" s="56" t="s">
        <v>149</v>
      </c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7"/>
      <c r="T397" s="57"/>
      <c r="U397" s="57"/>
      <c r="V397" s="57"/>
      <c r="W397" s="57"/>
      <c r="X397" s="58">
        <f>SUM(X395:X396)</f>
        <v>343507.34</v>
      </c>
      <c r="Y397" s="58">
        <f t="shared" ref="Y397:AA397" si="71">SUM(Y395:Y396)</f>
        <v>16942224</v>
      </c>
      <c r="Z397" s="58">
        <f t="shared" si="71"/>
        <v>0</v>
      </c>
      <c r="AA397" s="58">
        <f t="shared" si="71"/>
        <v>16942224</v>
      </c>
    </row>
    <row r="398" spans="1:27" ht="15" customHeight="1">
      <c r="A398" s="1">
        <v>74</v>
      </c>
      <c r="B398" s="1" t="s">
        <v>552</v>
      </c>
      <c r="C398" s="1" t="s">
        <v>553</v>
      </c>
      <c r="D398" s="1" t="s">
        <v>535</v>
      </c>
      <c r="E398" s="1" t="s">
        <v>551</v>
      </c>
      <c r="F398" s="1" t="s">
        <v>183</v>
      </c>
      <c r="G398" s="1" t="s">
        <v>141</v>
      </c>
      <c r="H398" s="1">
        <v>1005001906</v>
      </c>
      <c r="I398" s="1" t="s">
        <v>102</v>
      </c>
      <c r="J398" s="1">
        <v>88</v>
      </c>
      <c r="K398" s="1" t="s">
        <v>184</v>
      </c>
      <c r="L398" s="1">
        <v>1001025610</v>
      </c>
      <c r="M398" s="1">
        <v>1202000000509</v>
      </c>
      <c r="N398" s="1" t="s">
        <v>334</v>
      </c>
      <c r="O398" s="1" t="s">
        <v>297</v>
      </c>
      <c r="P398" s="1" t="s">
        <v>146</v>
      </c>
      <c r="Q398" s="1" t="s">
        <v>147</v>
      </c>
      <c r="R398" s="1" t="s">
        <v>148</v>
      </c>
      <c r="S398" s="44">
        <v>12.73</v>
      </c>
      <c r="T398" s="44">
        <v>0.31</v>
      </c>
      <c r="U398" s="44">
        <v>0</v>
      </c>
      <c r="V398" s="44">
        <v>0</v>
      </c>
      <c r="W398" s="44">
        <v>0</v>
      </c>
      <c r="X398" s="45">
        <v>394660</v>
      </c>
      <c r="Y398" s="45">
        <v>19338340</v>
      </c>
      <c r="Z398" s="45"/>
      <c r="AA398" s="46">
        <v>19338340</v>
      </c>
    </row>
    <row r="399" spans="1:27" ht="15" customHeight="1">
      <c r="A399" s="1">
        <v>74</v>
      </c>
      <c r="B399" s="1" t="s">
        <v>552</v>
      </c>
      <c r="C399" s="1" t="s">
        <v>553</v>
      </c>
      <c r="D399" s="1" t="s">
        <v>535</v>
      </c>
      <c r="E399" s="1" t="s">
        <v>553</v>
      </c>
      <c r="F399" s="1" t="s">
        <v>183</v>
      </c>
      <c r="G399" s="1" t="s">
        <v>141</v>
      </c>
      <c r="H399" s="1">
        <v>1005002350</v>
      </c>
      <c r="I399" s="1" t="s">
        <v>47</v>
      </c>
      <c r="J399" s="1">
        <v>25</v>
      </c>
      <c r="K399" s="1" t="s">
        <v>184</v>
      </c>
      <c r="L399" s="1">
        <v>1001027228</v>
      </c>
      <c r="M399" s="1">
        <v>1202000000539</v>
      </c>
      <c r="N399" s="1" t="s">
        <v>144</v>
      </c>
      <c r="O399" s="1" t="s">
        <v>145</v>
      </c>
      <c r="P399" s="1" t="s">
        <v>146</v>
      </c>
      <c r="Q399" s="1" t="s">
        <v>147</v>
      </c>
      <c r="R399" s="1" t="s">
        <v>148</v>
      </c>
      <c r="S399" s="44">
        <v>5.08</v>
      </c>
      <c r="T399" s="44">
        <v>0.32</v>
      </c>
      <c r="U399" s="44">
        <v>0</v>
      </c>
      <c r="V399" s="44">
        <v>0</v>
      </c>
      <c r="W399" s="44">
        <v>0</v>
      </c>
      <c r="X399" s="45">
        <v>73620</v>
      </c>
      <c r="Y399" s="45">
        <v>7362000</v>
      </c>
      <c r="Z399" s="45"/>
      <c r="AA399" s="46">
        <v>7362000</v>
      </c>
    </row>
    <row r="400" spans="1:27" ht="15" customHeight="1">
      <c r="A400" s="1">
        <v>74</v>
      </c>
      <c r="B400" s="1" t="s">
        <v>552</v>
      </c>
      <c r="C400" s="1" t="s">
        <v>553</v>
      </c>
      <c r="D400" s="1" t="s">
        <v>535</v>
      </c>
      <c r="E400" s="1" t="s">
        <v>553</v>
      </c>
      <c r="F400" s="1" t="s">
        <v>183</v>
      </c>
      <c r="G400" s="1" t="s">
        <v>141</v>
      </c>
      <c r="H400" s="1">
        <v>1005002478</v>
      </c>
      <c r="I400" s="1" t="s">
        <v>48</v>
      </c>
      <c r="J400" s="1">
        <v>7</v>
      </c>
      <c r="K400" s="1" t="s">
        <v>184</v>
      </c>
      <c r="L400" s="1">
        <v>1001027824</v>
      </c>
      <c r="M400" s="1">
        <v>1202000000547</v>
      </c>
      <c r="N400" s="1" t="s">
        <v>144</v>
      </c>
      <c r="O400" s="1" t="s">
        <v>145</v>
      </c>
      <c r="P400" s="1" t="s">
        <v>146</v>
      </c>
      <c r="Q400" s="1" t="s">
        <v>147</v>
      </c>
      <c r="R400" s="1" t="s">
        <v>148</v>
      </c>
      <c r="S400" s="44">
        <v>5.1100000000000003</v>
      </c>
      <c r="T400" s="44">
        <v>0.3</v>
      </c>
      <c r="U400" s="44">
        <v>0</v>
      </c>
      <c r="V400" s="44">
        <v>0</v>
      </c>
      <c r="W400" s="44">
        <v>0</v>
      </c>
      <c r="X400" s="45">
        <v>60700</v>
      </c>
      <c r="Y400" s="45">
        <v>6070000</v>
      </c>
      <c r="Z400" s="45"/>
      <c r="AA400" s="46">
        <v>6070000</v>
      </c>
    </row>
    <row r="401" spans="1:27" ht="15" customHeight="1">
      <c r="A401" s="56"/>
      <c r="B401" s="56" t="s">
        <v>149</v>
      </c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7"/>
      <c r="T401" s="57"/>
      <c r="U401" s="57"/>
      <c r="V401" s="57"/>
      <c r="W401" s="57"/>
      <c r="X401" s="58">
        <f>SUM(X398:X400)</f>
        <v>528980</v>
      </c>
      <c r="Y401" s="58">
        <f t="shared" ref="Y401:AA401" si="72">SUM(Y398:Y400)</f>
        <v>32770340</v>
      </c>
      <c r="Z401" s="58">
        <f t="shared" si="72"/>
        <v>0</v>
      </c>
      <c r="AA401" s="58">
        <f t="shared" si="72"/>
        <v>32770340</v>
      </c>
    </row>
    <row r="402" spans="1:27" ht="15" customHeight="1">
      <c r="A402" s="1">
        <v>75</v>
      </c>
      <c r="B402" s="1" t="s">
        <v>554</v>
      </c>
      <c r="C402" s="1" t="s">
        <v>555</v>
      </c>
      <c r="D402" s="1" t="s">
        <v>535</v>
      </c>
      <c r="E402" s="1" t="s">
        <v>538</v>
      </c>
      <c r="F402" s="1" t="s">
        <v>140</v>
      </c>
      <c r="G402" s="1" t="s">
        <v>141</v>
      </c>
      <c r="H402" s="1">
        <v>1675</v>
      </c>
      <c r="I402" s="1" t="s">
        <v>103</v>
      </c>
      <c r="J402" s="1">
        <v>493</v>
      </c>
      <c r="K402" s="1" t="s">
        <v>142</v>
      </c>
      <c r="L402" s="1">
        <v>1001018058</v>
      </c>
      <c r="M402" s="1">
        <v>1142000002102</v>
      </c>
      <c r="N402" s="1" t="s">
        <v>144</v>
      </c>
      <c r="O402" s="1" t="s">
        <v>145</v>
      </c>
      <c r="P402" s="1" t="s">
        <v>146</v>
      </c>
      <c r="Q402" s="1" t="s">
        <v>147</v>
      </c>
      <c r="R402" s="1" t="s">
        <v>148</v>
      </c>
      <c r="S402" s="44">
        <v>0</v>
      </c>
      <c r="T402" s="44">
        <v>0</v>
      </c>
      <c r="U402" s="44">
        <v>0</v>
      </c>
      <c r="V402" s="44">
        <v>0</v>
      </c>
      <c r="W402" s="44">
        <v>0</v>
      </c>
      <c r="X402" s="45">
        <v>87.78</v>
      </c>
      <c r="Y402" s="45">
        <v>1171161</v>
      </c>
      <c r="Z402" s="45"/>
      <c r="AA402" s="46">
        <v>1171161</v>
      </c>
    </row>
    <row r="403" spans="1:27" ht="15" customHeight="1">
      <c r="A403" s="1">
        <v>75</v>
      </c>
      <c r="B403" s="1" t="s">
        <v>554</v>
      </c>
      <c r="C403" s="1" t="s">
        <v>555</v>
      </c>
      <c r="D403" s="1" t="s">
        <v>535</v>
      </c>
      <c r="E403" s="1" t="s">
        <v>240</v>
      </c>
      <c r="F403" s="1" t="s">
        <v>183</v>
      </c>
      <c r="G403" s="1" t="s">
        <v>141</v>
      </c>
      <c r="H403" s="1">
        <v>1005001098</v>
      </c>
      <c r="I403" s="1" t="s">
        <v>35</v>
      </c>
      <c r="J403" s="1">
        <v>224</v>
      </c>
      <c r="K403" s="1" t="s">
        <v>184</v>
      </c>
      <c r="L403" s="1">
        <v>1001019953</v>
      </c>
      <c r="M403" s="1">
        <v>1142000002309</v>
      </c>
      <c r="N403" s="1" t="s">
        <v>144</v>
      </c>
      <c r="O403" s="1" t="s">
        <v>145</v>
      </c>
      <c r="P403" s="1" t="s">
        <v>146</v>
      </c>
      <c r="Q403" s="1" t="s">
        <v>147</v>
      </c>
      <c r="R403" s="1" t="s">
        <v>148</v>
      </c>
      <c r="S403" s="44">
        <v>5.32</v>
      </c>
      <c r="T403" s="44">
        <v>0.26</v>
      </c>
      <c r="U403" s="44">
        <v>0</v>
      </c>
      <c r="V403" s="44">
        <v>0</v>
      </c>
      <c r="W403" s="44">
        <v>0</v>
      </c>
      <c r="X403" s="45">
        <v>592450</v>
      </c>
      <c r="Y403" s="45">
        <v>31629500</v>
      </c>
      <c r="Z403" s="45"/>
      <c r="AA403" s="46">
        <v>31629500</v>
      </c>
    </row>
    <row r="404" spans="1:27" ht="15" customHeight="1">
      <c r="A404" s="1">
        <v>75</v>
      </c>
      <c r="B404" s="1" t="s">
        <v>554</v>
      </c>
      <c r="C404" s="1" t="s">
        <v>555</v>
      </c>
      <c r="D404" s="1" t="s">
        <v>535</v>
      </c>
      <c r="E404" s="1" t="s">
        <v>240</v>
      </c>
      <c r="F404" s="1" t="s">
        <v>183</v>
      </c>
      <c r="G404" s="1" t="s">
        <v>141</v>
      </c>
      <c r="H404" s="1">
        <v>1005001099</v>
      </c>
      <c r="I404" s="1" t="s">
        <v>35</v>
      </c>
      <c r="J404" s="1">
        <v>224</v>
      </c>
      <c r="K404" s="1" t="s">
        <v>184</v>
      </c>
      <c r="L404" s="1">
        <v>1001020028</v>
      </c>
      <c r="M404" s="1">
        <v>1142000002317</v>
      </c>
      <c r="N404" s="1" t="s">
        <v>144</v>
      </c>
      <c r="O404" s="1" t="s">
        <v>145</v>
      </c>
      <c r="P404" s="1" t="s">
        <v>146</v>
      </c>
      <c r="Q404" s="1" t="s">
        <v>147</v>
      </c>
      <c r="R404" s="1" t="s">
        <v>148</v>
      </c>
      <c r="S404" s="44">
        <v>5.13</v>
      </c>
      <c r="T404" s="44">
        <v>0.24</v>
      </c>
      <c r="U404" s="44">
        <v>0</v>
      </c>
      <c r="V404" s="44">
        <v>0</v>
      </c>
      <c r="W404" s="44">
        <v>0</v>
      </c>
      <c r="X404" s="45">
        <v>910540</v>
      </c>
      <c r="Y404" s="45">
        <v>45527000</v>
      </c>
      <c r="Z404" s="45"/>
      <c r="AA404" s="46">
        <v>45527000</v>
      </c>
    </row>
    <row r="405" spans="1:27" ht="15" customHeight="1">
      <c r="A405" s="1">
        <v>75</v>
      </c>
      <c r="B405" s="1" t="s">
        <v>554</v>
      </c>
      <c r="C405" s="1" t="s">
        <v>555</v>
      </c>
      <c r="D405" s="1" t="s">
        <v>535</v>
      </c>
      <c r="E405" s="1" t="s">
        <v>240</v>
      </c>
      <c r="F405" s="1" t="s">
        <v>183</v>
      </c>
      <c r="G405" s="1" t="s">
        <v>141</v>
      </c>
      <c r="H405" s="1">
        <v>1005001107</v>
      </c>
      <c r="I405" s="1" t="s">
        <v>36</v>
      </c>
      <c r="J405" s="1">
        <v>220</v>
      </c>
      <c r="K405" s="1" t="s">
        <v>184</v>
      </c>
      <c r="L405" s="1">
        <v>1001020029</v>
      </c>
      <c r="M405" s="1">
        <v>1142000002318</v>
      </c>
      <c r="N405" s="1" t="s">
        <v>144</v>
      </c>
      <c r="O405" s="1" t="s">
        <v>145</v>
      </c>
      <c r="P405" s="1" t="s">
        <v>146</v>
      </c>
      <c r="Q405" s="1" t="s">
        <v>147</v>
      </c>
      <c r="R405" s="1" t="s">
        <v>148</v>
      </c>
      <c r="S405" s="44">
        <v>5.27</v>
      </c>
      <c r="T405" s="44">
        <v>0.27</v>
      </c>
      <c r="U405" s="44">
        <v>0</v>
      </c>
      <c r="V405" s="44">
        <v>0</v>
      </c>
      <c r="W405" s="44">
        <v>0</v>
      </c>
      <c r="X405" s="45">
        <v>1012100</v>
      </c>
      <c r="Y405" s="45">
        <v>50605000</v>
      </c>
      <c r="Z405" s="45"/>
      <c r="AA405" s="46">
        <v>50605000</v>
      </c>
    </row>
    <row r="406" spans="1:27" ht="15" customHeight="1">
      <c r="A406" s="1">
        <v>75</v>
      </c>
      <c r="B406" s="1" t="s">
        <v>554</v>
      </c>
      <c r="C406" s="1" t="s">
        <v>555</v>
      </c>
      <c r="D406" s="1" t="s">
        <v>535</v>
      </c>
      <c r="E406" s="1" t="s">
        <v>240</v>
      </c>
      <c r="F406" s="1" t="s">
        <v>183</v>
      </c>
      <c r="G406" s="1" t="s">
        <v>141</v>
      </c>
      <c r="H406" s="1">
        <v>1005001108</v>
      </c>
      <c r="I406" s="1" t="s">
        <v>36</v>
      </c>
      <c r="J406" s="1">
        <v>220</v>
      </c>
      <c r="K406" s="1" t="s">
        <v>184</v>
      </c>
      <c r="L406" s="1">
        <v>1001020058</v>
      </c>
      <c r="M406" s="1">
        <v>1142000002319</v>
      </c>
      <c r="N406" s="1" t="s">
        <v>144</v>
      </c>
      <c r="O406" s="1" t="s">
        <v>145</v>
      </c>
      <c r="P406" s="1" t="s">
        <v>146</v>
      </c>
      <c r="Q406" s="1" t="s">
        <v>147</v>
      </c>
      <c r="R406" s="1" t="s">
        <v>148</v>
      </c>
      <c r="S406" s="44">
        <v>5.28</v>
      </c>
      <c r="T406" s="44">
        <v>0.22</v>
      </c>
      <c r="U406" s="44">
        <v>0</v>
      </c>
      <c r="V406" s="44">
        <v>0</v>
      </c>
      <c r="W406" s="44">
        <v>0</v>
      </c>
      <c r="X406" s="45">
        <v>985070</v>
      </c>
      <c r="Y406" s="45">
        <v>49253500</v>
      </c>
      <c r="Z406" s="45"/>
      <c r="AA406" s="46">
        <v>49253500</v>
      </c>
    </row>
    <row r="407" spans="1:27" ht="15" customHeight="1">
      <c r="A407" s="1">
        <v>75</v>
      </c>
      <c r="B407" s="1" t="s">
        <v>554</v>
      </c>
      <c r="C407" s="1" t="s">
        <v>555</v>
      </c>
      <c r="D407" s="1" t="s">
        <v>535</v>
      </c>
      <c r="E407" s="1" t="s">
        <v>240</v>
      </c>
      <c r="F407" s="1" t="s">
        <v>183</v>
      </c>
      <c r="G407" s="1" t="s">
        <v>141</v>
      </c>
      <c r="H407" s="1">
        <v>1005001109</v>
      </c>
      <c r="I407" s="1" t="s">
        <v>36</v>
      </c>
      <c r="J407" s="1">
        <v>220</v>
      </c>
      <c r="K407" s="1" t="s">
        <v>184</v>
      </c>
      <c r="L407" s="1">
        <v>1001020059</v>
      </c>
      <c r="M407" s="1">
        <v>1142000002320</v>
      </c>
      <c r="N407" s="1" t="s">
        <v>144</v>
      </c>
      <c r="O407" s="1" t="s">
        <v>145</v>
      </c>
      <c r="P407" s="1" t="s">
        <v>146</v>
      </c>
      <c r="Q407" s="1" t="s">
        <v>147</v>
      </c>
      <c r="R407" s="1" t="s">
        <v>148</v>
      </c>
      <c r="S407" s="44">
        <v>5.3</v>
      </c>
      <c r="T407" s="44">
        <v>0.32</v>
      </c>
      <c r="U407" s="44">
        <v>0</v>
      </c>
      <c r="V407" s="44">
        <v>0</v>
      </c>
      <c r="W407" s="44">
        <v>0</v>
      </c>
      <c r="X407" s="45">
        <v>1010710</v>
      </c>
      <c r="Y407" s="45">
        <v>50535500</v>
      </c>
      <c r="Z407" s="45"/>
      <c r="AA407" s="46">
        <v>50535500</v>
      </c>
    </row>
    <row r="408" spans="1:27" ht="15" customHeight="1">
      <c r="A408" s="1">
        <v>75</v>
      </c>
      <c r="B408" s="1" t="s">
        <v>554</v>
      </c>
      <c r="C408" s="1" t="s">
        <v>555</v>
      </c>
      <c r="D408" s="1" t="s">
        <v>535</v>
      </c>
      <c r="E408" s="1" t="s">
        <v>240</v>
      </c>
      <c r="F408" s="1" t="s">
        <v>183</v>
      </c>
      <c r="G408" s="1" t="s">
        <v>141</v>
      </c>
      <c r="H408" s="1">
        <v>1005001111</v>
      </c>
      <c r="I408" s="1" t="s">
        <v>36</v>
      </c>
      <c r="J408" s="1">
        <v>220</v>
      </c>
      <c r="K408" s="1" t="s">
        <v>184</v>
      </c>
      <c r="L408" s="1">
        <v>1001020405</v>
      </c>
      <c r="M408" s="1">
        <v>1142000002344</v>
      </c>
      <c r="N408" s="1" t="s">
        <v>144</v>
      </c>
      <c r="O408" s="1" t="s">
        <v>145</v>
      </c>
      <c r="P408" s="1" t="s">
        <v>146</v>
      </c>
      <c r="Q408" s="1" t="s">
        <v>147</v>
      </c>
      <c r="R408" s="1" t="s">
        <v>148</v>
      </c>
      <c r="S408" s="44">
        <v>5.28</v>
      </c>
      <c r="T408" s="44">
        <v>0.27</v>
      </c>
      <c r="U408" s="44">
        <v>0</v>
      </c>
      <c r="V408" s="44">
        <v>0</v>
      </c>
      <c r="W408" s="44">
        <v>0</v>
      </c>
      <c r="X408" s="45">
        <v>1014500</v>
      </c>
      <c r="Y408" s="45">
        <v>50725000</v>
      </c>
      <c r="Z408" s="45"/>
      <c r="AA408" s="46">
        <v>50725000</v>
      </c>
    </row>
    <row r="409" spans="1:27" ht="15" customHeight="1">
      <c r="A409" s="1">
        <v>75</v>
      </c>
      <c r="B409" s="1" t="s">
        <v>554</v>
      </c>
      <c r="C409" s="1" t="s">
        <v>555</v>
      </c>
      <c r="D409" s="1" t="s">
        <v>535</v>
      </c>
      <c r="E409" s="1" t="s">
        <v>240</v>
      </c>
      <c r="F409" s="1" t="s">
        <v>183</v>
      </c>
      <c r="G409" s="1" t="s">
        <v>141</v>
      </c>
      <c r="H409" s="1">
        <v>1005001112</v>
      </c>
      <c r="I409" s="1" t="s">
        <v>36</v>
      </c>
      <c r="J409" s="1">
        <v>220</v>
      </c>
      <c r="K409" s="1" t="s">
        <v>184</v>
      </c>
      <c r="L409" s="1">
        <v>1001020406</v>
      </c>
      <c r="M409" s="1">
        <v>1142000002345</v>
      </c>
      <c r="N409" s="1" t="s">
        <v>144</v>
      </c>
      <c r="O409" s="1" t="s">
        <v>145</v>
      </c>
      <c r="P409" s="1" t="s">
        <v>146</v>
      </c>
      <c r="Q409" s="1" t="s">
        <v>147</v>
      </c>
      <c r="R409" s="1" t="s">
        <v>148</v>
      </c>
      <c r="S409" s="44">
        <v>5.32</v>
      </c>
      <c r="T409" s="44">
        <v>0.28000000000000003</v>
      </c>
      <c r="U409" s="44">
        <v>0</v>
      </c>
      <c r="V409" s="44">
        <v>0</v>
      </c>
      <c r="W409" s="44">
        <v>0</v>
      </c>
      <c r="X409" s="45">
        <v>876930</v>
      </c>
      <c r="Y409" s="45">
        <v>43846500</v>
      </c>
      <c r="Z409" s="45"/>
      <c r="AA409" s="46">
        <v>43846500</v>
      </c>
    </row>
    <row r="410" spans="1:27" ht="15" customHeight="1">
      <c r="A410" s="1">
        <v>75</v>
      </c>
      <c r="B410" s="1" t="s">
        <v>554</v>
      </c>
      <c r="C410" s="1" t="s">
        <v>555</v>
      </c>
      <c r="D410" s="1" t="s">
        <v>535</v>
      </c>
      <c r="E410" s="1" t="s">
        <v>240</v>
      </c>
      <c r="F410" s="1" t="s">
        <v>183</v>
      </c>
      <c r="G410" s="1" t="s">
        <v>141</v>
      </c>
      <c r="H410" s="1">
        <v>1005001113</v>
      </c>
      <c r="I410" s="1" t="s">
        <v>36</v>
      </c>
      <c r="J410" s="1">
        <v>220</v>
      </c>
      <c r="K410" s="1" t="s">
        <v>184</v>
      </c>
      <c r="L410" s="1">
        <v>1001020913</v>
      </c>
      <c r="M410" s="1">
        <v>1142000002376</v>
      </c>
      <c r="N410" s="1" t="s">
        <v>144</v>
      </c>
      <c r="O410" s="1" t="s">
        <v>145</v>
      </c>
      <c r="P410" s="1" t="s">
        <v>146</v>
      </c>
      <c r="Q410" s="1" t="s">
        <v>147</v>
      </c>
      <c r="R410" s="1" t="s">
        <v>148</v>
      </c>
      <c r="S410" s="44">
        <v>5.24</v>
      </c>
      <c r="T410" s="44">
        <v>0.28000000000000003</v>
      </c>
      <c r="U410" s="44">
        <v>0</v>
      </c>
      <c r="V410" s="44">
        <v>0</v>
      </c>
      <c r="W410" s="44">
        <v>0</v>
      </c>
      <c r="X410" s="45">
        <v>759090</v>
      </c>
      <c r="Y410" s="45">
        <v>37954500</v>
      </c>
      <c r="Z410" s="45"/>
      <c r="AA410" s="46">
        <v>37954500</v>
      </c>
    </row>
    <row r="411" spans="1:27" ht="15" customHeight="1">
      <c r="A411" s="1">
        <v>75</v>
      </c>
      <c r="B411" s="1" t="s">
        <v>554</v>
      </c>
      <c r="C411" s="1" t="s">
        <v>555</v>
      </c>
      <c r="D411" s="1" t="s">
        <v>535</v>
      </c>
      <c r="E411" s="1" t="s">
        <v>240</v>
      </c>
      <c r="F411" s="1" t="s">
        <v>183</v>
      </c>
      <c r="G411" s="1" t="s">
        <v>141</v>
      </c>
      <c r="H411" s="1">
        <v>1005001115</v>
      </c>
      <c r="I411" s="1" t="s">
        <v>36</v>
      </c>
      <c r="J411" s="1">
        <v>220</v>
      </c>
      <c r="K411" s="1" t="s">
        <v>184</v>
      </c>
      <c r="L411" s="1">
        <v>1001020914</v>
      </c>
      <c r="M411" s="1">
        <v>1142000002377</v>
      </c>
      <c r="N411" s="1" t="s">
        <v>144</v>
      </c>
      <c r="O411" s="1" t="s">
        <v>145</v>
      </c>
      <c r="P411" s="1" t="s">
        <v>146</v>
      </c>
      <c r="Q411" s="1" t="s">
        <v>147</v>
      </c>
      <c r="R411" s="1" t="s">
        <v>148</v>
      </c>
      <c r="S411" s="44">
        <v>5.29</v>
      </c>
      <c r="T411" s="44">
        <v>0.26</v>
      </c>
      <c r="U411" s="44">
        <v>0</v>
      </c>
      <c r="V411" s="44">
        <v>0</v>
      </c>
      <c r="W411" s="44">
        <v>0</v>
      </c>
      <c r="X411" s="45">
        <v>1003590</v>
      </c>
      <c r="Y411" s="45">
        <v>50179500</v>
      </c>
      <c r="Z411" s="45"/>
      <c r="AA411" s="46">
        <v>50179500</v>
      </c>
    </row>
    <row r="412" spans="1:27" ht="15" customHeight="1">
      <c r="A412" s="1">
        <v>75</v>
      </c>
      <c r="B412" s="1" t="s">
        <v>554</v>
      </c>
      <c r="C412" s="1" t="s">
        <v>555</v>
      </c>
      <c r="D412" s="1" t="s">
        <v>535</v>
      </c>
      <c r="E412" s="1" t="s">
        <v>240</v>
      </c>
      <c r="F412" s="1" t="s">
        <v>183</v>
      </c>
      <c r="G412" s="1" t="s">
        <v>141</v>
      </c>
      <c r="H412" s="1">
        <v>1005001116</v>
      </c>
      <c r="I412" s="1" t="s">
        <v>36</v>
      </c>
      <c r="J412" s="1">
        <v>220</v>
      </c>
      <c r="K412" s="1" t="s">
        <v>184</v>
      </c>
      <c r="L412" s="1">
        <v>1001020987</v>
      </c>
      <c r="M412" s="1">
        <v>1142000002383</v>
      </c>
      <c r="N412" s="1" t="s">
        <v>144</v>
      </c>
      <c r="O412" s="1" t="s">
        <v>145</v>
      </c>
      <c r="P412" s="1" t="s">
        <v>146</v>
      </c>
      <c r="Q412" s="1" t="s">
        <v>147</v>
      </c>
      <c r="R412" s="1" t="s">
        <v>148</v>
      </c>
      <c r="S412" s="44">
        <v>5.3</v>
      </c>
      <c r="T412" s="44">
        <v>0.31</v>
      </c>
      <c r="U412" s="44">
        <v>0</v>
      </c>
      <c r="V412" s="44">
        <v>0</v>
      </c>
      <c r="W412" s="44">
        <v>0</v>
      </c>
      <c r="X412" s="45">
        <v>1000620</v>
      </c>
      <c r="Y412" s="45">
        <v>50031000</v>
      </c>
      <c r="Z412" s="45"/>
      <c r="AA412" s="46">
        <v>50031000</v>
      </c>
    </row>
    <row r="413" spans="1:27" ht="15" customHeight="1">
      <c r="A413" s="1">
        <v>75</v>
      </c>
      <c r="B413" s="1" t="s">
        <v>554</v>
      </c>
      <c r="C413" s="1" t="s">
        <v>555</v>
      </c>
      <c r="D413" s="1" t="s">
        <v>535</v>
      </c>
      <c r="E413" s="1" t="s">
        <v>240</v>
      </c>
      <c r="F413" s="1" t="s">
        <v>183</v>
      </c>
      <c r="G413" s="1" t="s">
        <v>141</v>
      </c>
      <c r="H413" s="1">
        <v>1005001117</v>
      </c>
      <c r="I413" s="1" t="s">
        <v>36</v>
      </c>
      <c r="J413" s="1">
        <v>220</v>
      </c>
      <c r="K413" s="1" t="s">
        <v>184</v>
      </c>
      <c r="L413" s="1">
        <v>1001020988</v>
      </c>
      <c r="M413" s="1">
        <v>1142000002384</v>
      </c>
      <c r="N413" s="1" t="s">
        <v>144</v>
      </c>
      <c r="O413" s="1" t="s">
        <v>145</v>
      </c>
      <c r="P413" s="1" t="s">
        <v>146</v>
      </c>
      <c r="Q413" s="1" t="s">
        <v>147</v>
      </c>
      <c r="R413" s="1" t="s">
        <v>148</v>
      </c>
      <c r="S413" s="44">
        <v>5.22</v>
      </c>
      <c r="T413" s="44">
        <v>0.22</v>
      </c>
      <c r="U413" s="44">
        <v>0</v>
      </c>
      <c r="V413" s="44">
        <v>0</v>
      </c>
      <c r="W413" s="44">
        <v>0</v>
      </c>
      <c r="X413" s="45">
        <v>514120</v>
      </c>
      <c r="Y413" s="45">
        <v>25706000</v>
      </c>
      <c r="Z413" s="45"/>
      <c r="AA413" s="46">
        <v>25706000</v>
      </c>
    </row>
    <row r="414" spans="1:27" ht="15" customHeight="1">
      <c r="A414" s="1">
        <v>75</v>
      </c>
      <c r="B414" s="1" t="s">
        <v>554</v>
      </c>
      <c r="C414" s="1" t="s">
        <v>555</v>
      </c>
      <c r="D414" s="1" t="s">
        <v>535</v>
      </c>
      <c r="E414" s="1" t="s">
        <v>240</v>
      </c>
      <c r="F414" s="1" t="s">
        <v>183</v>
      </c>
      <c r="G414" s="1" t="s">
        <v>141</v>
      </c>
      <c r="H414" s="1">
        <v>1005001118</v>
      </c>
      <c r="I414" s="1" t="s">
        <v>36</v>
      </c>
      <c r="J414" s="1">
        <v>220</v>
      </c>
      <c r="K414" s="1" t="s">
        <v>184</v>
      </c>
      <c r="L414" s="1">
        <v>1001021100</v>
      </c>
      <c r="M414" s="1">
        <v>1142000002395</v>
      </c>
      <c r="N414" s="1" t="s">
        <v>144</v>
      </c>
      <c r="O414" s="1" t="s">
        <v>145</v>
      </c>
      <c r="P414" s="1" t="s">
        <v>146</v>
      </c>
      <c r="Q414" s="1" t="s">
        <v>147</v>
      </c>
      <c r="R414" s="1" t="s">
        <v>148</v>
      </c>
      <c r="S414" s="44">
        <v>5.26</v>
      </c>
      <c r="T414" s="44">
        <v>0.21</v>
      </c>
      <c r="U414" s="44">
        <v>0</v>
      </c>
      <c r="V414" s="44">
        <v>0</v>
      </c>
      <c r="W414" s="44">
        <v>0</v>
      </c>
      <c r="X414" s="45">
        <v>584850</v>
      </c>
      <c r="Y414" s="45">
        <v>29242500</v>
      </c>
      <c r="Z414" s="45"/>
      <c r="AA414" s="46">
        <v>29242500</v>
      </c>
    </row>
    <row r="415" spans="1:27" ht="15" customHeight="1">
      <c r="A415" s="1">
        <v>75</v>
      </c>
      <c r="B415" s="1" t="s">
        <v>554</v>
      </c>
      <c r="C415" s="1" t="s">
        <v>555</v>
      </c>
      <c r="D415" s="1" t="s">
        <v>535</v>
      </c>
      <c r="E415" s="1" t="s">
        <v>240</v>
      </c>
      <c r="F415" s="1" t="s">
        <v>183</v>
      </c>
      <c r="G415" s="1" t="s">
        <v>141</v>
      </c>
      <c r="H415" s="1">
        <v>1005001121</v>
      </c>
      <c r="I415" s="1" t="s">
        <v>36</v>
      </c>
      <c r="J415" s="1">
        <v>220</v>
      </c>
      <c r="K415" s="1" t="s">
        <v>184</v>
      </c>
      <c r="L415" s="1">
        <v>1001021101</v>
      </c>
      <c r="M415" s="1">
        <v>1142000002396</v>
      </c>
      <c r="N415" s="1" t="s">
        <v>144</v>
      </c>
      <c r="O415" s="1" t="s">
        <v>145</v>
      </c>
      <c r="P415" s="1" t="s">
        <v>146</v>
      </c>
      <c r="Q415" s="1" t="s">
        <v>147</v>
      </c>
      <c r="R415" s="1" t="s">
        <v>148</v>
      </c>
      <c r="S415" s="44">
        <v>5.36</v>
      </c>
      <c r="T415" s="44">
        <v>0.19</v>
      </c>
      <c r="U415" s="44">
        <v>0</v>
      </c>
      <c r="V415" s="44">
        <v>0</v>
      </c>
      <c r="W415" s="44">
        <v>0</v>
      </c>
      <c r="X415" s="45">
        <v>299140</v>
      </c>
      <c r="Y415" s="45">
        <v>14957000</v>
      </c>
      <c r="Z415" s="45"/>
      <c r="AA415" s="46">
        <v>14957000</v>
      </c>
    </row>
    <row r="416" spans="1:27" ht="15" customHeight="1">
      <c r="A416" s="1">
        <v>75</v>
      </c>
      <c r="B416" s="1" t="s">
        <v>554</v>
      </c>
      <c r="C416" s="1" t="s">
        <v>555</v>
      </c>
      <c r="D416" s="1" t="s">
        <v>535</v>
      </c>
      <c r="E416" s="1" t="s">
        <v>240</v>
      </c>
      <c r="F416" s="1" t="s">
        <v>183</v>
      </c>
      <c r="G416" s="1" t="s">
        <v>141</v>
      </c>
      <c r="H416" s="1">
        <v>1005001124</v>
      </c>
      <c r="I416" s="1" t="s">
        <v>37</v>
      </c>
      <c r="J416" s="1">
        <v>219</v>
      </c>
      <c r="K416" s="1" t="s">
        <v>184</v>
      </c>
      <c r="L416" s="1">
        <v>1001021237</v>
      </c>
      <c r="M416" s="1">
        <v>1142000002408</v>
      </c>
      <c r="N416" s="1" t="s">
        <v>144</v>
      </c>
      <c r="O416" s="1" t="s">
        <v>145</v>
      </c>
      <c r="P416" s="1" t="s">
        <v>146</v>
      </c>
      <c r="Q416" s="1" t="s">
        <v>147</v>
      </c>
      <c r="R416" s="1" t="s">
        <v>148</v>
      </c>
      <c r="S416" s="44">
        <v>5.54</v>
      </c>
      <c r="T416" s="44">
        <v>0.25</v>
      </c>
      <c r="U416" s="44">
        <v>0</v>
      </c>
      <c r="V416" s="44">
        <v>0</v>
      </c>
      <c r="W416" s="44">
        <v>0</v>
      </c>
      <c r="X416" s="45">
        <v>1015290</v>
      </c>
      <c r="Y416" s="45">
        <v>203058000</v>
      </c>
      <c r="Z416" s="45"/>
      <c r="AA416" s="46">
        <v>203058000</v>
      </c>
    </row>
    <row r="417" spans="1:27" ht="15" customHeight="1">
      <c r="A417" s="1">
        <v>75</v>
      </c>
      <c r="B417" s="1" t="s">
        <v>554</v>
      </c>
      <c r="C417" s="1" t="s">
        <v>555</v>
      </c>
      <c r="D417" s="1" t="s">
        <v>535</v>
      </c>
      <c r="E417" s="1" t="s">
        <v>240</v>
      </c>
      <c r="F417" s="1" t="s">
        <v>183</v>
      </c>
      <c r="G417" s="1" t="s">
        <v>141</v>
      </c>
      <c r="H417" s="1">
        <v>1005001125</v>
      </c>
      <c r="I417" s="1" t="s">
        <v>37</v>
      </c>
      <c r="J417" s="1">
        <v>219</v>
      </c>
      <c r="K417" s="1" t="s">
        <v>184</v>
      </c>
      <c r="L417" s="1">
        <v>1001021955</v>
      </c>
      <c r="M417" s="1">
        <v>1142000002469</v>
      </c>
      <c r="N417" s="1" t="s">
        <v>144</v>
      </c>
      <c r="O417" s="1" t="s">
        <v>145</v>
      </c>
      <c r="P417" s="1" t="s">
        <v>146</v>
      </c>
      <c r="Q417" s="1" t="s">
        <v>147</v>
      </c>
      <c r="R417" s="1" t="s">
        <v>148</v>
      </c>
      <c r="S417" s="44">
        <v>5.9</v>
      </c>
      <c r="T417" s="44">
        <v>0.24</v>
      </c>
      <c r="U417" s="44">
        <v>0</v>
      </c>
      <c r="V417" s="44">
        <v>0</v>
      </c>
      <c r="W417" s="44">
        <v>0</v>
      </c>
      <c r="X417" s="45">
        <v>1014400</v>
      </c>
      <c r="Y417" s="45">
        <v>202880000</v>
      </c>
      <c r="Z417" s="45"/>
      <c r="AA417" s="46">
        <v>202880000</v>
      </c>
    </row>
    <row r="418" spans="1:27" ht="15" customHeight="1">
      <c r="A418" s="1">
        <v>75</v>
      </c>
      <c r="B418" s="1" t="s">
        <v>554</v>
      </c>
      <c r="C418" s="1" t="s">
        <v>555</v>
      </c>
      <c r="D418" s="1" t="s">
        <v>535</v>
      </c>
      <c r="E418" s="1" t="s">
        <v>240</v>
      </c>
      <c r="F418" s="1" t="s">
        <v>183</v>
      </c>
      <c r="G418" s="1" t="s">
        <v>141</v>
      </c>
      <c r="H418" s="1">
        <v>1005001126</v>
      </c>
      <c r="I418" s="1" t="s">
        <v>37</v>
      </c>
      <c r="J418" s="1">
        <v>219</v>
      </c>
      <c r="K418" s="1" t="s">
        <v>184</v>
      </c>
      <c r="L418" s="1">
        <v>1001021956</v>
      </c>
      <c r="M418" s="1">
        <v>1142000002470</v>
      </c>
      <c r="N418" s="1" t="s">
        <v>144</v>
      </c>
      <c r="O418" s="1" t="s">
        <v>145</v>
      </c>
      <c r="P418" s="1" t="s">
        <v>146</v>
      </c>
      <c r="Q418" s="1" t="s">
        <v>147</v>
      </c>
      <c r="R418" s="1" t="s">
        <v>148</v>
      </c>
      <c r="S418" s="44">
        <v>5.65</v>
      </c>
      <c r="T418" s="44">
        <v>0.23</v>
      </c>
      <c r="U418" s="44">
        <v>0</v>
      </c>
      <c r="V418" s="44">
        <v>0</v>
      </c>
      <c r="W418" s="44">
        <v>0</v>
      </c>
      <c r="X418" s="45">
        <v>1015790</v>
      </c>
      <c r="Y418" s="45">
        <v>203158000</v>
      </c>
      <c r="Z418" s="45"/>
      <c r="AA418" s="46">
        <v>203158000</v>
      </c>
    </row>
    <row r="419" spans="1:27" ht="15" customHeight="1">
      <c r="A419" s="1">
        <v>75</v>
      </c>
      <c r="B419" s="1" t="s">
        <v>554</v>
      </c>
      <c r="C419" s="1" t="s">
        <v>555</v>
      </c>
      <c r="D419" s="1" t="s">
        <v>535</v>
      </c>
      <c r="E419" s="1" t="s">
        <v>240</v>
      </c>
      <c r="F419" s="1" t="s">
        <v>183</v>
      </c>
      <c r="G419" s="1" t="s">
        <v>141</v>
      </c>
      <c r="H419" s="1">
        <v>1005001127</v>
      </c>
      <c r="I419" s="1" t="s">
        <v>37</v>
      </c>
      <c r="J419" s="1">
        <v>219</v>
      </c>
      <c r="K419" s="1" t="s">
        <v>184</v>
      </c>
      <c r="L419" s="1">
        <v>1001022525</v>
      </c>
      <c r="M419" s="1">
        <v>1142000002520</v>
      </c>
      <c r="N419" s="1" t="s">
        <v>144</v>
      </c>
      <c r="O419" s="1" t="s">
        <v>145</v>
      </c>
      <c r="P419" s="1" t="s">
        <v>146</v>
      </c>
      <c r="Q419" s="1" t="s">
        <v>147</v>
      </c>
      <c r="R419" s="1" t="s">
        <v>148</v>
      </c>
      <c r="S419" s="44">
        <v>6.01</v>
      </c>
      <c r="T419" s="44">
        <v>0.23</v>
      </c>
      <c r="U419" s="44">
        <v>0</v>
      </c>
      <c r="V419" s="44">
        <v>0</v>
      </c>
      <c r="W419" s="44">
        <v>0</v>
      </c>
      <c r="X419" s="45">
        <v>1012510</v>
      </c>
      <c r="Y419" s="45">
        <v>405004000</v>
      </c>
      <c r="Z419" s="45"/>
      <c r="AA419" s="46">
        <v>405004000</v>
      </c>
    </row>
    <row r="420" spans="1:27" ht="15" customHeight="1">
      <c r="A420" s="1">
        <v>75</v>
      </c>
      <c r="B420" s="1" t="s">
        <v>554</v>
      </c>
      <c r="C420" s="1" t="s">
        <v>555</v>
      </c>
      <c r="D420" s="1" t="s">
        <v>535</v>
      </c>
      <c r="E420" s="1" t="s">
        <v>240</v>
      </c>
      <c r="F420" s="1" t="s">
        <v>183</v>
      </c>
      <c r="G420" s="1" t="s">
        <v>141</v>
      </c>
      <c r="H420" s="1">
        <v>1005001128</v>
      </c>
      <c r="I420" s="1" t="s">
        <v>37</v>
      </c>
      <c r="J420" s="1">
        <v>219</v>
      </c>
      <c r="K420" s="1" t="s">
        <v>184</v>
      </c>
      <c r="L420" s="1">
        <v>1001022526</v>
      </c>
      <c r="M420" s="1">
        <v>1142000002521</v>
      </c>
      <c r="N420" s="1" t="s">
        <v>144</v>
      </c>
      <c r="O420" s="1" t="s">
        <v>145</v>
      </c>
      <c r="P420" s="1" t="s">
        <v>146</v>
      </c>
      <c r="Q420" s="1" t="s">
        <v>147</v>
      </c>
      <c r="R420" s="1" t="s">
        <v>148</v>
      </c>
      <c r="S420" s="44">
        <v>5.9</v>
      </c>
      <c r="T420" s="44">
        <v>0.24</v>
      </c>
      <c r="U420" s="44">
        <v>0</v>
      </c>
      <c r="V420" s="44">
        <v>0</v>
      </c>
      <c r="W420" s="44">
        <v>0</v>
      </c>
      <c r="X420" s="45">
        <v>1013110</v>
      </c>
      <c r="Y420" s="45">
        <v>202622000</v>
      </c>
      <c r="Z420" s="45"/>
      <c r="AA420" s="46">
        <v>202622000</v>
      </c>
    </row>
    <row r="421" spans="1:27" ht="15" customHeight="1">
      <c r="A421" s="1">
        <v>75</v>
      </c>
      <c r="B421" s="1" t="s">
        <v>554</v>
      </c>
      <c r="C421" s="1" t="s">
        <v>555</v>
      </c>
      <c r="D421" s="1" t="s">
        <v>535</v>
      </c>
      <c r="E421" s="1" t="s">
        <v>240</v>
      </c>
      <c r="F421" s="1" t="s">
        <v>183</v>
      </c>
      <c r="G421" s="1" t="s">
        <v>141</v>
      </c>
      <c r="H421" s="1">
        <v>1005001129</v>
      </c>
      <c r="I421" s="1" t="s">
        <v>37</v>
      </c>
      <c r="J421" s="1">
        <v>219</v>
      </c>
      <c r="K421" s="1" t="s">
        <v>184</v>
      </c>
      <c r="L421" s="1">
        <v>1001022705</v>
      </c>
      <c r="M421" s="1">
        <v>1142000002534</v>
      </c>
      <c r="N421" s="1" t="s">
        <v>144</v>
      </c>
      <c r="O421" s="1" t="s">
        <v>145</v>
      </c>
      <c r="P421" s="1" t="s">
        <v>146</v>
      </c>
      <c r="Q421" s="1" t="s">
        <v>147</v>
      </c>
      <c r="R421" s="1" t="s">
        <v>148</v>
      </c>
      <c r="S421" s="44">
        <v>6.05</v>
      </c>
      <c r="T421" s="44">
        <v>0.25</v>
      </c>
      <c r="U421" s="44">
        <v>0</v>
      </c>
      <c r="V421" s="44">
        <v>0</v>
      </c>
      <c r="W421" s="44">
        <v>0</v>
      </c>
      <c r="X421" s="45">
        <v>1014650</v>
      </c>
      <c r="Y421" s="45">
        <v>405860000</v>
      </c>
      <c r="Z421" s="45"/>
      <c r="AA421" s="46">
        <v>405860000</v>
      </c>
    </row>
    <row r="422" spans="1:27" ht="15" customHeight="1">
      <c r="A422" s="1">
        <v>75</v>
      </c>
      <c r="B422" s="1" t="s">
        <v>554</v>
      </c>
      <c r="C422" s="1" t="s">
        <v>555</v>
      </c>
      <c r="D422" s="1" t="s">
        <v>535</v>
      </c>
      <c r="E422" s="1" t="s">
        <v>240</v>
      </c>
      <c r="F422" s="1" t="s">
        <v>183</v>
      </c>
      <c r="G422" s="1" t="s">
        <v>141</v>
      </c>
      <c r="H422" s="1">
        <v>1005001130</v>
      </c>
      <c r="I422" s="1" t="s">
        <v>37</v>
      </c>
      <c r="J422" s="1">
        <v>219</v>
      </c>
      <c r="K422" s="1" t="s">
        <v>184</v>
      </c>
      <c r="L422" s="1">
        <v>1001022706</v>
      </c>
      <c r="M422" s="1">
        <v>1142000002535</v>
      </c>
      <c r="N422" s="1" t="s">
        <v>144</v>
      </c>
      <c r="O422" s="1" t="s">
        <v>145</v>
      </c>
      <c r="P422" s="1" t="s">
        <v>146</v>
      </c>
      <c r="Q422" s="1" t="s">
        <v>147</v>
      </c>
      <c r="R422" s="1" t="s">
        <v>148</v>
      </c>
      <c r="S422" s="44">
        <v>6.12</v>
      </c>
      <c r="T422" s="44">
        <v>0.25</v>
      </c>
      <c r="U422" s="44">
        <v>0</v>
      </c>
      <c r="V422" s="44">
        <v>0</v>
      </c>
      <c r="W422" s="44">
        <v>0</v>
      </c>
      <c r="X422" s="45">
        <v>1006460</v>
      </c>
      <c r="Y422" s="45">
        <v>402584000</v>
      </c>
      <c r="Z422" s="45"/>
      <c r="AA422" s="46">
        <v>402584000</v>
      </c>
    </row>
    <row r="423" spans="1:27" ht="15" customHeight="1">
      <c r="A423" s="1">
        <v>75</v>
      </c>
      <c r="B423" s="1" t="s">
        <v>554</v>
      </c>
      <c r="C423" s="1" t="s">
        <v>555</v>
      </c>
      <c r="D423" s="1" t="s">
        <v>535</v>
      </c>
      <c r="E423" s="1" t="s">
        <v>240</v>
      </c>
      <c r="F423" s="1" t="s">
        <v>183</v>
      </c>
      <c r="G423" s="1" t="s">
        <v>141</v>
      </c>
      <c r="H423" s="1">
        <v>1005001474</v>
      </c>
      <c r="I423" s="1" t="s">
        <v>38</v>
      </c>
      <c r="J423" s="1">
        <v>157</v>
      </c>
      <c r="K423" s="1" t="s">
        <v>184</v>
      </c>
      <c r="L423" s="1">
        <v>1001022872</v>
      </c>
      <c r="M423" s="1">
        <v>1142000002551</v>
      </c>
      <c r="N423" s="1" t="s">
        <v>144</v>
      </c>
      <c r="O423" s="1" t="s">
        <v>145</v>
      </c>
      <c r="P423" s="1" t="s">
        <v>146</v>
      </c>
      <c r="Q423" s="1" t="s">
        <v>147</v>
      </c>
      <c r="R423" s="1" t="s">
        <v>148</v>
      </c>
      <c r="S423" s="44">
        <v>6.22</v>
      </c>
      <c r="T423" s="44">
        <v>0.23</v>
      </c>
      <c r="U423" s="44">
        <v>0</v>
      </c>
      <c r="V423" s="44">
        <v>0</v>
      </c>
      <c r="W423" s="44">
        <v>0</v>
      </c>
      <c r="X423" s="45">
        <v>918810</v>
      </c>
      <c r="Y423" s="45">
        <v>403384000</v>
      </c>
      <c r="Z423" s="45"/>
      <c r="AA423" s="46">
        <v>403384000</v>
      </c>
    </row>
    <row r="424" spans="1:27" ht="15" customHeight="1">
      <c r="A424" s="1">
        <v>75</v>
      </c>
      <c r="B424" s="1" t="s">
        <v>554</v>
      </c>
      <c r="C424" s="1" t="s">
        <v>555</v>
      </c>
      <c r="D424" s="1" t="s">
        <v>535</v>
      </c>
      <c r="E424" s="1" t="s">
        <v>240</v>
      </c>
      <c r="F424" s="1" t="s">
        <v>183</v>
      </c>
      <c r="G424" s="1" t="s">
        <v>141</v>
      </c>
      <c r="H424" s="1">
        <v>1005001475</v>
      </c>
      <c r="I424" s="1" t="s">
        <v>38</v>
      </c>
      <c r="J424" s="1">
        <v>157</v>
      </c>
      <c r="K424" s="1" t="s">
        <v>184</v>
      </c>
      <c r="L424" s="1">
        <v>1001022874</v>
      </c>
      <c r="M424" s="1">
        <v>1142000002553</v>
      </c>
      <c r="N424" s="1" t="s">
        <v>144</v>
      </c>
      <c r="O424" s="1" t="s">
        <v>145</v>
      </c>
      <c r="P424" s="1" t="s">
        <v>146</v>
      </c>
      <c r="Q424" s="1" t="s">
        <v>147</v>
      </c>
      <c r="R424" s="1" t="s">
        <v>148</v>
      </c>
      <c r="S424" s="44">
        <v>6.78</v>
      </c>
      <c r="T424" s="44">
        <v>0.23</v>
      </c>
      <c r="U424" s="44">
        <v>0</v>
      </c>
      <c r="V424" s="44">
        <v>0</v>
      </c>
      <c r="W424" s="44">
        <v>0</v>
      </c>
      <c r="X424" s="45">
        <v>502690</v>
      </c>
      <c r="Y424" s="45">
        <v>100302000</v>
      </c>
      <c r="Z424" s="45"/>
      <c r="AA424" s="46">
        <v>100302000</v>
      </c>
    </row>
    <row r="425" spans="1:27" ht="15" customHeight="1">
      <c r="A425" s="1">
        <v>75</v>
      </c>
      <c r="B425" s="1" t="s">
        <v>554</v>
      </c>
      <c r="C425" s="1" t="s">
        <v>555</v>
      </c>
      <c r="D425" s="1" t="s">
        <v>535</v>
      </c>
      <c r="E425" s="1" t="s">
        <v>240</v>
      </c>
      <c r="F425" s="1" t="s">
        <v>183</v>
      </c>
      <c r="G425" s="1" t="s">
        <v>141</v>
      </c>
      <c r="H425" s="1">
        <v>1005001476</v>
      </c>
      <c r="I425" s="1" t="s">
        <v>38</v>
      </c>
      <c r="J425" s="1">
        <v>157</v>
      </c>
      <c r="K425" s="1" t="s">
        <v>184</v>
      </c>
      <c r="L425" s="1">
        <v>1001022984</v>
      </c>
      <c r="M425" s="1">
        <v>1142000002566</v>
      </c>
      <c r="N425" s="1" t="s">
        <v>144</v>
      </c>
      <c r="O425" s="1" t="s">
        <v>145</v>
      </c>
      <c r="P425" s="1" t="s">
        <v>146</v>
      </c>
      <c r="Q425" s="1" t="s">
        <v>147</v>
      </c>
      <c r="R425" s="1" t="s">
        <v>148</v>
      </c>
      <c r="S425" s="44">
        <v>6.58</v>
      </c>
      <c r="T425" s="44">
        <v>0.24</v>
      </c>
      <c r="U425" s="44">
        <v>0</v>
      </c>
      <c r="V425" s="44">
        <v>0</v>
      </c>
      <c r="W425" s="44">
        <v>0</v>
      </c>
      <c r="X425" s="45">
        <v>702480</v>
      </c>
      <c r="Y425" s="45">
        <v>200034000</v>
      </c>
      <c r="Z425" s="45"/>
      <c r="AA425" s="46">
        <v>200034000</v>
      </c>
    </row>
    <row r="426" spans="1:27" ht="15" customHeight="1">
      <c r="A426" s="1">
        <v>75</v>
      </c>
      <c r="B426" s="1" t="s">
        <v>554</v>
      </c>
      <c r="C426" s="1" t="s">
        <v>555</v>
      </c>
      <c r="D426" s="1" t="s">
        <v>535</v>
      </c>
      <c r="E426" s="1" t="s">
        <v>240</v>
      </c>
      <c r="F426" s="1" t="s">
        <v>183</v>
      </c>
      <c r="G426" s="1" t="s">
        <v>141</v>
      </c>
      <c r="H426" s="1">
        <v>1005001477</v>
      </c>
      <c r="I426" s="1" t="s">
        <v>38</v>
      </c>
      <c r="J426" s="1">
        <v>157</v>
      </c>
      <c r="K426" s="1" t="s">
        <v>184</v>
      </c>
      <c r="L426" s="1">
        <v>1001022985</v>
      </c>
      <c r="M426" s="1">
        <v>1142000002567</v>
      </c>
      <c r="N426" s="1" t="s">
        <v>144</v>
      </c>
      <c r="O426" s="1" t="s">
        <v>145</v>
      </c>
      <c r="P426" s="1" t="s">
        <v>146</v>
      </c>
      <c r="Q426" s="1" t="s">
        <v>147</v>
      </c>
      <c r="R426" s="1" t="s">
        <v>148</v>
      </c>
      <c r="S426" s="44">
        <v>6.69</v>
      </c>
      <c r="T426" s="44">
        <v>0.24</v>
      </c>
      <c r="U426" s="44">
        <v>0</v>
      </c>
      <c r="V426" s="44">
        <v>0</v>
      </c>
      <c r="W426" s="44">
        <v>0</v>
      </c>
      <c r="X426" s="45">
        <v>719270</v>
      </c>
      <c r="Y426" s="45">
        <v>201340000</v>
      </c>
      <c r="Z426" s="45"/>
      <c r="AA426" s="46">
        <v>201340000</v>
      </c>
    </row>
    <row r="427" spans="1:27" ht="15" customHeight="1">
      <c r="A427" s="1">
        <v>75</v>
      </c>
      <c r="B427" s="1" t="s">
        <v>554</v>
      </c>
      <c r="C427" s="1" t="s">
        <v>555</v>
      </c>
      <c r="D427" s="1" t="s">
        <v>535</v>
      </c>
      <c r="E427" s="1" t="s">
        <v>240</v>
      </c>
      <c r="F427" s="1" t="s">
        <v>183</v>
      </c>
      <c r="G427" s="1" t="s">
        <v>141</v>
      </c>
      <c r="H427" s="1">
        <v>1005001478</v>
      </c>
      <c r="I427" s="1" t="s">
        <v>38</v>
      </c>
      <c r="J427" s="1">
        <v>157</v>
      </c>
      <c r="K427" s="1" t="s">
        <v>184</v>
      </c>
      <c r="L427" s="1">
        <v>1001023046</v>
      </c>
      <c r="M427" s="1">
        <v>1142000002572</v>
      </c>
      <c r="N427" s="1" t="s">
        <v>144</v>
      </c>
      <c r="O427" s="1" t="s">
        <v>145</v>
      </c>
      <c r="P427" s="1" t="s">
        <v>146</v>
      </c>
      <c r="Q427" s="1" t="s">
        <v>147</v>
      </c>
      <c r="R427" s="1" t="s">
        <v>148</v>
      </c>
      <c r="S427" s="44">
        <v>6.59</v>
      </c>
      <c r="T427" s="44">
        <v>0.25</v>
      </c>
      <c r="U427" s="44">
        <v>0</v>
      </c>
      <c r="V427" s="44">
        <v>0</v>
      </c>
      <c r="W427" s="44">
        <v>0</v>
      </c>
      <c r="X427" s="45">
        <v>707350</v>
      </c>
      <c r="Y427" s="45">
        <v>201556000</v>
      </c>
      <c r="Z427" s="45"/>
      <c r="AA427" s="46">
        <v>201556000</v>
      </c>
    </row>
    <row r="428" spans="1:27" ht="15" customHeight="1">
      <c r="A428" s="1">
        <v>75</v>
      </c>
      <c r="B428" s="1" t="s">
        <v>554</v>
      </c>
      <c r="C428" s="1" t="s">
        <v>555</v>
      </c>
      <c r="D428" s="1" t="s">
        <v>535</v>
      </c>
      <c r="E428" s="1" t="s">
        <v>240</v>
      </c>
      <c r="F428" s="1" t="s">
        <v>183</v>
      </c>
      <c r="G428" s="1" t="s">
        <v>141</v>
      </c>
      <c r="H428" s="1">
        <v>1005001479</v>
      </c>
      <c r="I428" s="1" t="s">
        <v>38</v>
      </c>
      <c r="J428" s="1">
        <v>157</v>
      </c>
      <c r="K428" s="1" t="s">
        <v>184</v>
      </c>
      <c r="L428" s="1">
        <v>1001023047</v>
      </c>
      <c r="M428" s="1">
        <v>1142000002573</v>
      </c>
      <c r="N428" s="1" t="s">
        <v>144</v>
      </c>
      <c r="O428" s="1" t="s">
        <v>145</v>
      </c>
      <c r="P428" s="1" t="s">
        <v>146</v>
      </c>
      <c r="Q428" s="1" t="s">
        <v>147</v>
      </c>
      <c r="R428" s="1" t="s">
        <v>148</v>
      </c>
      <c r="S428" s="44">
        <v>6.36</v>
      </c>
      <c r="T428" s="44">
        <v>0.25</v>
      </c>
      <c r="U428" s="44">
        <v>0</v>
      </c>
      <c r="V428" s="44">
        <v>0</v>
      </c>
      <c r="W428" s="44">
        <v>0</v>
      </c>
      <c r="X428" s="45">
        <v>866170</v>
      </c>
      <c r="Y428" s="45">
        <v>201100000</v>
      </c>
      <c r="Z428" s="45"/>
      <c r="AA428" s="46">
        <v>201100000</v>
      </c>
    </row>
    <row r="429" spans="1:27" ht="15" customHeight="1">
      <c r="A429" s="1">
        <v>75</v>
      </c>
      <c r="B429" s="1" t="s">
        <v>554</v>
      </c>
      <c r="C429" s="1" t="s">
        <v>555</v>
      </c>
      <c r="D429" s="1" t="s">
        <v>535</v>
      </c>
      <c r="E429" s="1" t="s">
        <v>240</v>
      </c>
      <c r="F429" s="1" t="s">
        <v>183</v>
      </c>
      <c r="G429" s="1" t="s">
        <v>141</v>
      </c>
      <c r="H429" s="1">
        <v>1005001480</v>
      </c>
      <c r="I429" s="1" t="s">
        <v>38</v>
      </c>
      <c r="J429" s="1">
        <v>157</v>
      </c>
      <c r="K429" s="1" t="s">
        <v>184</v>
      </c>
      <c r="L429" s="1">
        <v>1001023357</v>
      </c>
      <c r="M429" s="1">
        <v>1142000002594</v>
      </c>
      <c r="N429" s="1" t="s">
        <v>144</v>
      </c>
      <c r="O429" s="1" t="s">
        <v>145</v>
      </c>
      <c r="P429" s="1" t="s">
        <v>146</v>
      </c>
      <c r="Q429" s="1" t="s">
        <v>147</v>
      </c>
      <c r="R429" s="1" t="s">
        <v>148</v>
      </c>
      <c r="S429" s="44">
        <v>6.03</v>
      </c>
      <c r="T429" s="44">
        <v>0.4</v>
      </c>
      <c r="U429" s="44">
        <v>0</v>
      </c>
      <c r="V429" s="44">
        <v>0</v>
      </c>
      <c r="W429" s="44">
        <v>0</v>
      </c>
      <c r="X429" s="45">
        <v>957410</v>
      </c>
      <c r="Y429" s="45">
        <v>201822000</v>
      </c>
      <c r="Z429" s="45"/>
      <c r="AA429" s="46">
        <v>201822000</v>
      </c>
    </row>
    <row r="430" spans="1:27" ht="15" customHeight="1">
      <c r="A430" s="1">
        <v>75</v>
      </c>
      <c r="B430" s="1" t="s">
        <v>554</v>
      </c>
      <c r="C430" s="1" t="s">
        <v>555</v>
      </c>
      <c r="D430" s="1" t="s">
        <v>535</v>
      </c>
      <c r="E430" s="1" t="s">
        <v>240</v>
      </c>
      <c r="F430" s="1" t="s">
        <v>183</v>
      </c>
      <c r="G430" s="1" t="s">
        <v>141</v>
      </c>
      <c r="H430" s="1">
        <v>1005001481</v>
      </c>
      <c r="I430" s="1" t="s">
        <v>38</v>
      </c>
      <c r="J430" s="1">
        <v>157</v>
      </c>
      <c r="K430" s="1" t="s">
        <v>184</v>
      </c>
      <c r="L430" s="1">
        <v>1001023358</v>
      </c>
      <c r="M430" s="1">
        <v>1142000002595</v>
      </c>
      <c r="N430" s="1" t="s">
        <v>144</v>
      </c>
      <c r="O430" s="1" t="s">
        <v>145</v>
      </c>
      <c r="P430" s="1" t="s">
        <v>146</v>
      </c>
      <c r="Q430" s="1" t="s">
        <v>147</v>
      </c>
      <c r="R430" s="1" t="s">
        <v>148</v>
      </c>
      <c r="S430" s="44">
        <v>5.74</v>
      </c>
      <c r="T430" s="44">
        <v>0.25</v>
      </c>
      <c r="U430" s="44">
        <v>0</v>
      </c>
      <c r="V430" s="44">
        <v>0</v>
      </c>
      <c r="W430" s="44">
        <v>0</v>
      </c>
      <c r="X430" s="45">
        <v>798630</v>
      </c>
      <c r="Y430" s="45">
        <v>100933000</v>
      </c>
      <c r="Z430" s="45"/>
      <c r="AA430" s="46">
        <v>100933000</v>
      </c>
    </row>
    <row r="431" spans="1:27" ht="15" customHeight="1">
      <c r="A431" s="1">
        <v>75</v>
      </c>
      <c r="B431" s="1" t="s">
        <v>554</v>
      </c>
      <c r="C431" s="1" t="s">
        <v>555</v>
      </c>
      <c r="D431" s="1" t="s">
        <v>535</v>
      </c>
      <c r="E431" s="1" t="s">
        <v>240</v>
      </c>
      <c r="F431" s="1" t="s">
        <v>183</v>
      </c>
      <c r="G431" s="1" t="s">
        <v>141</v>
      </c>
      <c r="H431" s="1">
        <v>1005001482</v>
      </c>
      <c r="I431" s="1" t="s">
        <v>38</v>
      </c>
      <c r="J431" s="1">
        <v>157</v>
      </c>
      <c r="K431" s="1" t="s">
        <v>184</v>
      </c>
      <c r="L431" s="1">
        <v>1001023419</v>
      </c>
      <c r="M431" s="1">
        <v>1142000002599</v>
      </c>
      <c r="N431" s="1" t="s">
        <v>144</v>
      </c>
      <c r="O431" s="1" t="s">
        <v>145</v>
      </c>
      <c r="P431" s="1" t="s">
        <v>146</v>
      </c>
      <c r="Q431" s="1" t="s">
        <v>147</v>
      </c>
      <c r="R431" s="1" t="s">
        <v>148</v>
      </c>
      <c r="S431" s="44">
        <v>5.87</v>
      </c>
      <c r="T431" s="44">
        <v>0.26</v>
      </c>
      <c r="U431" s="44">
        <v>0</v>
      </c>
      <c r="V431" s="44">
        <v>0</v>
      </c>
      <c r="W431" s="44">
        <v>0</v>
      </c>
      <c r="X431" s="45">
        <v>1011890</v>
      </c>
      <c r="Y431" s="45">
        <v>202378000</v>
      </c>
      <c r="Z431" s="45"/>
      <c r="AA431" s="46">
        <v>202378000</v>
      </c>
    </row>
    <row r="432" spans="1:27" ht="15" customHeight="1">
      <c r="A432" s="1">
        <v>75</v>
      </c>
      <c r="B432" s="1" t="s">
        <v>554</v>
      </c>
      <c r="C432" s="1" t="s">
        <v>555</v>
      </c>
      <c r="D432" s="1" t="s">
        <v>535</v>
      </c>
      <c r="E432" s="1" t="s">
        <v>240</v>
      </c>
      <c r="F432" s="1" t="s">
        <v>183</v>
      </c>
      <c r="G432" s="1" t="s">
        <v>141</v>
      </c>
      <c r="H432" s="1">
        <v>1005001483</v>
      </c>
      <c r="I432" s="1" t="s">
        <v>38</v>
      </c>
      <c r="J432" s="1">
        <v>157</v>
      </c>
      <c r="K432" s="1" t="s">
        <v>184</v>
      </c>
      <c r="L432" s="1">
        <v>1001023420</v>
      </c>
      <c r="M432" s="1">
        <v>1142000002600</v>
      </c>
      <c r="N432" s="1" t="s">
        <v>144</v>
      </c>
      <c r="O432" s="1" t="s">
        <v>145</v>
      </c>
      <c r="P432" s="1" t="s">
        <v>146</v>
      </c>
      <c r="Q432" s="1" t="s">
        <v>147</v>
      </c>
      <c r="R432" s="1" t="s">
        <v>148</v>
      </c>
      <c r="S432" s="44">
        <v>5.47</v>
      </c>
      <c r="T432" s="44">
        <v>0.24</v>
      </c>
      <c r="U432" s="44">
        <v>0</v>
      </c>
      <c r="V432" s="44">
        <v>0</v>
      </c>
      <c r="W432" s="44">
        <v>0</v>
      </c>
      <c r="X432" s="45">
        <v>856110</v>
      </c>
      <c r="Y432" s="45">
        <v>100417000</v>
      </c>
      <c r="Z432" s="45"/>
      <c r="AA432" s="46">
        <v>100417000</v>
      </c>
    </row>
    <row r="433" spans="1:27" ht="15" customHeight="1">
      <c r="A433" s="1">
        <v>75</v>
      </c>
      <c r="B433" s="1" t="s">
        <v>554</v>
      </c>
      <c r="C433" s="1" t="s">
        <v>555</v>
      </c>
      <c r="D433" s="1" t="s">
        <v>535</v>
      </c>
      <c r="E433" s="1" t="s">
        <v>551</v>
      </c>
      <c r="F433" s="1" t="s">
        <v>183</v>
      </c>
      <c r="G433" s="1" t="s">
        <v>141</v>
      </c>
      <c r="H433" s="1">
        <v>1005001904</v>
      </c>
      <c r="I433" s="1" t="s">
        <v>102</v>
      </c>
      <c r="J433" s="1">
        <v>88</v>
      </c>
      <c r="K433" s="1" t="s">
        <v>184</v>
      </c>
      <c r="L433" s="1">
        <v>1001025608</v>
      </c>
      <c r="M433" s="1">
        <v>1142000002815</v>
      </c>
      <c r="N433" s="1" t="s">
        <v>334</v>
      </c>
      <c r="O433" s="1" t="s">
        <v>297</v>
      </c>
      <c r="P433" s="1" t="s">
        <v>146</v>
      </c>
      <c r="Q433" s="1" t="s">
        <v>147</v>
      </c>
      <c r="R433" s="1" t="s">
        <v>148</v>
      </c>
      <c r="S433" s="44">
        <v>12.73</v>
      </c>
      <c r="T433" s="44">
        <v>0.31</v>
      </c>
      <c r="U433" s="44">
        <v>0</v>
      </c>
      <c r="V433" s="44">
        <v>0</v>
      </c>
      <c r="W433" s="44">
        <v>0</v>
      </c>
      <c r="X433" s="45">
        <v>395460</v>
      </c>
      <c r="Y433" s="45">
        <v>19377540</v>
      </c>
      <c r="Z433" s="45"/>
      <c r="AA433" s="46">
        <v>19377540</v>
      </c>
    </row>
    <row r="434" spans="1:27" ht="15" customHeight="1">
      <c r="A434" s="1">
        <v>75</v>
      </c>
      <c r="B434" s="1" t="s">
        <v>554</v>
      </c>
      <c r="C434" s="1" t="s">
        <v>555</v>
      </c>
      <c r="D434" s="1" t="s">
        <v>535</v>
      </c>
      <c r="E434" s="1" t="s">
        <v>240</v>
      </c>
      <c r="F434" s="1" t="s">
        <v>183</v>
      </c>
      <c r="G434" s="1" t="s">
        <v>141</v>
      </c>
      <c r="H434" s="1">
        <v>1005002109</v>
      </c>
      <c r="I434" s="1" t="s">
        <v>39</v>
      </c>
      <c r="J434" s="1">
        <v>65</v>
      </c>
      <c r="K434" s="1" t="s">
        <v>184</v>
      </c>
      <c r="L434" s="1">
        <v>1001025900</v>
      </c>
      <c r="M434" s="1">
        <v>1142000002842</v>
      </c>
      <c r="N434" s="1" t="s">
        <v>144</v>
      </c>
      <c r="O434" s="1" t="s">
        <v>145</v>
      </c>
      <c r="P434" s="1" t="s">
        <v>146</v>
      </c>
      <c r="Q434" s="1" t="s">
        <v>147</v>
      </c>
      <c r="R434" s="1" t="s">
        <v>148</v>
      </c>
      <c r="S434" s="44">
        <v>5.63</v>
      </c>
      <c r="T434" s="44">
        <v>0.27</v>
      </c>
      <c r="U434" s="44">
        <v>0</v>
      </c>
      <c r="V434" s="44">
        <v>0</v>
      </c>
      <c r="W434" s="44">
        <v>0</v>
      </c>
      <c r="X434" s="45">
        <v>1007140</v>
      </c>
      <c r="Y434" s="45">
        <v>201428000</v>
      </c>
      <c r="Z434" s="45"/>
      <c r="AA434" s="46">
        <v>201428000</v>
      </c>
    </row>
    <row r="435" spans="1:27" ht="15" customHeight="1">
      <c r="A435" s="1">
        <v>75</v>
      </c>
      <c r="B435" s="1" t="s">
        <v>554</v>
      </c>
      <c r="C435" s="1" t="s">
        <v>555</v>
      </c>
      <c r="D435" s="1" t="s">
        <v>535</v>
      </c>
      <c r="E435" s="1" t="s">
        <v>240</v>
      </c>
      <c r="F435" s="1" t="s">
        <v>183</v>
      </c>
      <c r="G435" s="1" t="s">
        <v>141</v>
      </c>
      <c r="H435" s="1">
        <v>1005002110</v>
      </c>
      <c r="I435" s="1" t="s">
        <v>39</v>
      </c>
      <c r="J435" s="1">
        <v>65</v>
      </c>
      <c r="K435" s="1" t="s">
        <v>184</v>
      </c>
      <c r="L435" s="1">
        <v>1001025974</v>
      </c>
      <c r="M435" s="1">
        <v>1142000002858</v>
      </c>
      <c r="N435" s="1" t="s">
        <v>144</v>
      </c>
      <c r="O435" s="1" t="s">
        <v>145</v>
      </c>
      <c r="P435" s="1" t="s">
        <v>146</v>
      </c>
      <c r="Q435" s="1" t="s">
        <v>147</v>
      </c>
      <c r="R435" s="1" t="s">
        <v>148</v>
      </c>
      <c r="S435" s="44">
        <v>5.63</v>
      </c>
      <c r="T435" s="44">
        <v>0.28000000000000003</v>
      </c>
      <c r="U435" s="44">
        <v>0</v>
      </c>
      <c r="V435" s="44">
        <v>0</v>
      </c>
      <c r="W435" s="44">
        <v>0</v>
      </c>
      <c r="X435" s="45">
        <v>1000420</v>
      </c>
      <c r="Y435" s="45">
        <v>200084000</v>
      </c>
      <c r="Z435" s="45"/>
      <c r="AA435" s="46">
        <v>200084000</v>
      </c>
    </row>
    <row r="436" spans="1:27" ht="15" customHeight="1">
      <c r="A436" s="1">
        <v>75</v>
      </c>
      <c r="B436" s="1" t="s">
        <v>554</v>
      </c>
      <c r="C436" s="1" t="s">
        <v>555</v>
      </c>
      <c r="D436" s="1" t="s">
        <v>535</v>
      </c>
      <c r="E436" s="1" t="s">
        <v>240</v>
      </c>
      <c r="F436" s="1" t="s">
        <v>183</v>
      </c>
      <c r="G436" s="1" t="s">
        <v>141</v>
      </c>
      <c r="H436" s="1">
        <v>1005002111</v>
      </c>
      <c r="I436" s="1" t="s">
        <v>39</v>
      </c>
      <c r="J436" s="1">
        <v>65</v>
      </c>
      <c r="K436" s="1" t="s">
        <v>184</v>
      </c>
      <c r="L436" s="1">
        <v>1001026173</v>
      </c>
      <c r="M436" s="1">
        <v>1142000002884</v>
      </c>
      <c r="N436" s="1" t="s">
        <v>144</v>
      </c>
      <c r="O436" s="1" t="s">
        <v>145</v>
      </c>
      <c r="P436" s="1" t="s">
        <v>146</v>
      </c>
      <c r="Q436" s="1" t="s">
        <v>147</v>
      </c>
      <c r="R436" s="1" t="s">
        <v>148</v>
      </c>
      <c r="S436" s="44">
        <v>5.64</v>
      </c>
      <c r="T436" s="44">
        <v>0.28000000000000003</v>
      </c>
      <c r="U436" s="44">
        <v>0</v>
      </c>
      <c r="V436" s="44">
        <v>0</v>
      </c>
      <c r="W436" s="44">
        <v>0</v>
      </c>
      <c r="X436" s="45">
        <v>1009790</v>
      </c>
      <c r="Y436" s="45">
        <v>201958000</v>
      </c>
      <c r="Z436" s="45"/>
      <c r="AA436" s="46">
        <v>201958000</v>
      </c>
    </row>
    <row r="437" spans="1:27" ht="15" customHeight="1">
      <c r="A437" s="1">
        <v>75</v>
      </c>
      <c r="B437" s="1" t="s">
        <v>554</v>
      </c>
      <c r="C437" s="1" t="s">
        <v>555</v>
      </c>
      <c r="D437" s="1" t="s">
        <v>535</v>
      </c>
      <c r="E437" s="1" t="s">
        <v>240</v>
      </c>
      <c r="F437" s="1" t="s">
        <v>183</v>
      </c>
      <c r="G437" s="1" t="s">
        <v>141</v>
      </c>
      <c r="H437" s="1">
        <v>1005002112</v>
      </c>
      <c r="I437" s="1" t="s">
        <v>39</v>
      </c>
      <c r="J437" s="1">
        <v>65</v>
      </c>
      <c r="K437" s="1" t="s">
        <v>184</v>
      </c>
      <c r="L437" s="1">
        <v>1001026174</v>
      </c>
      <c r="M437" s="1">
        <v>1142000002885</v>
      </c>
      <c r="N437" s="1" t="s">
        <v>144</v>
      </c>
      <c r="O437" s="1" t="s">
        <v>145</v>
      </c>
      <c r="P437" s="1" t="s">
        <v>146</v>
      </c>
      <c r="Q437" s="1" t="s">
        <v>147</v>
      </c>
      <c r="R437" s="1" t="s">
        <v>148</v>
      </c>
      <c r="S437" s="44">
        <v>5.87</v>
      </c>
      <c r="T437" s="44">
        <v>0.28000000000000003</v>
      </c>
      <c r="U437" s="44">
        <v>0</v>
      </c>
      <c r="V437" s="44">
        <v>0</v>
      </c>
      <c r="W437" s="44">
        <v>0</v>
      </c>
      <c r="X437" s="45">
        <v>1018770</v>
      </c>
      <c r="Y437" s="45">
        <v>203754000</v>
      </c>
      <c r="Z437" s="45"/>
      <c r="AA437" s="46">
        <v>203754000</v>
      </c>
    </row>
    <row r="438" spans="1:27" ht="15" customHeight="1">
      <c r="A438" s="1">
        <v>75</v>
      </c>
      <c r="B438" s="1" t="s">
        <v>554</v>
      </c>
      <c r="C438" s="1" t="s">
        <v>555</v>
      </c>
      <c r="D438" s="1" t="s">
        <v>535</v>
      </c>
      <c r="E438" s="1" t="s">
        <v>240</v>
      </c>
      <c r="F438" s="1" t="s">
        <v>183</v>
      </c>
      <c r="G438" s="1" t="s">
        <v>141</v>
      </c>
      <c r="H438" s="1">
        <v>1005002113</v>
      </c>
      <c r="I438" s="1" t="s">
        <v>39</v>
      </c>
      <c r="J438" s="1">
        <v>65</v>
      </c>
      <c r="K438" s="1" t="s">
        <v>184</v>
      </c>
      <c r="L438" s="1">
        <v>1001026298</v>
      </c>
      <c r="M438" s="1">
        <v>1142000002897</v>
      </c>
      <c r="N438" s="1" t="s">
        <v>144</v>
      </c>
      <c r="O438" s="1" t="s">
        <v>145</v>
      </c>
      <c r="P438" s="1" t="s">
        <v>146</v>
      </c>
      <c r="Q438" s="1" t="s">
        <v>147</v>
      </c>
      <c r="R438" s="1" t="s">
        <v>148</v>
      </c>
      <c r="S438" s="44">
        <v>5.81</v>
      </c>
      <c r="T438" s="44">
        <v>0.28000000000000003</v>
      </c>
      <c r="U438" s="44">
        <v>0</v>
      </c>
      <c r="V438" s="44">
        <v>0</v>
      </c>
      <c r="W438" s="44">
        <v>0</v>
      </c>
      <c r="X438" s="45">
        <v>1003230</v>
      </c>
      <c r="Y438" s="45">
        <v>200646000</v>
      </c>
      <c r="Z438" s="45"/>
      <c r="AA438" s="46">
        <v>200646000</v>
      </c>
    </row>
    <row r="439" spans="1:27" ht="15" customHeight="1">
      <c r="A439" s="1">
        <v>75</v>
      </c>
      <c r="B439" s="1" t="s">
        <v>554</v>
      </c>
      <c r="C439" s="1" t="s">
        <v>555</v>
      </c>
      <c r="D439" s="1" t="s">
        <v>535</v>
      </c>
      <c r="E439" s="1" t="s">
        <v>240</v>
      </c>
      <c r="F439" s="1" t="s">
        <v>183</v>
      </c>
      <c r="G439" s="1" t="s">
        <v>141</v>
      </c>
      <c r="H439" s="1">
        <v>1005002114</v>
      </c>
      <c r="I439" s="1" t="s">
        <v>39</v>
      </c>
      <c r="J439" s="1">
        <v>65</v>
      </c>
      <c r="K439" s="1" t="s">
        <v>184</v>
      </c>
      <c r="L439" s="1">
        <v>1001026299</v>
      </c>
      <c r="M439" s="1">
        <v>1142000002898</v>
      </c>
      <c r="N439" s="1" t="s">
        <v>144</v>
      </c>
      <c r="O439" s="1" t="s">
        <v>145</v>
      </c>
      <c r="P439" s="1" t="s">
        <v>146</v>
      </c>
      <c r="Q439" s="1" t="s">
        <v>147</v>
      </c>
      <c r="R439" s="1" t="s">
        <v>148</v>
      </c>
      <c r="S439" s="44">
        <v>5.75</v>
      </c>
      <c r="T439" s="44">
        <v>0.28000000000000003</v>
      </c>
      <c r="U439" s="44">
        <v>0</v>
      </c>
      <c r="V439" s="44">
        <v>0</v>
      </c>
      <c r="W439" s="44">
        <v>0</v>
      </c>
      <c r="X439" s="45">
        <v>1006860</v>
      </c>
      <c r="Y439" s="45">
        <v>201372000</v>
      </c>
      <c r="Z439" s="45"/>
      <c r="AA439" s="46">
        <v>201372000</v>
      </c>
    </row>
    <row r="440" spans="1:27" ht="15" customHeight="1">
      <c r="A440" s="1">
        <v>75</v>
      </c>
      <c r="B440" s="1" t="s">
        <v>554</v>
      </c>
      <c r="C440" s="1" t="s">
        <v>555</v>
      </c>
      <c r="D440" s="1" t="s">
        <v>535</v>
      </c>
      <c r="E440" s="1" t="s">
        <v>240</v>
      </c>
      <c r="F440" s="1" t="s">
        <v>183</v>
      </c>
      <c r="G440" s="1" t="s">
        <v>141</v>
      </c>
      <c r="H440" s="1">
        <v>1005002115</v>
      </c>
      <c r="I440" s="1" t="s">
        <v>39</v>
      </c>
      <c r="J440" s="1">
        <v>65</v>
      </c>
      <c r="K440" s="1" t="s">
        <v>184</v>
      </c>
      <c r="L440" s="1">
        <v>1001026451</v>
      </c>
      <c r="M440" s="1">
        <v>1142000002911</v>
      </c>
      <c r="N440" s="1" t="s">
        <v>144</v>
      </c>
      <c r="O440" s="1" t="s">
        <v>145</v>
      </c>
      <c r="P440" s="1" t="s">
        <v>146</v>
      </c>
      <c r="Q440" s="1" t="s">
        <v>147</v>
      </c>
      <c r="R440" s="1" t="s">
        <v>148</v>
      </c>
      <c r="S440" s="44">
        <v>6.02</v>
      </c>
      <c r="T440" s="44">
        <v>0.28000000000000003</v>
      </c>
      <c r="U440" s="44">
        <v>0</v>
      </c>
      <c r="V440" s="44">
        <v>0</v>
      </c>
      <c r="W440" s="44">
        <v>0</v>
      </c>
      <c r="X440" s="45">
        <v>997610</v>
      </c>
      <c r="Y440" s="45">
        <v>199522000</v>
      </c>
      <c r="Z440" s="45"/>
      <c r="AA440" s="46">
        <v>199522000</v>
      </c>
    </row>
    <row r="441" spans="1:27" ht="15" customHeight="1">
      <c r="A441" s="1">
        <v>75</v>
      </c>
      <c r="B441" s="1" t="s">
        <v>554</v>
      </c>
      <c r="C441" s="1" t="s">
        <v>555</v>
      </c>
      <c r="D441" s="1" t="s">
        <v>535</v>
      </c>
      <c r="E441" s="1" t="s">
        <v>240</v>
      </c>
      <c r="F441" s="1" t="s">
        <v>183</v>
      </c>
      <c r="G441" s="1" t="s">
        <v>141</v>
      </c>
      <c r="H441" s="1">
        <v>1005002116</v>
      </c>
      <c r="I441" s="1" t="s">
        <v>39</v>
      </c>
      <c r="J441" s="1">
        <v>65</v>
      </c>
      <c r="K441" s="1" t="s">
        <v>184</v>
      </c>
      <c r="L441" s="1">
        <v>1001026458</v>
      </c>
      <c r="M441" s="1">
        <v>1142000002914</v>
      </c>
      <c r="N441" s="1" t="s">
        <v>144</v>
      </c>
      <c r="O441" s="1" t="s">
        <v>145</v>
      </c>
      <c r="P441" s="1" t="s">
        <v>146</v>
      </c>
      <c r="Q441" s="1" t="s">
        <v>147</v>
      </c>
      <c r="R441" s="1" t="s">
        <v>148</v>
      </c>
      <c r="S441" s="44">
        <v>5.78</v>
      </c>
      <c r="T441" s="44">
        <v>0.26</v>
      </c>
      <c r="U441" s="44">
        <v>0</v>
      </c>
      <c r="V441" s="44">
        <v>0</v>
      </c>
      <c r="W441" s="44">
        <v>0</v>
      </c>
      <c r="X441" s="45">
        <v>1018510</v>
      </c>
      <c r="Y441" s="45">
        <v>203702000</v>
      </c>
      <c r="Z441" s="45"/>
      <c r="AA441" s="46">
        <v>203702000</v>
      </c>
    </row>
    <row r="442" spans="1:27" ht="15" customHeight="1">
      <c r="A442" s="1">
        <v>75</v>
      </c>
      <c r="B442" s="1" t="s">
        <v>554</v>
      </c>
      <c r="C442" s="1" t="s">
        <v>555</v>
      </c>
      <c r="D442" s="1" t="s">
        <v>535</v>
      </c>
      <c r="E442" s="1" t="s">
        <v>240</v>
      </c>
      <c r="F442" s="1" t="s">
        <v>183</v>
      </c>
      <c r="G442" s="1" t="s">
        <v>141</v>
      </c>
      <c r="H442" s="1">
        <v>1005002286</v>
      </c>
      <c r="I442" s="1" t="s">
        <v>40</v>
      </c>
      <c r="J442" s="1">
        <v>37</v>
      </c>
      <c r="K442" s="1" t="s">
        <v>184</v>
      </c>
      <c r="L442" s="1">
        <v>1001026664</v>
      </c>
      <c r="M442" s="1">
        <v>1142000002938</v>
      </c>
      <c r="N442" s="1" t="s">
        <v>144</v>
      </c>
      <c r="O442" s="1" t="s">
        <v>145</v>
      </c>
      <c r="P442" s="1" t="s">
        <v>146</v>
      </c>
      <c r="Q442" s="1" t="s">
        <v>147</v>
      </c>
      <c r="R442" s="1" t="s">
        <v>148</v>
      </c>
      <c r="S442" s="44">
        <v>6.57</v>
      </c>
      <c r="T442" s="44">
        <v>0.27</v>
      </c>
      <c r="U442" s="44">
        <v>0</v>
      </c>
      <c r="V442" s="44">
        <v>0</v>
      </c>
      <c r="W442" s="44">
        <v>0</v>
      </c>
      <c r="X442" s="45">
        <v>830030</v>
      </c>
      <c r="Y442" s="45">
        <v>971007000</v>
      </c>
      <c r="Z442" s="45"/>
      <c r="AA442" s="46">
        <v>971007000</v>
      </c>
    </row>
    <row r="443" spans="1:27" ht="15" customHeight="1">
      <c r="A443" s="1">
        <v>75</v>
      </c>
      <c r="B443" s="1" t="s">
        <v>554</v>
      </c>
      <c r="C443" s="1" t="s">
        <v>555</v>
      </c>
      <c r="D443" s="1" t="s">
        <v>535</v>
      </c>
      <c r="E443" s="1" t="s">
        <v>240</v>
      </c>
      <c r="F443" s="1" t="s">
        <v>183</v>
      </c>
      <c r="G443" s="1" t="s">
        <v>141</v>
      </c>
      <c r="H443" s="1">
        <v>1005002287</v>
      </c>
      <c r="I443" s="1" t="s">
        <v>40</v>
      </c>
      <c r="J443" s="1">
        <v>37</v>
      </c>
      <c r="K443" s="1" t="s">
        <v>184</v>
      </c>
      <c r="L443" s="1">
        <v>1001026663</v>
      </c>
      <c r="M443" s="1">
        <v>1142000002937</v>
      </c>
      <c r="N443" s="1" t="s">
        <v>144</v>
      </c>
      <c r="O443" s="1" t="s">
        <v>145</v>
      </c>
      <c r="P443" s="1" t="s">
        <v>146</v>
      </c>
      <c r="Q443" s="1" t="s">
        <v>147</v>
      </c>
      <c r="R443" s="1" t="s">
        <v>148</v>
      </c>
      <c r="S443" s="44">
        <v>6.5</v>
      </c>
      <c r="T443" s="44">
        <v>0.27</v>
      </c>
      <c r="U443" s="44">
        <v>0</v>
      </c>
      <c r="V443" s="44">
        <v>0</v>
      </c>
      <c r="W443" s="44">
        <v>0</v>
      </c>
      <c r="X443" s="45">
        <v>913340</v>
      </c>
      <c r="Y443" s="45">
        <v>1001583000</v>
      </c>
      <c r="Z443" s="45"/>
      <c r="AA443" s="46">
        <v>1001583000</v>
      </c>
    </row>
    <row r="444" spans="1:27" ht="15" customHeight="1">
      <c r="A444" s="1">
        <v>75</v>
      </c>
      <c r="B444" s="1" t="s">
        <v>554</v>
      </c>
      <c r="C444" s="1" t="s">
        <v>555</v>
      </c>
      <c r="D444" s="1" t="s">
        <v>535</v>
      </c>
      <c r="E444" s="1" t="s">
        <v>240</v>
      </c>
      <c r="F444" s="1" t="s">
        <v>183</v>
      </c>
      <c r="G444" s="1" t="s">
        <v>141</v>
      </c>
      <c r="H444" s="1">
        <v>1005002289</v>
      </c>
      <c r="I444" s="1" t="s">
        <v>40</v>
      </c>
      <c r="J444" s="1">
        <v>37</v>
      </c>
      <c r="K444" s="1" t="s">
        <v>184</v>
      </c>
      <c r="L444" s="1">
        <v>1001027094</v>
      </c>
      <c r="M444" s="1">
        <v>1142000003000</v>
      </c>
      <c r="N444" s="1" t="s">
        <v>144</v>
      </c>
      <c r="O444" s="1" t="s">
        <v>145</v>
      </c>
      <c r="P444" s="1" t="s">
        <v>146</v>
      </c>
      <c r="Q444" s="1" t="s">
        <v>147</v>
      </c>
      <c r="R444" s="1" t="s">
        <v>148</v>
      </c>
      <c r="S444" s="44">
        <v>6.5</v>
      </c>
      <c r="T444" s="44">
        <v>0.28000000000000003</v>
      </c>
      <c r="U444" s="44">
        <v>0</v>
      </c>
      <c r="V444" s="44">
        <v>0</v>
      </c>
      <c r="W444" s="44">
        <v>0</v>
      </c>
      <c r="X444" s="45">
        <v>1002880</v>
      </c>
      <c r="Y444" s="45">
        <v>1188012000</v>
      </c>
      <c r="Z444" s="45"/>
      <c r="AA444" s="46">
        <v>1188012000</v>
      </c>
    </row>
    <row r="445" spans="1:27" ht="15" customHeight="1">
      <c r="A445" s="1">
        <v>75</v>
      </c>
      <c r="B445" s="1" t="s">
        <v>554</v>
      </c>
      <c r="C445" s="1" t="s">
        <v>555</v>
      </c>
      <c r="D445" s="1" t="s">
        <v>535</v>
      </c>
      <c r="E445" s="1" t="s">
        <v>240</v>
      </c>
      <c r="F445" s="1" t="s">
        <v>183</v>
      </c>
      <c r="G445" s="1" t="s">
        <v>141</v>
      </c>
      <c r="H445" s="1">
        <v>1005002291</v>
      </c>
      <c r="I445" s="1" t="s">
        <v>41</v>
      </c>
      <c r="J445" s="1">
        <v>36</v>
      </c>
      <c r="K445" s="1" t="s">
        <v>184</v>
      </c>
      <c r="L445" s="1">
        <v>1001027093</v>
      </c>
      <c r="M445" s="1">
        <v>1142000002999</v>
      </c>
      <c r="N445" s="1" t="s">
        <v>144</v>
      </c>
      <c r="O445" s="1" t="s">
        <v>145</v>
      </c>
      <c r="P445" s="1" t="s">
        <v>146</v>
      </c>
      <c r="Q445" s="1" t="s">
        <v>147</v>
      </c>
      <c r="R445" s="1" t="s">
        <v>148</v>
      </c>
      <c r="S445" s="44">
        <v>6.67</v>
      </c>
      <c r="T445" s="44">
        <v>0.28000000000000003</v>
      </c>
      <c r="U445" s="44">
        <v>0</v>
      </c>
      <c r="V445" s="44">
        <v>0</v>
      </c>
      <c r="W445" s="44">
        <v>0</v>
      </c>
      <c r="X445" s="45">
        <v>862360</v>
      </c>
      <c r="Y445" s="45">
        <v>1163690000</v>
      </c>
      <c r="Z445" s="45"/>
      <c r="AA445" s="46">
        <v>1163690000</v>
      </c>
    </row>
    <row r="446" spans="1:27" ht="15" customHeight="1">
      <c r="A446" s="1">
        <v>75</v>
      </c>
      <c r="B446" s="1" t="s">
        <v>554</v>
      </c>
      <c r="C446" s="1" t="s">
        <v>555</v>
      </c>
      <c r="D446" s="1" t="s">
        <v>535</v>
      </c>
      <c r="E446" s="1" t="s">
        <v>240</v>
      </c>
      <c r="F446" s="1" t="s">
        <v>183</v>
      </c>
      <c r="G446" s="1" t="s">
        <v>141</v>
      </c>
      <c r="H446" s="1">
        <v>1005002330</v>
      </c>
      <c r="I446" s="1" t="s">
        <v>10</v>
      </c>
      <c r="J446" s="1">
        <v>31</v>
      </c>
      <c r="K446" s="1" t="s">
        <v>184</v>
      </c>
      <c r="L446" s="1">
        <v>1001027515</v>
      </c>
      <c r="M446" s="1">
        <v>1142000003089</v>
      </c>
      <c r="N446" s="1" t="s">
        <v>144</v>
      </c>
      <c r="O446" s="1" t="s">
        <v>145</v>
      </c>
      <c r="P446" s="1" t="s">
        <v>146</v>
      </c>
      <c r="Q446" s="1" t="s">
        <v>147</v>
      </c>
      <c r="R446" s="1" t="s">
        <v>148</v>
      </c>
      <c r="S446" s="44">
        <v>6.49</v>
      </c>
      <c r="T446" s="44">
        <v>0.27</v>
      </c>
      <c r="U446" s="44">
        <v>0</v>
      </c>
      <c r="V446" s="44">
        <v>0</v>
      </c>
      <c r="W446" s="44">
        <v>0</v>
      </c>
      <c r="X446" s="45">
        <v>1000540</v>
      </c>
      <c r="Y446" s="45">
        <v>657542000</v>
      </c>
      <c r="Z446" s="45"/>
      <c r="AA446" s="46">
        <v>657542000</v>
      </c>
    </row>
    <row r="447" spans="1:27" ht="15" customHeight="1">
      <c r="A447" s="1">
        <v>75</v>
      </c>
      <c r="B447" s="1" t="s">
        <v>554</v>
      </c>
      <c r="C447" s="1" t="s">
        <v>555</v>
      </c>
      <c r="D447" s="1" t="s">
        <v>535</v>
      </c>
      <c r="E447" s="1" t="s">
        <v>240</v>
      </c>
      <c r="F447" s="1" t="s">
        <v>183</v>
      </c>
      <c r="G447" s="1" t="s">
        <v>141</v>
      </c>
      <c r="H447" s="1">
        <v>1005002344</v>
      </c>
      <c r="I447" s="1" t="s">
        <v>42</v>
      </c>
      <c r="J447" s="1">
        <v>29</v>
      </c>
      <c r="K447" s="1" t="s">
        <v>184</v>
      </c>
      <c r="L447" s="1">
        <v>1001027516</v>
      </c>
      <c r="M447" s="1">
        <v>1142000003090</v>
      </c>
      <c r="N447" s="1" t="s">
        <v>144</v>
      </c>
      <c r="O447" s="1" t="s">
        <v>145</v>
      </c>
      <c r="P447" s="1" t="s">
        <v>146</v>
      </c>
      <c r="Q447" s="1" t="s">
        <v>147</v>
      </c>
      <c r="R447" s="1" t="s">
        <v>148</v>
      </c>
      <c r="S447" s="44">
        <v>6.25</v>
      </c>
      <c r="T447" s="44">
        <v>0.28000000000000003</v>
      </c>
      <c r="U447" s="44">
        <v>0</v>
      </c>
      <c r="V447" s="44">
        <v>0</v>
      </c>
      <c r="W447" s="44">
        <v>0</v>
      </c>
      <c r="X447" s="45">
        <v>1007390</v>
      </c>
      <c r="Y447" s="45">
        <v>503584000</v>
      </c>
      <c r="Z447" s="45"/>
      <c r="AA447" s="46">
        <v>503584000</v>
      </c>
    </row>
    <row r="448" spans="1:27" ht="15" customHeight="1">
      <c r="A448" s="1">
        <v>75</v>
      </c>
      <c r="B448" s="1" t="s">
        <v>554</v>
      </c>
      <c r="C448" s="1" t="s">
        <v>555</v>
      </c>
      <c r="D448" s="1" t="s">
        <v>535</v>
      </c>
      <c r="E448" s="1" t="s">
        <v>330</v>
      </c>
      <c r="F448" s="1" t="s">
        <v>183</v>
      </c>
      <c r="G448" s="1" t="s">
        <v>141</v>
      </c>
      <c r="H448" s="1">
        <v>1005002351</v>
      </c>
      <c r="I448" s="1" t="s">
        <v>47</v>
      </c>
      <c r="J448" s="1">
        <v>25</v>
      </c>
      <c r="K448" s="1" t="s">
        <v>171</v>
      </c>
      <c r="L448" s="1">
        <v>1001027387</v>
      </c>
      <c r="M448" s="1">
        <v>1142000003066</v>
      </c>
      <c r="N448" s="1" t="s">
        <v>334</v>
      </c>
      <c r="O448" s="1" t="s">
        <v>297</v>
      </c>
      <c r="P448" s="1" t="s">
        <v>146</v>
      </c>
      <c r="Q448" s="1" t="s">
        <v>147</v>
      </c>
      <c r="R448" s="1" t="s">
        <v>148</v>
      </c>
      <c r="S448" s="44">
        <v>35.549999999999997</v>
      </c>
      <c r="T448" s="44">
        <v>1.26</v>
      </c>
      <c r="U448" s="44">
        <v>0</v>
      </c>
      <c r="V448" s="44">
        <v>0</v>
      </c>
      <c r="W448" s="44">
        <v>0</v>
      </c>
      <c r="X448" s="45">
        <v>27560</v>
      </c>
      <c r="Y448" s="45">
        <v>2756000</v>
      </c>
      <c r="Z448" s="45"/>
      <c r="AA448" s="46">
        <v>2756000</v>
      </c>
    </row>
    <row r="449" spans="1:27" ht="15" customHeight="1">
      <c r="A449" s="1">
        <v>75</v>
      </c>
      <c r="B449" s="1" t="s">
        <v>554</v>
      </c>
      <c r="C449" s="1" t="s">
        <v>555</v>
      </c>
      <c r="D449" s="1" t="s">
        <v>535</v>
      </c>
      <c r="E449" s="1" t="s">
        <v>330</v>
      </c>
      <c r="F449" s="1" t="s">
        <v>183</v>
      </c>
      <c r="G449" s="1" t="s">
        <v>141</v>
      </c>
      <c r="H449" s="1">
        <v>1005002352</v>
      </c>
      <c r="I449" s="1" t="s">
        <v>47</v>
      </c>
      <c r="J449" s="1">
        <v>25</v>
      </c>
      <c r="K449" s="1" t="s">
        <v>171</v>
      </c>
      <c r="L449" s="1">
        <v>1001027387</v>
      </c>
      <c r="M449" s="1">
        <v>1142000003066</v>
      </c>
      <c r="N449" s="1" t="s">
        <v>334</v>
      </c>
      <c r="O449" s="1" t="s">
        <v>297</v>
      </c>
      <c r="P449" s="1" t="s">
        <v>146</v>
      </c>
      <c r="Q449" s="1" t="s">
        <v>147</v>
      </c>
      <c r="R449" s="1" t="s">
        <v>148</v>
      </c>
      <c r="S449" s="44">
        <v>34.049999999999997</v>
      </c>
      <c r="T449" s="44">
        <v>1.75</v>
      </c>
      <c r="U449" s="44">
        <v>0</v>
      </c>
      <c r="V449" s="44">
        <v>0</v>
      </c>
      <c r="W449" s="44">
        <v>0</v>
      </c>
      <c r="X449" s="45">
        <v>75.78</v>
      </c>
      <c r="Y449" s="45">
        <v>948008</v>
      </c>
      <c r="Z449" s="45"/>
      <c r="AA449" s="46">
        <v>948008</v>
      </c>
    </row>
    <row r="450" spans="1:27" ht="15" customHeight="1">
      <c r="A450" s="1">
        <v>75</v>
      </c>
      <c r="B450" s="1" t="s">
        <v>554</v>
      </c>
      <c r="C450" s="1" t="s">
        <v>555</v>
      </c>
      <c r="D450" s="1" t="s">
        <v>535</v>
      </c>
      <c r="E450" s="1" t="s">
        <v>330</v>
      </c>
      <c r="F450" s="1" t="s">
        <v>183</v>
      </c>
      <c r="G450" s="1" t="s">
        <v>141</v>
      </c>
      <c r="H450" s="1">
        <v>1005002353</v>
      </c>
      <c r="I450" s="1" t="s">
        <v>47</v>
      </c>
      <c r="J450" s="1">
        <v>25</v>
      </c>
      <c r="K450" s="1" t="s">
        <v>171</v>
      </c>
      <c r="L450" s="1">
        <v>1001027385</v>
      </c>
      <c r="M450" s="1">
        <v>1142000003064</v>
      </c>
      <c r="N450" s="1" t="s">
        <v>296</v>
      </c>
      <c r="O450" s="1" t="s">
        <v>297</v>
      </c>
      <c r="P450" s="1" t="s">
        <v>146</v>
      </c>
      <c r="Q450" s="1" t="s">
        <v>147</v>
      </c>
      <c r="R450" s="1" t="s">
        <v>148</v>
      </c>
      <c r="S450" s="44">
        <v>36.159999999999997</v>
      </c>
      <c r="T450" s="44">
        <v>1.76</v>
      </c>
      <c r="U450" s="44">
        <v>0</v>
      </c>
      <c r="V450" s="44">
        <v>0</v>
      </c>
      <c r="W450" s="44">
        <v>0</v>
      </c>
      <c r="X450" s="45">
        <v>48320</v>
      </c>
      <c r="Y450" s="45">
        <v>9664000</v>
      </c>
      <c r="Z450" s="45"/>
      <c r="AA450" s="46">
        <v>9664000</v>
      </c>
    </row>
    <row r="451" spans="1:27" ht="15" customHeight="1">
      <c r="A451" s="1">
        <v>75</v>
      </c>
      <c r="B451" s="1" t="s">
        <v>554</v>
      </c>
      <c r="C451" s="1" t="s">
        <v>555</v>
      </c>
      <c r="D451" s="1" t="s">
        <v>535</v>
      </c>
      <c r="E451" s="1" t="s">
        <v>330</v>
      </c>
      <c r="F451" s="1" t="s">
        <v>183</v>
      </c>
      <c r="G451" s="1" t="s">
        <v>141</v>
      </c>
      <c r="H451" s="1">
        <v>1005002354</v>
      </c>
      <c r="I451" s="1" t="s">
        <v>47</v>
      </c>
      <c r="J451" s="1">
        <v>25</v>
      </c>
      <c r="K451" s="1" t="s">
        <v>171</v>
      </c>
      <c r="L451" s="1">
        <v>1001027385</v>
      </c>
      <c r="M451" s="1">
        <v>1142000003064</v>
      </c>
      <c r="N451" s="1" t="s">
        <v>296</v>
      </c>
      <c r="O451" s="1" t="s">
        <v>297</v>
      </c>
      <c r="P451" s="1" t="s">
        <v>146</v>
      </c>
      <c r="Q451" s="1" t="s">
        <v>147</v>
      </c>
      <c r="R451" s="1" t="s">
        <v>148</v>
      </c>
      <c r="S451" s="44">
        <v>34.42</v>
      </c>
      <c r="T451" s="44">
        <v>1.84</v>
      </c>
      <c r="U451" s="44">
        <v>0</v>
      </c>
      <c r="V451" s="44">
        <v>0</v>
      </c>
      <c r="W451" s="44">
        <v>0</v>
      </c>
      <c r="X451" s="45">
        <v>192.04</v>
      </c>
      <c r="Y451" s="45">
        <v>2402421</v>
      </c>
      <c r="Z451" s="45"/>
      <c r="AA451" s="46">
        <v>2402421</v>
      </c>
    </row>
    <row r="452" spans="1:27" ht="15" customHeight="1">
      <c r="A452" s="1">
        <v>75</v>
      </c>
      <c r="B452" s="1" t="s">
        <v>554</v>
      </c>
      <c r="C452" s="1" t="s">
        <v>555</v>
      </c>
      <c r="D452" s="1" t="s">
        <v>535</v>
      </c>
      <c r="E452" s="1" t="s">
        <v>556</v>
      </c>
      <c r="F452" s="1" t="s">
        <v>170</v>
      </c>
      <c r="G452" s="1" t="s">
        <v>141</v>
      </c>
      <c r="H452" s="1">
        <v>1005002439</v>
      </c>
      <c r="I452" s="1" t="s">
        <v>6</v>
      </c>
      <c r="J452" s="1">
        <v>11</v>
      </c>
      <c r="K452" s="1" t="s">
        <v>184</v>
      </c>
      <c r="L452" s="1">
        <v>1001027303</v>
      </c>
      <c r="M452" s="1">
        <v>1142000003044</v>
      </c>
      <c r="N452" s="1" t="s">
        <v>144</v>
      </c>
      <c r="O452" s="1" t="s">
        <v>145</v>
      </c>
      <c r="P452" s="1" t="s">
        <v>146</v>
      </c>
      <c r="Q452" s="1" t="s">
        <v>147</v>
      </c>
      <c r="R452" s="1" t="s">
        <v>148</v>
      </c>
      <c r="S452" s="44">
        <v>5.68</v>
      </c>
      <c r="T452" s="44">
        <v>0.27</v>
      </c>
      <c r="U452" s="44">
        <v>0</v>
      </c>
      <c r="V452" s="44">
        <v>0</v>
      </c>
      <c r="W452" s="44">
        <v>0</v>
      </c>
      <c r="X452" s="45">
        <v>476180</v>
      </c>
      <c r="Y452" s="45">
        <v>83484000</v>
      </c>
      <c r="Z452" s="45"/>
      <c r="AA452" s="46">
        <v>83484000</v>
      </c>
    </row>
    <row r="453" spans="1:27" ht="15" customHeight="1">
      <c r="A453" s="1">
        <v>75</v>
      </c>
      <c r="B453" s="1" t="s">
        <v>554</v>
      </c>
      <c r="C453" s="1" t="s">
        <v>555</v>
      </c>
      <c r="D453" s="1" t="s">
        <v>535</v>
      </c>
      <c r="E453" s="1" t="s">
        <v>557</v>
      </c>
      <c r="F453" s="1" t="s">
        <v>183</v>
      </c>
      <c r="G453" s="1" t="s">
        <v>141</v>
      </c>
      <c r="H453" s="1">
        <v>1005002450</v>
      </c>
      <c r="I453" s="1" t="s">
        <v>12</v>
      </c>
      <c r="J453" s="1">
        <v>10</v>
      </c>
      <c r="K453" s="1" t="s">
        <v>184</v>
      </c>
      <c r="L453" s="1">
        <v>1001027666</v>
      </c>
      <c r="M453" s="1">
        <v>1142000003116</v>
      </c>
      <c r="N453" s="1" t="s">
        <v>351</v>
      </c>
      <c r="O453" s="1" t="s">
        <v>352</v>
      </c>
      <c r="P453" s="1" t="s">
        <v>146</v>
      </c>
      <c r="Q453" s="1" t="s">
        <v>147</v>
      </c>
      <c r="R453" s="1" t="s">
        <v>148</v>
      </c>
      <c r="S453" s="44">
        <v>3.21</v>
      </c>
      <c r="T453" s="44">
        <v>6.74</v>
      </c>
      <c r="U453" s="44">
        <v>8.7799999999999994</v>
      </c>
      <c r="V453" s="44">
        <v>0</v>
      </c>
      <c r="W453" s="44">
        <v>0.04</v>
      </c>
      <c r="X453" s="45">
        <v>2864.59</v>
      </c>
      <c r="Y453" s="45">
        <v>34461018</v>
      </c>
      <c r="Z453" s="45"/>
      <c r="AA453" s="46">
        <v>34461018</v>
      </c>
    </row>
    <row r="454" spans="1:27" ht="15" customHeight="1">
      <c r="A454" s="1">
        <v>75</v>
      </c>
      <c r="B454" s="1" t="s">
        <v>554</v>
      </c>
      <c r="C454" s="1" t="s">
        <v>555</v>
      </c>
      <c r="D454" s="1" t="s">
        <v>535</v>
      </c>
      <c r="E454" s="1" t="s">
        <v>151</v>
      </c>
      <c r="F454" s="1" t="s">
        <v>153</v>
      </c>
      <c r="G454" s="1" t="s">
        <v>141</v>
      </c>
      <c r="H454" s="1">
        <v>1005002461</v>
      </c>
      <c r="I454" s="1" t="s">
        <v>9</v>
      </c>
      <c r="J454" s="1">
        <v>9</v>
      </c>
      <c r="K454" s="1" t="s">
        <v>142</v>
      </c>
      <c r="L454" s="1">
        <v>1001027496</v>
      </c>
      <c r="M454" s="1">
        <v>1142000003086</v>
      </c>
      <c r="N454" s="1" t="s">
        <v>144</v>
      </c>
      <c r="O454" s="1" t="s">
        <v>145</v>
      </c>
      <c r="P454" s="1" t="s">
        <v>146</v>
      </c>
      <c r="Q454" s="1" t="s">
        <v>147</v>
      </c>
      <c r="R454" s="1" t="s">
        <v>148</v>
      </c>
      <c r="S454" s="44">
        <v>5.82</v>
      </c>
      <c r="T454" s="44">
        <v>0.217</v>
      </c>
      <c r="U454" s="44">
        <v>0</v>
      </c>
      <c r="V454" s="44">
        <v>0</v>
      </c>
      <c r="W454" s="44">
        <v>0</v>
      </c>
      <c r="X454" s="45">
        <v>4000008</v>
      </c>
      <c r="Y454" s="45">
        <v>800001600</v>
      </c>
      <c r="Z454" s="45"/>
      <c r="AA454" s="46">
        <v>800001600</v>
      </c>
    </row>
    <row r="455" spans="1:27" ht="15" customHeight="1">
      <c r="A455" s="1">
        <v>75</v>
      </c>
      <c r="B455" s="1" t="s">
        <v>554</v>
      </c>
      <c r="C455" s="1" t="s">
        <v>555</v>
      </c>
      <c r="D455" s="1" t="s">
        <v>535</v>
      </c>
      <c r="E455" s="1" t="s">
        <v>348</v>
      </c>
      <c r="F455" s="1" t="s">
        <v>140</v>
      </c>
      <c r="G455" s="1" t="s">
        <v>141</v>
      </c>
      <c r="H455" s="1">
        <v>1005002468</v>
      </c>
      <c r="I455" s="1" t="s">
        <v>28</v>
      </c>
      <c r="J455" s="1">
        <v>8</v>
      </c>
      <c r="K455" s="1" t="s">
        <v>142</v>
      </c>
      <c r="L455" s="1">
        <v>1001027262</v>
      </c>
      <c r="M455" s="1">
        <v>1142000003039</v>
      </c>
      <c r="N455" s="1" t="s">
        <v>351</v>
      </c>
      <c r="O455" s="1" t="s">
        <v>352</v>
      </c>
      <c r="P455" s="1" t="s">
        <v>146</v>
      </c>
      <c r="Q455" s="1" t="s">
        <v>147</v>
      </c>
      <c r="R455" s="1" t="s">
        <v>148</v>
      </c>
      <c r="S455" s="44">
        <v>0</v>
      </c>
      <c r="T455" s="44">
        <v>9.02</v>
      </c>
      <c r="U455" s="44">
        <v>7.52</v>
      </c>
      <c r="V455" s="44">
        <v>0</v>
      </c>
      <c r="W455" s="44">
        <v>0</v>
      </c>
      <c r="X455" s="45">
        <v>88.74</v>
      </c>
      <c r="Y455" s="45">
        <v>1051569</v>
      </c>
      <c r="Z455" s="45"/>
      <c r="AA455" s="46">
        <v>1051569</v>
      </c>
    </row>
    <row r="456" spans="1:27" ht="15" customHeight="1">
      <c r="A456" s="1">
        <v>75</v>
      </c>
      <c r="B456" s="1" t="s">
        <v>554</v>
      </c>
      <c r="C456" s="1" t="s">
        <v>555</v>
      </c>
      <c r="D456" s="1" t="s">
        <v>535</v>
      </c>
      <c r="E456" s="1" t="s">
        <v>240</v>
      </c>
      <c r="F456" s="1" t="s">
        <v>183</v>
      </c>
      <c r="G456" s="1" t="s">
        <v>141</v>
      </c>
      <c r="H456" s="1">
        <v>1005002471</v>
      </c>
      <c r="I456" s="1" t="s">
        <v>28</v>
      </c>
      <c r="J456" s="1">
        <v>8</v>
      </c>
      <c r="K456" s="1" t="s">
        <v>184</v>
      </c>
      <c r="L456" s="1">
        <v>1001027136</v>
      </c>
      <c r="M456" s="1">
        <v>1142000003009</v>
      </c>
      <c r="N456" s="1" t="s">
        <v>144</v>
      </c>
      <c r="O456" s="1" t="s">
        <v>145</v>
      </c>
      <c r="P456" s="1" t="s">
        <v>146</v>
      </c>
      <c r="Q456" s="1" t="s">
        <v>147</v>
      </c>
      <c r="R456" s="1" t="s">
        <v>148</v>
      </c>
      <c r="S456" s="44">
        <v>6.39</v>
      </c>
      <c r="T456" s="44">
        <v>0.28000000000000003</v>
      </c>
      <c r="U456" s="44">
        <v>0</v>
      </c>
      <c r="V456" s="44">
        <v>0</v>
      </c>
      <c r="W456" s="44">
        <v>0</v>
      </c>
      <c r="X456" s="45">
        <v>1004890</v>
      </c>
      <c r="Y456" s="45">
        <v>1198791000</v>
      </c>
      <c r="Z456" s="45"/>
      <c r="AA456" s="46">
        <v>1198791000</v>
      </c>
    </row>
    <row r="457" spans="1:27" ht="15" customHeight="1">
      <c r="A457" s="1">
        <v>75</v>
      </c>
      <c r="B457" s="1" t="s">
        <v>554</v>
      </c>
      <c r="C457" s="1" t="s">
        <v>555</v>
      </c>
      <c r="D457" s="1" t="s">
        <v>535</v>
      </c>
      <c r="E457" s="1" t="s">
        <v>362</v>
      </c>
      <c r="F457" s="1" t="s">
        <v>140</v>
      </c>
      <c r="G457" s="1" t="s">
        <v>141</v>
      </c>
      <c r="H457" s="1">
        <v>1005002477</v>
      </c>
      <c r="I457" s="1" t="s">
        <v>48</v>
      </c>
      <c r="J457" s="1">
        <v>7</v>
      </c>
      <c r="K457" s="1" t="s">
        <v>142</v>
      </c>
      <c r="L457" s="1">
        <v>1001027205</v>
      </c>
      <c r="M457" s="1">
        <v>1142000003033</v>
      </c>
      <c r="N457" s="1" t="s">
        <v>351</v>
      </c>
      <c r="O457" s="1" t="s">
        <v>352</v>
      </c>
      <c r="P457" s="1" t="s">
        <v>146</v>
      </c>
      <c r="Q457" s="1" t="s">
        <v>147</v>
      </c>
      <c r="R457" s="1" t="s">
        <v>148</v>
      </c>
      <c r="S457" s="44">
        <v>5.91</v>
      </c>
      <c r="T457" s="44">
        <v>6.77</v>
      </c>
      <c r="U457" s="44">
        <v>7.64</v>
      </c>
      <c r="V457" s="44">
        <v>0</v>
      </c>
      <c r="W457" s="44">
        <v>0</v>
      </c>
      <c r="X457" s="45">
        <v>297.29000000000002</v>
      </c>
      <c r="Y457" s="45">
        <v>3436674</v>
      </c>
      <c r="Z457" s="45"/>
      <c r="AA457" s="46">
        <v>3436674</v>
      </c>
    </row>
    <row r="458" spans="1:27" ht="15" customHeight="1">
      <c r="A458" s="1">
        <v>75</v>
      </c>
      <c r="B458" s="1" t="s">
        <v>554</v>
      </c>
      <c r="C458" s="1" t="s">
        <v>555</v>
      </c>
      <c r="D458" s="1" t="s">
        <v>535</v>
      </c>
      <c r="E458" s="1" t="s">
        <v>262</v>
      </c>
      <c r="F458" s="1" t="s">
        <v>170</v>
      </c>
      <c r="G458" s="1" t="s">
        <v>141</v>
      </c>
      <c r="H458" s="1">
        <v>1005002480</v>
      </c>
      <c r="I458" s="1" t="s">
        <v>48</v>
      </c>
      <c r="J458" s="1">
        <v>7</v>
      </c>
      <c r="K458" s="1" t="s">
        <v>184</v>
      </c>
      <c r="L458" s="1">
        <v>1001027999</v>
      </c>
      <c r="M458" s="1">
        <v>1142000003152</v>
      </c>
      <c r="N458" s="1" t="s">
        <v>144</v>
      </c>
      <c r="O458" s="1" t="s">
        <v>145</v>
      </c>
      <c r="P458" s="1" t="s">
        <v>146</v>
      </c>
      <c r="Q458" s="1" t="s">
        <v>147</v>
      </c>
      <c r="R458" s="1" t="s">
        <v>148</v>
      </c>
      <c r="S458" s="44">
        <v>5.3</v>
      </c>
      <c r="T458" s="44">
        <v>0.49</v>
      </c>
      <c r="U458" s="44">
        <v>0</v>
      </c>
      <c r="V458" s="44">
        <v>0</v>
      </c>
      <c r="W458" s="44">
        <v>0</v>
      </c>
      <c r="X458" s="45">
        <v>1006180</v>
      </c>
      <c r="Y458" s="45">
        <v>53769500</v>
      </c>
      <c r="Z458" s="45"/>
      <c r="AA458" s="46">
        <v>53769500</v>
      </c>
    </row>
    <row r="459" spans="1:27" ht="15" customHeight="1">
      <c r="A459" s="1">
        <v>75</v>
      </c>
      <c r="B459" s="1" t="s">
        <v>554</v>
      </c>
      <c r="C459" s="1" t="s">
        <v>555</v>
      </c>
      <c r="D459" s="1" t="s">
        <v>535</v>
      </c>
      <c r="E459" s="1" t="s">
        <v>555</v>
      </c>
      <c r="F459" s="1" t="s">
        <v>170</v>
      </c>
      <c r="G459" s="1" t="s">
        <v>141</v>
      </c>
      <c r="H459" s="1">
        <v>1005001816</v>
      </c>
      <c r="I459" s="1" t="s">
        <v>104</v>
      </c>
      <c r="J459" s="1">
        <v>99</v>
      </c>
      <c r="K459" s="1" t="s">
        <v>184</v>
      </c>
      <c r="L459" s="1">
        <v>1001020464</v>
      </c>
      <c r="M459" s="1">
        <v>1142000002348</v>
      </c>
      <c r="N459" s="1" t="s">
        <v>178</v>
      </c>
      <c r="O459" s="1" t="s">
        <v>179</v>
      </c>
      <c r="P459" s="1" t="s">
        <v>146</v>
      </c>
      <c r="Q459" s="1" t="s">
        <v>147</v>
      </c>
      <c r="R459" s="1" t="s">
        <v>148</v>
      </c>
      <c r="S459" s="44">
        <v>0</v>
      </c>
      <c r="T459" s="44">
        <v>21.2</v>
      </c>
      <c r="U459" s="44">
        <v>2.2200000000000002</v>
      </c>
      <c r="V459" s="44">
        <v>0</v>
      </c>
      <c r="W459" s="44">
        <v>0</v>
      </c>
      <c r="X459" s="45">
        <v>231.15</v>
      </c>
      <c r="Y459" s="45">
        <v>164117</v>
      </c>
      <c r="Z459" s="45"/>
      <c r="AA459" s="46">
        <v>164117</v>
      </c>
    </row>
    <row r="460" spans="1:27" ht="15" customHeight="1">
      <c r="A460" s="1">
        <v>75</v>
      </c>
      <c r="B460" s="1" t="s">
        <v>554</v>
      </c>
      <c r="C460" s="1" t="s">
        <v>555</v>
      </c>
      <c r="D460" s="1" t="s">
        <v>535</v>
      </c>
      <c r="E460" s="1" t="s">
        <v>534</v>
      </c>
      <c r="F460" s="1" t="s">
        <v>140</v>
      </c>
      <c r="G460" s="1" t="s">
        <v>141</v>
      </c>
      <c r="H460" s="1">
        <v>1005002387</v>
      </c>
      <c r="I460" s="1" t="s">
        <v>90</v>
      </c>
      <c r="J460" s="1">
        <v>15</v>
      </c>
      <c r="K460" s="1" t="s">
        <v>142</v>
      </c>
      <c r="L460" s="1">
        <v>1001026779</v>
      </c>
      <c r="M460" s="1">
        <v>1142000002954</v>
      </c>
      <c r="N460" s="1" t="s">
        <v>144</v>
      </c>
      <c r="O460" s="1" t="s">
        <v>145</v>
      </c>
      <c r="P460" s="1" t="s">
        <v>146</v>
      </c>
      <c r="Q460" s="1" t="s">
        <v>147</v>
      </c>
      <c r="R460" s="1" t="s">
        <v>148</v>
      </c>
      <c r="S460" s="44">
        <v>5.82</v>
      </c>
      <c r="T460" s="44">
        <v>0.32</v>
      </c>
      <c r="U460" s="44">
        <v>0</v>
      </c>
      <c r="V460" s="44">
        <v>0</v>
      </c>
      <c r="W460" s="44">
        <v>0</v>
      </c>
      <c r="X460" s="45">
        <v>400000</v>
      </c>
      <c r="Y460" s="45">
        <v>84781000</v>
      </c>
      <c r="Z460" s="45"/>
      <c r="AA460" s="46">
        <v>84781000</v>
      </c>
    </row>
    <row r="461" spans="1:27" ht="15" customHeight="1">
      <c r="A461" s="1">
        <v>75</v>
      </c>
      <c r="B461" s="1" t="s">
        <v>554</v>
      </c>
      <c r="C461" s="1" t="s">
        <v>555</v>
      </c>
      <c r="D461" s="1" t="s">
        <v>535</v>
      </c>
      <c r="E461" s="1" t="s">
        <v>534</v>
      </c>
      <c r="F461" s="1" t="s">
        <v>140</v>
      </c>
      <c r="G461" s="1" t="s">
        <v>141</v>
      </c>
      <c r="H461" s="1">
        <v>1005002410</v>
      </c>
      <c r="I461" s="1" t="s">
        <v>11</v>
      </c>
      <c r="J461" s="1">
        <v>14</v>
      </c>
      <c r="K461" s="1" t="s">
        <v>142</v>
      </c>
      <c r="L461" s="1">
        <v>1001027040</v>
      </c>
      <c r="M461" s="1">
        <v>1142000002993</v>
      </c>
      <c r="N461" s="1" t="s">
        <v>144</v>
      </c>
      <c r="O461" s="1" t="s">
        <v>145</v>
      </c>
      <c r="P461" s="1" t="s">
        <v>146</v>
      </c>
      <c r="Q461" s="1" t="s">
        <v>147</v>
      </c>
      <c r="R461" s="1" t="s">
        <v>148</v>
      </c>
      <c r="S461" s="44">
        <v>5.99</v>
      </c>
      <c r="T461" s="44">
        <v>0.3</v>
      </c>
      <c r="U461" s="44">
        <v>0</v>
      </c>
      <c r="V461" s="44">
        <v>0</v>
      </c>
      <c r="W461" s="44">
        <v>0</v>
      </c>
      <c r="X461" s="45">
        <v>500000</v>
      </c>
      <c r="Y461" s="45">
        <v>133814000</v>
      </c>
      <c r="Z461" s="45"/>
      <c r="AA461" s="46">
        <v>133814000</v>
      </c>
    </row>
    <row r="462" spans="1:27" ht="15" customHeight="1">
      <c r="A462" s="1">
        <v>75</v>
      </c>
      <c r="B462" s="1" t="s">
        <v>554</v>
      </c>
      <c r="C462" s="1" t="s">
        <v>555</v>
      </c>
      <c r="D462" s="1" t="s">
        <v>535</v>
      </c>
      <c r="E462" s="1" t="s">
        <v>558</v>
      </c>
      <c r="F462" s="1" t="s">
        <v>140</v>
      </c>
      <c r="G462" s="1" t="s">
        <v>141</v>
      </c>
      <c r="H462" s="1">
        <v>1005002426</v>
      </c>
      <c r="I462" s="1" t="s">
        <v>11</v>
      </c>
      <c r="J462" s="1">
        <v>14</v>
      </c>
      <c r="K462" s="1" t="s">
        <v>142</v>
      </c>
      <c r="L462" s="1">
        <v>1001027005</v>
      </c>
      <c r="M462" s="1">
        <v>1142000002986</v>
      </c>
      <c r="N462" s="1" t="s">
        <v>351</v>
      </c>
      <c r="O462" s="1" t="s">
        <v>352</v>
      </c>
      <c r="P462" s="1" t="s">
        <v>146</v>
      </c>
      <c r="Q462" s="1" t="s">
        <v>147</v>
      </c>
      <c r="R462" s="1" t="s">
        <v>148</v>
      </c>
      <c r="S462" s="44">
        <v>3.49</v>
      </c>
      <c r="T462" s="44">
        <v>6.98</v>
      </c>
      <c r="U462" s="44">
        <v>8.49</v>
      </c>
      <c r="V462" s="44">
        <v>0</v>
      </c>
      <c r="W462" s="44">
        <v>0</v>
      </c>
      <c r="X462" s="45">
        <v>36.75</v>
      </c>
      <c r="Y462" s="45">
        <v>414724</v>
      </c>
      <c r="Z462" s="45"/>
      <c r="AA462" s="46">
        <v>414724</v>
      </c>
    </row>
    <row r="463" spans="1:27" ht="15" customHeight="1">
      <c r="A463" s="56"/>
      <c r="B463" s="56" t="s">
        <v>149</v>
      </c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7"/>
      <c r="T463" s="57"/>
      <c r="U463" s="57"/>
      <c r="V463" s="57"/>
      <c r="W463" s="57"/>
      <c r="X463" s="58">
        <f>SUM(X402:X462)</f>
        <v>47238072.120000005</v>
      </c>
      <c r="Y463" s="58">
        <f t="shared" ref="Y463:AA463" si="73">SUM(Y402:Y462)</f>
        <v>13996996832</v>
      </c>
      <c r="Z463" s="58">
        <f t="shared" si="73"/>
        <v>0</v>
      </c>
      <c r="AA463" s="58">
        <f t="shared" si="73"/>
        <v>13996996832</v>
      </c>
    </row>
    <row r="464" spans="1:27" ht="15" customHeight="1">
      <c r="A464" s="1">
        <v>76</v>
      </c>
      <c r="B464" s="1" t="s">
        <v>559</v>
      </c>
      <c r="C464" s="1" t="s">
        <v>560</v>
      </c>
      <c r="D464" s="1" t="s">
        <v>535</v>
      </c>
      <c r="E464" s="1" t="s">
        <v>538</v>
      </c>
      <c r="F464" s="1" t="s">
        <v>140</v>
      </c>
      <c r="G464" s="1" t="s">
        <v>141</v>
      </c>
      <c r="H464" s="1">
        <v>1969</v>
      </c>
      <c r="I464" s="1" t="s">
        <v>105</v>
      </c>
      <c r="J464" s="1">
        <v>430</v>
      </c>
      <c r="K464" s="1" t="s">
        <v>142</v>
      </c>
      <c r="L464" s="1">
        <v>1001018893</v>
      </c>
      <c r="M464" s="1">
        <v>1252000001150</v>
      </c>
      <c r="N464" s="1" t="s">
        <v>144</v>
      </c>
      <c r="O464" s="1" t="s">
        <v>145</v>
      </c>
      <c r="P464" s="1" t="s">
        <v>146</v>
      </c>
      <c r="Q464" s="1" t="s">
        <v>147</v>
      </c>
      <c r="R464" s="1" t="s">
        <v>148</v>
      </c>
      <c r="S464" s="44">
        <v>0</v>
      </c>
      <c r="T464" s="44">
        <v>0</v>
      </c>
      <c r="U464" s="44">
        <v>0</v>
      </c>
      <c r="V464" s="44">
        <v>0</v>
      </c>
      <c r="W464" s="44">
        <v>0</v>
      </c>
      <c r="X464" s="45">
        <v>41.26</v>
      </c>
      <c r="Y464" s="45">
        <v>481752</v>
      </c>
      <c r="Z464" s="45"/>
      <c r="AA464" s="46">
        <v>481752</v>
      </c>
    </row>
    <row r="465" spans="1:27" ht="15" customHeight="1">
      <c r="A465" s="1">
        <v>76</v>
      </c>
      <c r="B465" s="1" t="s">
        <v>559</v>
      </c>
      <c r="C465" s="1" t="s">
        <v>560</v>
      </c>
      <c r="D465" s="1" t="s">
        <v>535</v>
      </c>
      <c r="E465" s="1" t="s">
        <v>538</v>
      </c>
      <c r="F465" s="1" t="s">
        <v>140</v>
      </c>
      <c r="G465" s="1" t="s">
        <v>141</v>
      </c>
      <c r="H465" s="1">
        <v>1005000012</v>
      </c>
      <c r="I465" s="1" t="s">
        <v>106</v>
      </c>
      <c r="J465" s="1">
        <v>395</v>
      </c>
      <c r="K465" s="1" t="s">
        <v>142</v>
      </c>
      <c r="L465" s="1">
        <v>1001020613</v>
      </c>
      <c r="M465" s="1">
        <v>1252000001173</v>
      </c>
      <c r="N465" s="1" t="s">
        <v>144</v>
      </c>
      <c r="O465" s="1" t="s">
        <v>145</v>
      </c>
      <c r="P465" s="1" t="s">
        <v>146</v>
      </c>
      <c r="Q465" s="1" t="s">
        <v>147</v>
      </c>
      <c r="R465" s="1" t="s">
        <v>148</v>
      </c>
      <c r="S465" s="44">
        <v>0</v>
      </c>
      <c r="T465" s="44">
        <v>0</v>
      </c>
      <c r="U465" s="44">
        <v>0</v>
      </c>
      <c r="V465" s="44">
        <v>0</v>
      </c>
      <c r="W465" s="44">
        <v>0</v>
      </c>
      <c r="X465" s="45">
        <v>9.44</v>
      </c>
      <c r="Y465" s="45">
        <v>130423</v>
      </c>
      <c r="Z465" s="45"/>
      <c r="AA465" s="46">
        <v>130423</v>
      </c>
    </row>
    <row r="466" spans="1:27" ht="15" customHeight="1">
      <c r="A466" s="1">
        <v>76</v>
      </c>
      <c r="B466" s="1" t="s">
        <v>559</v>
      </c>
      <c r="C466" s="1" t="s">
        <v>560</v>
      </c>
      <c r="D466" s="1" t="s">
        <v>535</v>
      </c>
      <c r="E466" s="1" t="s">
        <v>538</v>
      </c>
      <c r="F466" s="1" t="s">
        <v>140</v>
      </c>
      <c r="G466" s="1" t="s">
        <v>141</v>
      </c>
      <c r="H466" s="1">
        <v>9081000129</v>
      </c>
      <c r="I466" s="1" t="s">
        <v>78</v>
      </c>
      <c r="J466" s="1">
        <v>512</v>
      </c>
      <c r="K466" s="1" t="s">
        <v>142</v>
      </c>
      <c r="L466" s="1">
        <v>9081000766</v>
      </c>
      <c r="M466" s="1"/>
      <c r="N466" s="1" t="s">
        <v>144</v>
      </c>
      <c r="O466" s="1" t="s">
        <v>145</v>
      </c>
      <c r="P466" s="1" t="s">
        <v>146</v>
      </c>
      <c r="Q466" s="1" t="s">
        <v>147</v>
      </c>
      <c r="R466" s="1" t="s">
        <v>160</v>
      </c>
      <c r="S466" s="44">
        <v>0</v>
      </c>
      <c r="T466" s="44">
        <v>0</v>
      </c>
      <c r="U466" s="44">
        <v>0</v>
      </c>
      <c r="V466" s="44">
        <v>0</v>
      </c>
      <c r="W466" s="44">
        <v>0</v>
      </c>
      <c r="X466" s="45">
        <v>6.92</v>
      </c>
      <c r="Y466" s="45">
        <v>91683</v>
      </c>
      <c r="Z466" s="45"/>
      <c r="AA466" s="46">
        <v>91683</v>
      </c>
    </row>
    <row r="467" spans="1:27" ht="15" customHeight="1">
      <c r="A467" s="1">
        <v>76</v>
      </c>
      <c r="B467" s="1" t="s">
        <v>559</v>
      </c>
      <c r="C467" s="1" t="s">
        <v>560</v>
      </c>
      <c r="D467" s="1" t="s">
        <v>535</v>
      </c>
      <c r="E467" s="1" t="s">
        <v>560</v>
      </c>
      <c r="F467" s="1" t="s">
        <v>153</v>
      </c>
      <c r="G467" s="1" t="s">
        <v>141</v>
      </c>
      <c r="H467" s="1">
        <v>1005002368</v>
      </c>
      <c r="I467" s="1" t="s">
        <v>70</v>
      </c>
      <c r="J467" s="1">
        <v>23</v>
      </c>
      <c r="K467" s="1" t="s">
        <v>142</v>
      </c>
      <c r="L467" s="1">
        <v>1001026789</v>
      </c>
      <c r="M467" s="1">
        <v>1252000001298</v>
      </c>
      <c r="N467" s="1" t="s">
        <v>351</v>
      </c>
      <c r="O467" s="1" t="s">
        <v>352</v>
      </c>
      <c r="P467" s="1" t="s">
        <v>146</v>
      </c>
      <c r="Q467" s="1" t="s">
        <v>147</v>
      </c>
      <c r="R467" s="1" t="s">
        <v>148</v>
      </c>
      <c r="S467" s="44">
        <v>5.28</v>
      </c>
      <c r="T467" s="44">
        <v>8.42</v>
      </c>
      <c r="U467" s="44">
        <v>7.83</v>
      </c>
      <c r="V467" s="44">
        <v>0</v>
      </c>
      <c r="W467" s="44">
        <v>0</v>
      </c>
      <c r="X467" s="45">
        <v>37.96</v>
      </c>
      <c r="Y467" s="45">
        <v>416194</v>
      </c>
      <c r="Z467" s="45"/>
      <c r="AA467" s="46">
        <v>416194</v>
      </c>
    </row>
    <row r="468" spans="1:27" ht="15" customHeight="1">
      <c r="A468" s="1">
        <v>76</v>
      </c>
      <c r="B468" s="1" t="s">
        <v>559</v>
      </c>
      <c r="C468" s="1" t="s">
        <v>560</v>
      </c>
      <c r="D468" s="1" t="s">
        <v>535</v>
      </c>
      <c r="E468" s="1" t="s">
        <v>560</v>
      </c>
      <c r="F468" s="1" t="s">
        <v>153</v>
      </c>
      <c r="G468" s="1" t="s">
        <v>141</v>
      </c>
      <c r="H468" s="1">
        <v>1005002369</v>
      </c>
      <c r="I468" s="1" t="s">
        <v>70</v>
      </c>
      <c r="J468" s="1">
        <v>23</v>
      </c>
      <c r="K468" s="1" t="s">
        <v>142</v>
      </c>
      <c r="L468" s="1">
        <v>1001026789</v>
      </c>
      <c r="M468" s="1">
        <v>1252000001298</v>
      </c>
      <c r="N468" s="1" t="s">
        <v>351</v>
      </c>
      <c r="O468" s="1" t="s">
        <v>352</v>
      </c>
      <c r="P468" s="1" t="s">
        <v>146</v>
      </c>
      <c r="Q468" s="1" t="s">
        <v>147</v>
      </c>
      <c r="R468" s="1" t="s">
        <v>148</v>
      </c>
      <c r="S468" s="44">
        <v>4.28</v>
      </c>
      <c r="T468" s="44">
        <v>7.93</v>
      </c>
      <c r="U468" s="44">
        <v>8.56</v>
      </c>
      <c r="V468" s="44">
        <v>0</v>
      </c>
      <c r="W468" s="44">
        <v>0</v>
      </c>
      <c r="X468" s="45">
        <v>959.89</v>
      </c>
      <c r="Y468" s="45">
        <v>10524234</v>
      </c>
      <c r="Z468" s="45"/>
      <c r="AA468" s="46">
        <v>10524234</v>
      </c>
    </row>
    <row r="469" spans="1:27" ht="15" customHeight="1">
      <c r="A469" s="1">
        <v>76</v>
      </c>
      <c r="B469" s="1" t="s">
        <v>559</v>
      </c>
      <c r="C469" s="1" t="s">
        <v>560</v>
      </c>
      <c r="D469" s="1" t="s">
        <v>535</v>
      </c>
      <c r="E469" s="1" t="s">
        <v>560</v>
      </c>
      <c r="F469" s="1" t="s">
        <v>153</v>
      </c>
      <c r="G469" s="1" t="s">
        <v>141</v>
      </c>
      <c r="H469" s="1">
        <v>1005002360</v>
      </c>
      <c r="I469" s="1" t="s">
        <v>97</v>
      </c>
      <c r="J469" s="1">
        <v>24</v>
      </c>
      <c r="K469" s="1" t="s">
        <v>142</v>
      </c>
      <c r="L469" s="1">
        <v>1001026834</v>
      </c>
      <c r="M469" s="1">
        <v>1252000001299</v>
      </c>
      <c r="N469" s="1" t="s">
        <v>144</v>
      </c>
      <c r="O469" s="1" t="s">
        <v>145</v>
      </c>
      <c r="P469" s="1" t="s">
        <v>146</v>
      </c>
      <c r="Q469" s="1" t="s">
        <v>147</v>
      </c>
      <c r="R469" s="1" t="s">
        <v>148</v>
      </c>
      <c r="S469" s="44">
        <v>5.16</v>
      </c>
      <c r="T469" s="44">
        <v>0.3</v>
      </c>
      <c r="U469" s="44">
        <v>0</v>
      </c>
      <c r="V469" s="44">
        <v>0</v>
      </c>
      <c r="W469" s="44">
        <v>0</v>
      </c>
      <c r="X469" s="45">
        <v>35170</v>
      </c>
      <c r="Y469" s="45">
        <v>3517000</v>
      </c>
      <c r="Z469" s="45"/>
      <c r="AA469" s="46">
        <v>3517000</v>
      </c>
    </row>
    <row r="470" spans="1:27" ht="15" customHeight="1">
      <c r="A470" s="1">
        <v>76</v>
      </c>
      <c r="B470" s="1" t="s">
        <v>559</v>
      </c>
      <c r="C470" s="1" t="s">
        <v>560</v>
      </c>
      <c r="D470" s="1" t="s">
        <v>535</v>
      </c>
      <c r="E470" s="1" t="s">
        <v>560</v>
      </c>
      <c r="F470" s="1" t="s">
        <v>153</v>
      </c>
      <c r="G470" s="1" t="s">
        <v>141</v>
      </c>
      <c r="H470" s="1">
        <v>1005002381</v>
      </c>
      <c r="I470" s="1" t="s">
        <v>31</v>
      </c>
      <c r="J470" s="1">
        <v>18</v>
      </c>
      <c r="K470" s="1" t="s">
        <v>142</v>
      </c>
      <c r="L470" s="1">
        <v>1001026899</v>
      </c>
      <c r="M470" s="1">
        <v>1252000001301</v>
      </c>
      <c r="N470" s="1" t="s">
        <v>351</v>
      </c>
      <c r="O470" s="1" t="s">
        <v>352</v>
      </c>
      <c r="P470" s="1" t="s">
        <v>146</v>
      </c>
      <c r="Q470" s="1" t="s">
        <v>147</v>
      </c>
      <c r="R470" s="1" t="s">
        <v>148</v>
      </c>
      <c r="S470" s="44">
        <v>3.94</v>
      </c>
      <c r="T470" s="44">
        <v>9.02</v>
      </c>
      <c r="U470" s="44">
        <v>8.35</v>
      </c>
      <c r="V470" s="44">
        <v>0</v>
      </c>
      <c r="W470" s="44">
        <v>0</v>
      </c>
      <c r="X470" s="45">
        <v>2022.57</v>
      </c>
      <c r="Y470" s="45">
        <v>22650762</v>
      </c>
      <c r="Z470" s="45"/>
      <c r="AA470" s="46">
        <v>22650762</v>
      </c>
    </row>
    <row r="471" spans="1:27" ht="15" customHeight="1">
      <c r="A471" s="1">
        <v>76</v>
      </c>
      <c r="B471" s="1" t="s">
        <v>559</v>
      </c>
      <c r="C471" s="1" t="s">
        <v>560</v>
      </c>
      <c r="D471" s="1" t="s">
        <v>535</v>
      </c>
      <c r="E471" s="1" t="s">
        <v>560</v>
      </c>
      <c r="F471" s="1" t="s">
        <v>153</v>
      </c>
      <c r="G471" s="1" t="s">
        <v>141</v>
      </c>
      <c r="H471" s="1">
        <v>1005002389</v>
      </c>
      <c r="I471" s="1" t="s">
        <v>90</v>
      </c>
      <c r="J471" s="1">
        <v>15</v>
      </c>
      <c r="K471" s="1" t="s">
        <v>142</v>
      </c>
      <c r="L471" s="1">
        <v>1001026899</v>
      </c>
      <c r="M471" s="1">
        <v>1252000001301</v>
      </c>
      <c r="N471" s="1" t="s">
        <v>351</v>
      </c>
      <c r="O471" s="1" t="s">
        <v>352</v>
      </c>
      <c r="P471" s="1" t="s">
        <v>146</v>
      </c>
      <c r="Q471" s="1" t="s">
        <v>147</v>
      </c>
      <c r="R471" s="1" t="s">
        <v>148</v>
      </c>
      <c r="S471" s="44">
        <v>5.91</v>
      </c>
      <c r="T471" s="44">
        <v>7.87</v>
      </c>
      <c r="U471" s="44">
        <v>8.36</v>
      </c>
      <c r="V471" s="44">
        <v>0</v>
      </c>
      <c r="W471" s="44">
        <v>0</v>
      </c>
      <c r="X471" s="45">
        <v>169.17</v>
      </c>
      <c r="Y471" s="45">
        <v>1894535</v>
      </c>
      <c r="Z471" s="45"/>
      <c r="AA471" s="46">
        <v>1894535</v>
      </c>
    </row>
    <row r="472" spans="1:27" ht="15" customHeight="1">
      <c r="A472" s="1">
        <v>76</v>
      </c>
      <c r="B472" s="1" t="s">
        <v>559</v>
      </c>
      <c r="C472" s="1" t="s">
        <v>560</v>
      </c>
      <c r="D472" s="1" t="s">
        <v>535</v>
      </c>
      <c r="E472" s="1" t="s">
        <v>560</v>
      </c>
      <c r="F472" s="1" t="s">
        <v>153</v>
      </c>
      <c r="G472" s="1" t="s">
        <v>141</v>
      </c>
      <c r="H472" s="1">
        <v>1005002388</v>
      </c>
      <c r="I472" s="1" t="s">
        <v>90</v>
      </c>
      <c r="J472" s="1">
        <v>15</v>
      </c>
      <c r="K472" s="1" t="s">
        <v>142</v>
      </c>
      <c r="L472" s="1">
        <v>1001027006</v>
      </c>
      <c r="M472" s="1">
        <v>1252000001303</v>
      </c>
      <c r="N472" s="1" t="s">
        <v>351</v>
      </c>
      <c r="O472" s="1" t="s">
        <v>352</v>
      </c>
      <c r="P472" s="1" t="s">
        <v>146</v>
      </c>
      <c r="Q472" s="1" t="s">
        <v>147</v>
      </c>
      <c r="R472" s="1" t="s">
        <v>148</v>
      </c>
      <c r="S472" s="44">
        <v>6.11</v>
      </c>
      <c r="T472" s="44">
        <v>9.07</v>
      </c>
      <c r="U472" s="44">
        <v>9.85</v>
      </c>
      <c r="V472" s="44">
        <v>0</v>
      </c>
      <c r="W472" s="44">
        <v>0</v>
      </c>
      <c r="X472" s="45">
        <v>546.41</v>
      </c>
      <c r="Y472" s="45">
        <v>6182083</v>
      </c>
      <c r="Z472" s="45"/>
      <c r="AA472" s="46">
        <v>6182083</v>
      </c>
    </row>
    <row r="473" spans="1:27" ht="15" customHeight="1">
      <c r="A473" s="1">
        <v>76</v>
      </c>
      <c r="B473" s="1" t="s">
        <v>559</v>
      </c>
      <c r="C473" s="1" t="s">
        <v>560</v>
      </c>
      <c r="D473" s="1" t="s">
        <v>535</v>
      </c>
      <c r="E473" s="1" t="s">
        <v>560</v>
      </c>
      <c r="F473" s="1" t="s">
        <v>153</v>
      </c>
      <c r="G473" s="1" t="s">
        <v>141</v>
      </c>
      <c r="H473" s="1">
        <v>1005002399</v>
      </c>
      <c r="I473" s="1" t="s">
        <v>90</v>
      </c>
      <c r="J473" s="1">
        <v>15</v>
      </c>
      <c r="K473" s="1" t="s">
        <v>142</v>
      </c>
      <c r="L473" s="1">
        <v>1001027006</v>
      </c>
      <c r="M473" s="1">
        <v>1252000001303</v>
      </c>
      <c r="N473" s="1" t="s">
        <v>351</v>
      </c>
      <c r="O473" s="1" t="s">
        <v>352</v>
      </c>
      <c r="P473" s="1" t="s">
        <v>146</v>
      </c>
      <c r="Q473" s="1" t="s">
        <v>147</v>
      </c>
      <c r="R473" s="1" t="s">
        <v>148</v>
      </c>
      <c r="S473" s="44">
        <v>5.59</v>
      </c>
      <c r="T473" s="44">
        <v>9.02</v>
      </c>
      <c r="U473" s="44">
        <v>10.52</v>
      </c>
      <c r="V473" s="44">
        <v>0</v>
      </c>
      <c r="W473" s="44">
        <v>0</v>
      </c>
      <c r="X473" s="45">
        <v>3932.63</v>
      </c>
      <c r="Y473" s="45">
        <v>44493776</v>
      </c>
      <c r="Z473" s="45"/>
      <c r="AA473" s="46">
        <v>44493776</v>
      </c>
    </row>
    <row r="474" spans="1:27" ht="15" customHeight="1">
      <c r="A474" s="1">
        <v>76</v>
      </c>
      <c r="B474" s="1" t="s">
        <v>559</v>
      </c>
      <c r="C474" s="1" t="s">
        <v>560</v>
      </c>
      <c r="D474" s="1" t="s">
        <v>535</v>
      </c>
      <c r="E474" s="1" t="s">
        <v>560</v>
      </c>
      <c r="F474" s="1" t="s">
        <v>153</v>
      </c>
      <c r="G474" s="1" t="s">
        <v>141</v>
      </c>
      <c r="H474" s="1">
        <v>1005002361</v>
      </c>
      <c r="I474" s="1" t="s">
        <v>97</v>
      </c>
      <c r="J474" s="1">
        <v>24</v>
      </c>
      <c r="K474" s="1" t="s">
        <v>142</v>
      </c>
      <c r="L474" s="1">
        <v>1001027041</v>
      </c>
      <c r="M474" s="1">
        <v>1252000001304</v>
      </c>
      <c r="N474" s="1" t="s">
        <v>144</v>
      </c>
      <c r="O474" s="1" t="s">
        <v>145</v>
      </c>
      <c r="P474" s="1" t="s">
        <v>146</v>
      </c>
      <c r="Q474" s="1" t="s">
        <v>147</v>
      </c>
      <c r="R474" s="1" t="s">
        <v>148</v>
      </c>
      <c r="S474" s="44">
        <v>5.16</v>
      </c>
      <c r="T474" s="44">
        <v>0.28999999999999998</v>
      </c>
      <c r="U474" s="44">
        <v>0</v>
      </c>
      <c r="V474" s="44">
        <v>0</v>
      </c>
      <c r="W474" s="44">
        <v>0</v>
      </c>
      <c r="X474" s="45">
        <v>256700</v>
      </c>
      <c r="Y474" s="45">
        <v>25670000</v>
      </c>
      <c r="Z474" s="45"/>
      <c r="AA474" s="46">
        <v>25670000</v>
      </c>
    </row>
    <row r="475" spans="1:27" ht="15" customHeight="1">
      <c r="A475" s="1">
        <v>76</v>
      </c>
      <c r="B475" s="1" t="s">
        <v>559</v>
      </c>
      <c r="C475" s="1" t="s">
        <v>560</v>
      </c>
      <c r="D475" s="1" t="s">
        <v>535</v>
      </c>
      <c r="E475" s="1" t="s">
        <v>560</v>
      </c>
      <c r="F475" s="1" t="s">
        <v>153</v>
      </c>
      <c r="G475" s="1" t="s">
        <v>141</v>
      </c>
      <c r="H475" s="1">
        <v>1005002378</v>
      </c>
      <c r="I475" s="1" t="s">
        <v>31</v>
      </c>
      <c r="J475" s="1">
        <v>18</v>
      </c>
      <c r="K475" s="1" t="s">
        <v>142</v>
      </c>
      <c r="L475" s="1">
        <v>1001027109</v>
      </c>
      <c r="M475" s="1">
        <v>1252000001305</v>
      </c>
      <c r="N475" s="1" t="s">
        <v>144</v>
      </c>
      <c r="O475" s="1" t="s">
        <v>145</v>
      </c>
      <c r="P475" s="1" t="s">
        <v>146</v>
      </c>
      <c r="Q475" s="1" t="s">
        <v>147</v>
      </c>
      <c r="R475" s="1" t="s">
        <v>148</v>
      </c>
      <c r="S475" s="44">
        <v>5.09</v>
      </c>
      <c r="T475" s="44">
        <v>0.28999999999999998</v>
      </c>
      <c r="U475" s="44">
        <v>0</v>
      </c>
      <c r="V475" s="44">
        <v>0</v>
      </c>
      <c r="W475" s="44">
        <v>0</v>
      </c>
      <c r="X475" s="45">
        <v>18170</v>
      </c>
      <c r="Y475" s="45">
        <v>1817000</v>
      </c>
      <c r="Z475" s="45"/>
      <c r="AA475" s="46">
        <v>1817000</v>
      </c>
    </row>
    <row r="476" spans="1:27" ht="15" customHeight="1">
      <c r="A476" s="56"/>
      <c r="B476" s="56" t="s">
        <v>149</v>
      </c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7"/>
      <c r="T476" s="57"/>
      <c r="U476" s="57"/>
      <c r="V476" s="57"/>
      <c r="W476" s="57"/>
      <c r="X476" s="58">
        <f>SUM(X464:X475)</f>
        <v>317766.25</v>
      </c>
      <c r="Y476" s="58">
        <f t="shared" ref="Y476:AA476" si="74">SUM(Y464:Y475)</f>
        <v>117869442</v>
      </c>
      <c r="Z476" s="58">
        <f t="shared" si="74"/>
        <v>0</v>
      </c>
      <c r="AA476" s="58">
        <f t="shared" si="74"/>
        <v>117869442</v>
      </c>
    </row>
    <row r="477" spans="1:27" ht="15" customHeight="1">
      <c r="A477" s="1">
        <v>77</v>
      </c>
      <c r="B477" s="1" t="s">
        <v>561</v>
      </c>
      <c r="C477" s="1" t="s">
        <v>562</v>
      </c>
      <c r="D477" s="1" t="s">
        <v>535</v>
      </c>
      <c r="E477" s="1" t="s">
        <v>562</v>
      </c>
      <c r="F477" s="1" t="s">
        <v>183</v>
      </c>
      <c r="G477" s="1" t="s">
        <v>141</v>
      </c>
      <c r="H477" s="1">
        <v>1005002412</v>
      </c>
      <c r="I477" s="1" t="s">
        <v>11</v>
      </c>
      <c r="J477" s="1">
        <v>14</v>
      </c>
      <c r="K477" s="1" t="s">
        <v>184</v>
      </c>
      <c r="L477" s="1">
        <v>1001026034</v>
      </c>
      <c r="M477" s="1">
        <v>1172000000480</v>
      </c>
      <c r="N477" s="1" t="s">
        <v>144</v>
      </c>
      <c r="O477" s="1" t="s">
        <v>145</v>
      </c>
      <c r="P477" s="1" t="s">
        <v>146</v>
      </c>
      <c r="Q477" s="1" t="s">
        <v>147</v>
      </c>
      <c r="R477" s="1" t="s">
        <v>148</v>
      </c>
      <c r="S477" s="44">
        <v>5.33</v>
      </c>
      <c r="T477" s="44">
        <v>0.25</v>
      </c>
      <c r="U477" s="44">
        <v>0</v>
      </c>
      <c r="V477" s="44">
        <v>1.9</v>
      </c>
      <c r="W477" s="44">
        <v>0</v>
      </c>
      <c r="X477" s="45">
        <v>250200</v>
      </c>
      <c r="Y477" s="45">
        <v>25020000</v>
      </c>
      <c r="Z477" s="45"/>
      <c r="AA477" s="46">
        <v>25020000</v>
      </c>
    </row>
    <row r="478" spans="1:27" ht="15" customHeight="1">
      <c r="A478" s="1">
        <v>77</v>
      </c>
      <c r="B478" s="1" t="s">
        <v>561</v>
      </c>
      <c r="C478" s="1" t="s">
        <v>562</v>
      </c>
      <c r="D478" s="1" t="s">
        <v>535</v>
      </c>
      <c r="E478" s="1" t="s">
        <v>562</v>
      </c>
      <c r="F478" s="1" t="s">
        <v>183</v>
      </c>
      <c r="G478" s="1" t="s">
        <v>141</v>
      </c>
      <c r="H478" s="1">
        <v>1005002414</v>
      </c>
      <c r="I478" s="1" t="s">
        <v>11</v>
      </c>
      <c r="J478" s="1">
        <v>14</v>
      </c>
      <c r="K478" s="1" t="s">
        <v>184</v>
      </c>
      <c r="L478" s="1">
        <v>1001026152</v>
      </c>
      <c r="M478" s="1">
        <v>1172000000482</v>
      </c>
      <c r="N478" s="1" t="s">
        <v>144</v>
      </c>
      <c r="O478" s="1" t="s">
        <v>145</v>
      </c>
      <c r="P478" s="1" t="s">
        <v>146</v>
      </c>
      <c r="Q478" s="1" t="s">
        <v>147</v>
      </c>
      <c r="R478" s="1" t="s">
        <v>148</v>
      </c>
      <c r="S478" s="44">
        <v>5.33</v>
      </c>
      <c r="T478" s="44">
        <v>0.25</v>
      </c>
      <c r="U478" s="44">
        <v>0</v>
      </c>
      <c r="V478" s="44">
        <v>1.9</v>
      </c>
      <c r="W478" s="44">
        <v>0</v>
      </c>
      <c r="X478" s="45">
        <v>350000</v>
      </c>
      <c r="Y478" s="45">
        <v>35000000</v>
      </c>
      <c r="Z478" s="45"/>
      <c r="AA478" s="46">
        <v>35000000</v>
      </c>
    </row>
    <row r="479" spans="1:27" ht="15" customHeight="1">
      <c r="A479" s="1">
        <v>77</v>
      </c>
      <c r="B479" s="1" t="s">
        <v>561</v>
      </c>
      <c r="C479" s="1" t="s">
        <v>562</v>
      </c>
      <c r="D479" s="1" t="s">
        <v>535</v>
      </c>
      <c r="E479" s="1" t="s">
        <v>562</v>
      </c>
      <c r="F479" s="1" t="s">
        <v>183</v>
      </c>
      <c r="G479" s="1" t="s">
        <v>141</v>
      </c>
      <c r="H479" s="1">
        <v>1005002415</v>
      </c>
      <c r="I479" s="1" t="s">
        <v>11</v>
      </c>
      <c r="J479" s="1">
        <v>14</v>
      </c>
      <c r="K479" s="1" t="s">
        <v>184</v>
      </c>
      <c r="L479" s="1">
        <v>1001026265</v>
      </c>
      <c r="M479" s="1">
        <v>1172000000483</v>
      </c>
      <c r="N479" s="1" t="s">
        <v>144</v>
      </c>
      <c r="O479" s="1" t="s">
        <v>145</v>
      </c>
      <c r="P479" s="1" t="s">
        <v>146</v>
      </c>
      <c r="Q479" s="1" t="s">
        <v>147</v>
      </c>
      <c r="R479" s="1" t="s">
        <v>148</v>
      </c>
      <c r="S479" s="44">
        <v>5.33</v>
      </c>
      <c r="T479" s="44">
        <v>0.25</v>
      </c>
      <c r="U479" s="44">
        <v>0</v>
      </c>
      <c r="V479" s="44">
        <v>1.9</v>
      </c>
      <c r="W479" s="44">
        <v>0</v>
      </c>
      <c r="X479" s="45">
        <v>300000</v>
      </c>
      <c r="Y479" s="45">
        <v>30000000</v>
      </c>
      <c r="Z479" s="45"/>
      <c r="AA479" s="46">
        <v>30000000</v>
      </c>
    </row>
    <row r="480" spans="1:27" ht="15" customHeight="1">
      <c r="A480" s="1">
        <v>77</v>
      </c>
      <c r="B480" s="1" t="s">
        <v>561</v>
      </c>
      <c r="C480" s="1" t="s">
        <v>562</v>
      </c>
      <c r="D480" s="1" t="s">
        <v>535</v>
      </c>
      <c r="E480" s="1" t="s">
        <v>562</v>
      </c>
      <c r="F480" s="1" t="s">
        <v>183</v>
      </c>
      <c r="G480" s="1" t="s">
        <v>141</v>
      </c>
      <c r="H480" s="1">
        <v>1005002416</v>
      </c>
      <c r="I480" s="1" t="s">
        <v>11</v>
      </c>
      <c r="J480" s="1">
        <v>14</v>
      </c>
      <c r="K480" s="1" t="s">
        <v>184</v>
      </c>
      <c r="L480" s="1">
        <v>1001026268</v>
      </c>
      <c r="M480" s="1">
        <v>1172000000484</v>
      </c>
      <c r="N480" s="1" t="s">
        <v>144</v>
      </c>
      <c r="O480" s="1" t="s">
        <v>145</v>
      </c>
      <c r="P480" s="1" t="s">
        <v>146</v>
      </c>
      <c r="Q480" s="1" t="s">
        <v>147</v>
      </c>
      <c r="R480" s="1" t="s">
        <v>148</v>
      </c>
      <c r="S480" s="44">
        <v>5.33</v>
      </c>
      <c r="T480" s="44">
        <v>0.25</v>
      </c>
      <c r="U480" s="44">
        <v>0</v>
      </c>
      <c r="V480" s="44">
        <v>1.9</v>
      </c>
      <c r="W480" s="44">
        <v>0</v>
      </c>
      <c r="X480" s="45">
        <v>50000</v>
      </c>
      <c r="Y480" s="45">
        <v>5000000</v>
      </c>
      <c r="Z480" s="45"/>
      <c r="AA480" s="46">
        <v>5000000</v>
      </c>
    </row>
    <row r="481" spans="1:27" ht="15" customHeight="1">
      <c r="A481" s="1">
        <v>77</v>
      </c>
      <c r="B481" s="1" t="s">
        <v>561</v>
      </c>
      <c r="C481" s="1" t="s">
        <v>562</v>
      </c>
      <c r="D481" s="1" t="s">
        <v>535</v>
      </c>
      <c r="E481" s="1" t="s">
        <v>562</v>
      </c>
      <c r="F481" s="1" t="s">
        <v>183</v>
      </c>
      <c r="G481" s="1" t="s">
        <v>141</v>
      </c>
      <c r="H481" s="1">
        <v>1005002417</v>
      </c>
      <c r="I481" s="1" t="s">
        <v>11</v>
      </c>
      <c r="J481" s="1">
        <v>14</v>
      </c>
      <c r="K481" s="1" t="s">
        <v>184</v>
      </c>
      <c r="L481" s="1">
        <v>1001026334</v>
      </c>
      <c r="M481" s="1">
        <v>1172000000485</v>
      </c>
      <c r="N481" s="1" t="s">
        <v>144</v>
      </c>
      <c r="O481" s="1" t="s">
        <v>145</v>
      </c>
      <c r="P481" s="1" t="s">
        <v>146</v>
      </c>
      <c r="Q481" s="1" t="s">
        <v>147</v>
      </c>
      <c r="R481" s="1" t="s">
        <v>148</v>
      </c>
      <c r="S481" s="44">
        <v>5.33</v>
      </c>
      <c r="T481" s="44">
        <v>0.25</v>
      </c>
      <c r="U481" s="44">
        <v>0</v>
      </c>
      <c r="V481" s="44">
        <v>1.9</v>
      </c>
      <c r="W481" s="44">
        <v>0</v>
      </c>
      <c r="X481" s="45">
        <v>350000</v>
      </c>
      <c r="Y481" s="45">
        <v>35000000</v>
      </c>
      <c r="Z481" s="45"/>
      <c r="AA481" s="46">
        <v>35000000</v>
      </c>
    </row>
    <row r="482" spans="1:27" ht="15" customHeight="1">
      <c r="A482" s="1">
        <v>77</v>
      </c>
      <c r="B482" s="1" t="s">
        <v>561</v>
      </c>
      <c r="C482" s="1" t="s">
        <v>562</v>
      </c>
      <c r="D482" s="1" t="s">
        <v>535</v>
      </c>
      <c r="E482" s="1" t="s">
        <v>562</v>
      </c>
      <c r="F482" s="1" t="s">
        <v>183</v>
      </c>
      <c r="G482" s="1" t="s">
        <v>141</v>
      </c>
      <c r="H482" s="1">
        <v>1005002418</v>
      </c>
      <c r="I482" s="1" t="s">
        <v>11</v>
      </c>
      <c r="J482" s="1">
        <v>14</v>
      </c>
      <c r="K482" s="1" t="s">
        <v>184</v>
      </c>
      <c r="L482" s="1">
        <v>1001026505</v>
      </c>
      <c r="M482" s="1">
        <v>1172000000487</v>
      </c>
      <c r="N482" s="1" t="s">
        <v>144</v>
      </c>
      <c r="O482" s="1" t="s">
        <v>145</v>
      </c>
      <c r="P482" s="1" t="s">
        <v>146</v>
      </c>
      <c r="Q482" s="1" t="s">
        <v>147</v>
      </c>
      <c r="R482" s="1" t="s">
        <v>148</v>
      </c>
      <c r="S482" s="44">
        <v>5.33</v>
      </c>
      <c r="T482" s="44">
        <v>0.25</v>
      </c>
      <c r="U482" s="44">
        <v>0</v>
      </c>
      <c r="V482" s="44">
        <v>1.9</v>
      </c>
      <c r="W482" s="44">
        <v>0</v>
      </c>
      <c r="X482" s="45">
        <v>250000</v>
      </c>
      <c r="Y482" s="45">
        <v>25000000</v>
      </c>
      <c r="Z482" s="45"/>
      <c r="AA482" s="46">
        <v>25000000</v>
      </c>
    </row>
    <row r="483" spans="1:27" ht="15" customHeight="1">
      <c r="A483" s="1">
        <v>77</v>
      </c>
      <c r="B483" s="1" t="s">
        <v>561</v>
      </c>
      <c r="C483" s="1" t="s">
        <v>562</v>
      </c>
      <c r="D483" s="1" t="s">
        <v>535</v>
      </c>
      <c r="E483" s="1" t="s">
        <v>562</v>
      </c>
      <c r="F483" s="1" t="s">
        <v>183</v>
      </c>
      <c r="G483" s="1" t="s">
        <v>141</v>
      </c>
      <c r="H483" s="1">
        <v>1005002419</v>
      </c>
      <c r="I483" s="1" t="s">
        <v>11</v>
      </c>
      <c r="J483" s="1">
        <v>14</v>
      </c>
      <c r="K483" s="1" t="s">
        <v>184</v>
      </c>
      <c r="L483" s="1">
        <v>1001026533</v>
      </c>
      <c r="M483" s="1">
        <v>1172000000488</v>
      </c>
      <c r="N483" s="1" t="s">
        <v>144</v>
      </c>
      <c r="O483" s="1" t="s">
        <v>145</v>
      </c>
      <c r="P483" s="1" t="s">
        <v>146</v>
      </c>
      <c r="Q483" s="1" t="s">
        <v>147</v>
      </c>
      <c r="R483" s="1" t="s">
        <v>148</v>
      </c>
      <c r="S483" s="44">
        <v>5.33</v>
      </c>
      <c r="T483" s="44">
        <v>0.25</v>
      </c>
      <c r="U483" s="44">
        <v>0</v>
      </c>
      <c r="V483" s="44">
        <v>1.9</v>
      </c>
      <c r="W483" s="44">
        <v>0</v>
      </c>
      <c r="X483" s="45">
        <v>250000</v>
      </c>
      <c r="Y483" s="45">
        <v>25000000</v>
      </c>
      <c r="Z483" s="45"/>
      <c r="AA483" s="46">
        <v>25000000</v>
      </c>
    </row>
    <row r="484" spans="1:27" ht="15" customHeight="1">
      <c r="A484" s="1">
        <v>77</v>
      </c>
      <c r="B484" s="1" t="s">
        <v>561</v>
      </c>
      <c r="C484" s="1" t="s">
        <v>562</v>
      </c>
      <c r="D484" s="1" t="s">
        <v>535</v>
      </c>
      <c r="E484" s="1" t="s">
        <v>562</v>
      </c>
      <c r="F484" s="1" t="s">
        <v>183</v>
      </c>
      <c r="G484" s="1" t="s">
        <v>141</v>
      </c>
      <c r="H484" s="1">
        <v>1005002421</v>
      </c>
      <c r="I484" s="1" t="s">
        <v>11</v>
      </c>
      <c r="J484" s="1">
        <v>14</v>
      </c>
      <c r="K484" s="1" t="s">
        <v>184</v>
      </c>
      <c r="L484" s="1">
        <v>1001026678</v>
      </c>
      <c r="M484" s="1">
        <v>1172000000490</v>
      </c>
      <c r="N484" s="1" t="s">
        <v>144</v>
      </c>
      <c r="O484" s="1" t="s">
        <v>145</v>
      </c>
      <c r="P484" s="1" t="s">
        <v>146</v>
      </c>
      <c r="Q484" s="1" t="s">
        <v>147</v>
      </c>
      <c r="R484" s="1" t="s">
        <v>148</v>
      </c>
      <c r="S484" s="44">
        <v>5.33</v>
      </c>
      <c r="T484" s="44">
        <v>0.25</v>
      </c>
      <c r="U484" s="44">
        <v>0</v>
      </c>
      <c r="V484" s="44">
        <v>1.9</v>
      </c>
      <c r="W484" s="44">
        <v>0</v>
      </c>
      <c r="X484" s="45">
        <v>300000</v>
      </c>
      <c r="Y484" s="45">
        <v>30000000</v>
      </c>
      <c r="Z484" s="45"/>
      <c r="AA484" s="46">
        <v>30000000</v>
      </c>
    </row>
    <row r="485" spans="1:27" ht="15" customHeight="1">
      <c r="A485" s="1">
        <v>77</v>
      </c>
      <c r="B485" s="1" t="s">
        <v>561</v>
      </c>
      <c r="C485" s="1" t="s">
        <v>562</v>
      </c>
      <c r="D485" s="1" t="s">
        <v>535</v>
      </c>
      <c r="E485" s="1" t="s">
        <v>562</v>
      </c>
      <c r="F485" s="1" t="s">
        <v>183</v>
      </c>
      <c r="G485" s="1" t="s">
        <v>141</v>
      </c>
      <c r="H485" s="1">
        <v>1005002422</v>
      </c>
      <c r="I485" s="1" t="s">
        <v>11</v>
      </c>
      <c r="J485" s="1">
        <v>14</v>
      </c>
      <c r="K485" s="1" t="s">
        <v>184</v>
      </c>
      <c r="L485" s="1">
        <v>1001026757</v>
      </c>
      <c r="M485" s="1">
        <v>1172000000491</v>
      </c>
      <c r="N485" s="1" t="s">
        <v>144</v>
      </c>
      <c r="O485" s="1" t="s">
        <v>145</v>
      </c>
      <c r="P485" s="1" t="s">
        <v>146</v>
      </c>
      <c r="Q485" s="1" t="s">
        <v>147</v>
      </c>
      <c r="R485" s="1" t="s">
        <v>148</v>
      </c>
      <c r="S485" s="44">
        <v>5.33</v>
      </c>
      <c r="T485" s="44">
        <v>0.25</v>
      </c>
      <c r="U485" s="44">
        <v>0</v>
      </c>
      <c r="V485" s="44">
        <v>1.9</v>
      </c>
      <c r="W485" s="44">
        <v>0</v>
      </c>
      <c r="X485" s="45">
        <v>300000</v>
      </c>
      <c r="Y485" s="45">
        <v>30000000</v>
      </c>
      <c r="Z485" s="45"/>
      <c r="AA485" s="46">
        <v>30000000</v>
      </c>
    </row>
    <row r="486" spans="1:27" ht="15" customHeight="1">
      <c r="A486" s="1">
        <v>77</v>
      </c>
      <c r="B486" s="1" t="s">
        <v>561</v>
      </c>
      <c r="C486" s="1" t="s">
        <v>562</v>
      </c>
      <c r="D486" s="1" t="s">
        <v>535</v>
      </c>
      <c r="E486" s="1" t="s">
        <v>562</v>
      </c>
      <c r="F486" s="1" t="s">
        <v>183</v>
      </c>
      <c r="G486" s="1" t="s">
        <v>141</v>
      </c>
      <c r="H486" s="1">
        <v>1005002423</v>
      </c>
      <c r="I486" s="1" t="s">
        <v>11</v>
      </c>
      <c r="J486" s="1">
        <v>14</v>
      </c>
      <c r="K486" s="1" t="s">
        <v>184</v>
      </c>
      <c r="L486" s="1">
        <v>1001026827</v>
      </c>
      <c r="M486" s="1">
        <v>1172000000492</v>
      </c>
      <c r="N486" s="1" t="s">
        <v>144</v>
      </c>
      <c r="O486" s="1" t="s">
        <v>145</v>
      </c>
      <c r="P486" s="1" t="s">
        <v>146</v>
      </c>
      <c r="Q486" s="1" t="s">
        <v>147</v>
      </c>
      <c r="R486" s="1" t="s">
        <v>148</v>
      </c>
      <c r="S486" s="44">
        <v>5.33</v>
      </c>
      <c r="T486" s="44">
        <v>0.25</v>
      </c>
      <c r="U486" s="44">
        <v>0</v>
      </c>
      <c r="V486" s="44">
        <v>1.9</v>
      </c>
      <c r="W486" s="44">
        <v>0</v>
      </c>
      <c r="X486" s="45">
        <v>249800</v>
      </c>
      <c r="Y486" s="45">
        <v>24980000</v>
      </c>
      <c r="Z486" s="45"/>
      <c r="AA486" s="46">
        <v>24980000</v>
      </c>
    </row>
    <row r="487" spans="1:27" ht="15" customHeight="1">
      <c r="A487" s="1">
        <v>77</v>
      </c>
      <c r="B487" s="1" t="s">
        <v>561</v>
      </c>
      <c r="C487" s="1" t="s">
        <v>562</v>
      </c>
      <c r="D487" s="1" t="s">
        <v>535</v>
      </c>
      <c r="E487" s="1" t="s">
        <v>562</v>
      </c>
      <c r="F487" s="1" t="s">
        <v>183</v>
      </c>
      <c r="G487" s="1" t="s">
        <v>141</v>
      </c>
      <c r="H487" s="1">
        <v>9085000115</v>
      </c>
      <c r="I487" s="1" t="s">
        <v>107</v>
      </c>
      <c r="J487" s="1">
        <v>235</v>
      </c>
      <c r="K487" s="1" t="s">
        <v>184</v>
      </c>
      <c r="L487" s="1">
        <v>9081001025</v>
      </c>
      <c r="M487" s="1">
        <v>1172000000427</v>
      </c>
      <c r="N487" s="1" t="s">
        <v>144</v>
      </c>
      <c r="O487" s="1" t="s">
        <v>145</v>
      </c>
      <c r="P487" s="1" t="s">
        <v>146</v>
      </c>
      <c r="Q487" s="1" t="s">
        <v>147</v>
      </c>
      <c r="R487" s="1" t="s">
        <v>160</v>
      </c>
      <c r="S487" s="44">
        <v>5.39</v>
      </c>
      <c r="T487" s="44">
        <v>0.28999999999999998</v>
      </c>
      <c r="U487" s="44">
        <v>0</v>
      </c>
      <c r="V487" s="44">
        <v>1.68</v>
      </c>
      <c r="W487" s="44">
        <v>0</v>
      </c>
      <c r="X487" s="45">
        <v>750000</v>
      </c>
      <c r="Y487" s="45">
        <v>75000000</v>
      </c>
      <c r="Z487" s="45"/>
      <c r="AA487" s="46">
        <v>75000000</v>
      </c>
    </row>
    <row r="488" spans="1:27" ht="15" customHeight="1">
      <c r="A488" s="1">
        <v>77</v>
      </c>
      <c r="B488" s="1" t="s">
        <v>561</v>
      </c>
      <c r="C488" s="1" t="s">
        <v>562</v>
      </c>
      <c r="D488" s="1" t="s">
        <v>535</v>
      </c>
      <c r="E488" s="1" t="s">
        <v>562</v>
      </c>
      <c r="F488" s="1" t="s">
        <v>183</v>
      </c>
      <c r="G488" s="1" t="s">
        <v>141</v>
      </c>
      <c r="H488" s="1">
        <v>9085000116</v>
      </c>
      <c r="I488" s="1" t="s">
        <v>107</v>
      </c>
      <c r="J488" s="1">
        <v>235</v>
      </c>
      <c r="K488" s="1" t="s">
        <v>184</v>
      </c>
      <c r="L488" s="1">
        <v>9081001037</v>
      </c>
      <c r="M488" s="1">
        <v>1172000000429</v>
      </c>
      <c r="N488" s="1" t="s">
        <v>144</v>
      </c>
      <c r="O488" s="1" t="s">
        <v>145</v>
      </c>
      <c r="P488" s="1" t="s">
        <v>146</v>
      </c>
      <c r="Q488" s="1" t="s">
        <v>147</v>
      </c>
      <c r="R488" s="1" t="s">
        <v>160</v>
      </c>
      <c r="S488" s="44">
        <v>5.39</v>
      </c>
      <c r="T488" s="44">
        <v>0.28999999999999998</v>
      </c>
      <c r="U488" s="44">
        <v>0</v>
      </c>
      <c r="V488" s="44">
        <v>1.68</v>
      </c>
      <c r="W488" s="44">
        <v>0</v>
      </c>
      <c r="X488" s="45">
        <v>249690</v>
      </c>
      <c r="Y488" s="45">
        <v>24969000</v>
      </c>
      <c r="Z488" s="45"/>
      <c r="AA488" s="46">
        <v>24969000</v>
      </c>
    </row>
    <row r="489" spans="1:27" ht="15" customHeight="1">
      <c r="A489" s="56"/>
      <c r="B489" s="56" t="s">
        <v>149</v>
      </c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7"/>
      <c r="T489" s="57"/>
      <c r="U489" s="57"/>
      <c r="V489" s="57"/>
      <c r="W489" s="57"/>
      <c r="X489" s="58">
        <f>SUM(X477:X488)</f>
        <v>3649690</v>
      </c>
      <c r="Y489" s="58">
        <f t="shared" ref="Y489:AA489" si="75">SUM(Y477:Y488)</f>
        <v>364969000</v>
      </c>
      <c r="Z489" s="58">
        <f t="shared" si="75"/>
        <v>0</v>
      </c>
      <c r="AA489" s="58">
        <f t="shared" si="75"/>
        <v>364969000</v>
      </c>
    </row>
    <row r="490" spans="1:27" ht="15" customHeight="1">
      <c r="A490" s="1">
        <v>78</v>
      </c>
      <c r="B490" s="1" t="s">
        <v>563</v>
      </c>
      <c r="C490" s="1" t="s">
        <v>551</v>
      </c>
      <c r="D490" s="1" t="s">
        <v>535</v>
      </c>
      <c r="E490" s="1" t="s">
        <v>551</v>
      </c>
      <c r="F490" s="1" t="s">
        <v>183</v>
      </c>
      <c r="G490" s="1" t="s">
        <v>141</v>
      </c>
      <c r="H490" s="1">
        <v>1005001907</v>
      </c>
      <c r="I490" s="1" t="s">
        <v>102</v>
      </c>
      <c r="J490" s="1">
        <v>88</v>
      </c>
      <c r="K490" s="1" t="s">
        <v>184</v>
      </c>
      <c r="L490" s="1">
        <v>1001025611</v>
      </c>
      <c r="M490" s="1">
        <v>1182000000318</v>
      </c>
      <c r="N490" s="1" t="s">
        <v>296</v>
      </c>
      <c r="O490" s="1" t="s">
        <v>297</v>
      </c>
      <c r="P490" s="1" t="s">
        <v>146</v>
      </c>
      <c r="Q490" s="1" t="s">
        <v>147</v>
      </c>
      <c r="R490" s="1" t="s">
        <v>148</v>
      </c>
      <c r="S490" s="44">
        <v>12.73</v>
      </c>
      <c r="T490" s="44">
        <v>0.31</v>
      </c>
      <c r="U490" s="44">
        <v>0</v>
      </c>
      <c r="V490" s="44">
        <v>0</v>
      </c>
      <c r="W490" s="44">
        <v>0</v>
      </c>
      <c r="X490" s="45">
        <v>313900</v>
      </c>
      <c r="Y490" s="45">
        <v>15381100</v>
      </c>
      <c r="Z490" s="45"/>
      <c r="AA490" s="46">
        <v>15381100</v>
      </c>
    </row>
    <row r="491" spans="1:27" ht="15" customHeight="1">
      <c r="A491" s="1">
        <v>78</v>
      </c>
      <c r="B491" s="1" t="s">
        <v>563</v>
      </c>
      <c r="C491" s="1" t="s">
        <v>551</v>
      </c>
      <c r="D491" s="1" t="s">
        <v>535</v>
      </c>
      <c r="E491" s="1" t="s">
        <v>551</v>
      </c>
      <c r="F491" s="1" t="s">
        <v>183</v>
      </c>
      <c r="G491" s="1" t="s">
        <v>141</v>
      </c>
      <c r="H491" s="1">
        <v>1005001909</v>
      </c>
      <c r="I491" s="1" t="s">
        <v>102</v>
      </c>
      <c r="J491" s="1">
        <v>88</v>
      </c>
      <c r="K491" s="1" t="s">
        <v>184</v>
      </c>
      <c r="L491" s="1">
        <v>1001025616</v>
      </c>
      <c r="M491" s="1">
        <v>1182000000317</v>
      </c>
      <c r="N491" s="1" t="s">
        <v>321</v>
      </c>
      <c r="O491" s="1" t="s">
        <v>297</v>
      </c>
      <c r="P491" s="1" t="s">
        <v>146</v>
      </c>
      <c r="Q491" s="1" t="s">
        <v>147</v>
      </c>
      <c r="R491" s="1" t="s">
        <v>148</v>
      </c>
      <c r="S491" s="44">
        <v>12.73</v>
      </c>
      <c r="T491" s="44">
        <v>0.31</v>
      </c>
      <c r="U491" s="44">
        <v>0</v>
      </c>
      <c r="V491" s="44">
        <v>0</v>
      </c>
      <c r="W491" s="44">
        <v>0</v>
      </c>
      <c r="X491" s="45">
        <v>1442890</v>
      </c>
      <c r="Y491" s="45">
        <v>70701610</v>
      </c>
      <c r="Z491" s="45"/>
      <c r="AA491" s="46">
        <v>70701610</v>
      </c>
    </row>
    <row r="492" spans="1:27" ht="15" customHeight="1">
      <c r="A492" s="1">
        <v>78</v>
      </c>
      <c r="B492" s="1" t="s">
        <v>563</v>
      </c>
      <c r="C492" s="1" t="s">
        <v>551</v>
      </c>
      <c r="D492" s="1" t="s">
        <v>535</v>
      </c>
      <c r="E492" s="1" t="s">
        <v>551</v>
      </c>
      <c r="F492" s="1" t="s">
        <v>183</v>
      </c>
      <c r="G492" s="1" t="s">
        <v>141</v>
      </c>
      <c r="H492" s="1">
        <v>1005002435</v>
      </c>
      <c r="I492" s="1" t="s">
        <v>6</v>
      </c>
      <c r="J492" s="1">
        <v>11</v>
      </c>
      <c r="K492" s="1" t="s">
        <v>184</v>
      </c>
      <c r="L492" s="1">
        <v>1001026534</v>
      </c>
      <c r="M492" s="1">
        <v>1182000000326</v>
      </c>
      <c r="N492" s="1" t="s">
        <v>144</v>
      </c>
      <c r="O492" s="1" t="s">
        <v>145</v>
      </c>
      <c r="P492" s="1" t="s">
        <v>146</v>
      </c>
      <c r="Q492" s="1" t="s">
        <v>147</v>
      </c>
      <c r="R492" s="1" t="s">
        <v>148</v>
      </c>
      <c r="S492" s="44">
        <v>5.33</v>
      </c>
      <c r="T492" s="44">
        <v>0.25</v>
      </c>
      <c r="U492" s="44">
        <v>0</v>
      </c>
      <c r="V492" s="44">
        <v>1.56</v>
      </c>
      <c r="W492" s="44">
        <v>0</v>
      </c>
      <c r="X492" s="45">
        <v>1956540</v>
      </c>
      <c r="Y492" s="45">
        <v>195654000</v>
      </c>
      <c r="Z492" s="45"/>
      <c r="AA492" s="46">
        <v>195654000</v>
      </c>
    </row>
    <row r="493" spans="1:27" ht="15" customHeight="1">
      <c r="A493" s="1">
        <v>78</v>
      </c>
      <c r="B493" s="1" t="s">
        <v>563</v>
      </c>
      <c r="C493" s="1" t="s">
        <v>551</v>
      </c>
      <c r="D493" s="1" t="s">
        <v>535</v>
      </c>
      <c r="E493" s="1" t="s">
        <v>551</v>
      </c>
      <c r="F493" s="1" t="s">
        <v>183</v>
      </c>
      <c r="G493" s="1" t="s">
        <v>141</v>
      </c>
      <c r="H493" s="1">
        <v>9145000155</v>
      </c>
      <c r="I493" s="1" t="s">
        <v>102</v>
      </c>
      <c r="J493" s="1">
        <v>88</v>
      </c>
      <c r="K493" s="1" t="s">
        <v>184</v>
      </c>
      <c r="L493" s="1">
        <v>9141001643</v>
      </c>
      <c r="M493" s="1" t="s">
        <v>282</v>
      </c>
      <c r="N493" s="1" t="s">
        <v>321</v>
      </c>
      <c r="O493" s="1" t="s">
        <v>297</v>
      </c>
      <c r="P493" s="1" t="s">
        <v>146</v>
      </c>
      <c r="Q493" s="1" t="s">
        <v>147</v>
      </c>
      <c r="R493" s="1" t="s">
        <v>162</v>
      </c>
      <c r="S493" s="44">
        <v>12.73</v>
      </c>
      <c r="T493" s="44">
        <v>0.31</v>
      </c>
      <c r="U493" s="44">
        <v>0</v>
      </c>
      <c r="V493" s="44">
        <v>0</v>
      </c>
      <c r="W493" s="44">
        <v>0</v>
      </c>
      <c r="X493" s="45">
        <v>395460</v>
      </c>
      <c r="Y493" s="45">
        <v>19377540</v>
      </c>
      <c r="Z493" s="45"/>
      <c r="AA493" s="46">
        <v>19377540</v>
      </c>
    </row>
    <row r="494" spans="1:27" ht="15" customHeight="1">
      <c r="A494" s="1">
        <v>78</v>
      </c>
      <c r="B494" s="1" t="s">
        <v>563</v>
      </c>
      <c r="C494" s="1" t="s">
        <v>551</v>
      </c>
      <c r="D494" s="1" t="s">
        <v>535</v>
      </c>
      <c r="E494" s="1" t="s">
        <v>551</v>
      </c>
      <c r="F494" s="1" t="s">
        <v>183</v>
      </c>
      <c r="G494" s="1" t="s">
        <v>141</v>
      </c>
      <c r="H494" s="1">
        <v>9155000000</v>
      </c>
      <c r="I494" s="1" t="s">
        <v>102</v>
      </c>
      <c r="J494" s="1">
        <v>88</v>
      </c>
      <c r="K494" s="1" t="s">
        <v>184</v>
      </c>
      <c r="L494" s="1">
        <v>9151000041</v>
      </c>
      <c r="M494" s="1" t="s">
        <v>282</v>
      </c>
      <c r="N494" s="1" t="s">
        <v>321</v>
      </c>
      <c r="O494" s="1" t="s">
        <v>297</v>
      </c>
      <c r="P494" s="1" t="s">
        <v>146</v>
      </c>
      <c r="Q494" s="1" t="s">
        <v>147</v>
      </c>
      <c r="R494" s="1" t="s">
        <v>564</v>
      </c>
      <c r="S494" s="44">
        <v>12.73</v>
      </c>
      <c r="T494" s="44">
        <v>0.31</v>
      </c>
      <c r="U494" s="44">
        <v>0</v>
      </c>
      <c r="V494" s="44">
        <v>0</v>
      </c>
      <c r="W494" s="44">
        <v>0</v>
      </c>
      <c r="X494" s="45">
        <v>343500</v>
      </c>
      <c r="Y494" s="45">
        <v>16831500</v>
      </c>
      <c r="Z494" s="45"/>
      <c r="AA494" s="46">
        <v>16831500</v>
      </c>
    </row>
    <row r="495" spans="1:27" ht="15" customHeight="1">
      <c r="A495" s="1">
        <v>78</v>
      </c>
      <c r="B495" s="1" t="s">
        <v>563</v>
      </c>
      <c r="C495" s="1" t="s">
        <v>551</v>
      </c>
      <c r="D495" s="1" t="s">
        <v>535</v>
      </c>
      <c r="E495" s="1" t="s">
        <v>551</v>
      </c>
      <c r="F495" s="1" t="s">
        <v>183</v>
      </c>
      <c r="G495" s="1" t="s">
        <v>141</v>
      </c>
      <c r="H495" s="1">
        <v>9205000000</v>
      </c>
      <c r="I495" s="1" t="s">
        <v>102</v>
      </c>
      <c r="J495" s="1">
        <v>88</v>
      </c>
      <c r="K495" s="1" t="s">
        <v>184</v>
      </c>
      <c r="L495" s="1">
        <v>9201000021</v>
      </c>
      <c r="M495" s="1" t="s">
        <v>282</v>
      </c>
      <c r="N495" s="1" t="s">
        <v>321</v>
      </c>
      <c r="O495" s="1" t="s">
        <v>297</v>
      </c>
      <c r="P495" s="1" t="s">
        <v>146</v>
      </c>
      <c r="Q495" s="1" t="s">
        <v>147</v>
      </c>
      <c r="R495" s="1" t="s">
        <v>565</v>
      </c>
      <c r="S495" s="44">
        <v>12.73</v>
      </c>
      <c r="T495" s="44">
        <v>0.31</v>
      </c>
      <c r="U495" s="44">
        <v>0</v>
      </c>
      <c r="V495" s="44">
        <v>0</v>
      </c>
      <c r="W495" s="44">
        <v>0</v>
      </c>
      <c r="X495" s="45">
        <v>394660</v>
      </c>
      <c r="Y495" s="45">
        <v>19338340</v>
      </c>
      <c r="Z495" s="45"/>
      <c r="AA495" s="46">
        <v>19338340</v>
      </c>
    </row>
    <row r="496" spans="1:27" ht="15" customHeight="1">
      <c r="A496" s="56"/>
      <c r="B496" s="56" t="s">
        <v>149</v>
      </c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7"/>
      <c r="T496" s="57"/>
      <c r="U496" s="57"/>
      <c r="V496" s="57"/>
      <c r="W496" s="57"/>
      <c r="X496" s="58">
        <f>SUM(X490:X495)</f>
        <v>4846950</v>
      </c>
      <c r="Y496" s="58">
        <f t="shared" ref="Y496:AA496" si="76">SUM(Y490:Y495)</f>
        <v>337284090</v>
      </c>
      <c r="Z496" s="58">
        <f t="shared" si="76"/>
        <v>0</v>
      </c>
      <c r="AA496" s="58">
        <f t="shared" si="76"/>
        <v>337284090</v>
      </c>
    </row>
    <row r="497" spans="1:27" ht="15" customHeight="1">
      <c r="A497" s="1">
        <v>79</v>
      </c>
      <c r="B497" s="1" t="s">
        <v>566</v>
      </c>
      <c r="C497" s="1" t="s">
        <v>567</v>
      </c>
      <c r="D497" s="1" t="s">
        <v>535</v>
      </c>
      <c r="E497" s="1" t="s">
        <v>568</v>
      </c>
      <c r="F497" s="1" t="s">
        <v>153</v>
      </c>
      <c r="G497" s="1" t="s">
        <v>141</v>
      </c>
      <c r="H497" s="1">
        <v>1385000020</v>
      </c>
      <c r="I497" s="1" t="s">
        <v>108</v>
      </c>
      <c r="J497" s="1">
        <v>295</v>
      </c>
      <c r="K497" s="1" t="s">
        <v>253</v>
      </c>
      <c r="L497" s="1">
        <v>1381001614</v>
      </c>
      <c r="M497" s="1">
        <v>1002000004209</v>
      </c>
      <c r="N497" s="1" t="s">
        <v>144</v>
      </c>
      <c r="O497" s="1" t="s">
        <v>145</v>
      </c>
      <c r="P497" s="1" t="s">
        <v>146</v>
      </c>
      <c r="Q497" s="1" t="s">
        <v>147</v>
      </c>
      <c r="R497" s="1" t="s">
        <v>255</v>
      </c>
      <c r="S497" s="44">
        <v>5.0999999999999996</v>
      </c>
      <c r="T497" s="44">
        <v>0.42</v>
      </c>
      <c r="U497" s="44">
        <v>0</v>
      </c>
      <c r="V497" s="44">
        <v>2</v>
      </c>
      <c r="W497" s="44">
        <v>0</v>
      </c>
      <c r="X497" s="45">
        <v>30530</v>
      </c>
      <c r="Y497" s="45">
        <v>3053000</v>
      </c>
      <c r="Z497" s="45"/>
      <c r="AA497" s="46">
        <v>3053000</v>
      </c>
    </row>
    <row r="498" spans="1:27" ht="15" customHeight="1">
      <c r="A498" s="1">
        <v>79</v>
      </c>
      <c r="B498" s="1" t="s">
        <v>566</v>
      </c>
      <c r="C498" s="1" t="s">
        <v>567</v>
      </c>
      <c r="D498" s="1" t="s">
        <v>535</v>
      </c>
      <c r="E498" s="1" t="s">
        <v>400</v>
      </c>
      <c r="F498" s="1" t="s">
        <v>153</v>
      </c>
      <c r="G498" s="1" t="s">
        <v>141</v>
      </c>
      <c r="H498" s="1">
        <v>1385000044</v>
      </c>
      <c r="I498" s="1" t="s">
        <v>29</v>
      </c>
      <c r="J498" s="1">
        <v>135</v>
      </c>
      <c r="K498" s="1" t="s">
        <v>253</v>
      </c>
      <c r="L498" s="1">
        <v>1381002079</v>
      </c>
      <c r="M498" s="1">
        <v>1002000004914</v>
      </c>
      <c r="N498" s="1" t="s">
        <v>144</v>
      </c>
      <c r="O498" s="1" t="s">
        <v>145</v>
      </c>
      <c r="P498" s="1" t="s">
        <v>146</v>
      </c>
      <c r="Q498" s="1" t="s">
        <v>147</v>
      </c>
      <c r="R498" s="1" t="s">
        <v>255</v>
      </c>
      <c r="S498" s="44">
        <v>3.1</v>
      </c>
      <c r="T498" s="44">
        <v>0.6</v>
      </c>
      <c r="U498" s="44">
        <v>0</v>
      </c>
      <c r="V498" s="44">
        <v>2.2000000000000002</v>
      </c>
      <c r="W498" s="44">
        <v>0</v>
      </c>
      <c r="X498" s="45">
        <v>57.11</v>
      </c>
      <c r="Y498" s="45">
        <v>842944</v>
      </c>
      <c r="Z498" s="45"/>
      <c r="AA498" s="46">
        <v>842944</v>
      </c>
    </row>
    <row r="499" spans="1:27" ht="15" customHeight="1">
      <c r="A499" s="1">
        <v>79</v>
      </c>
      <c r="B499" s="1" t="s">
        <v>566</v>
      </c>
      <c r="C499" s="1" t="s">
        <v>567</v>
      </c>
      <c r="D499" s="1" t="s">
        <v>535</v>
      </c>
      <c r="E499" s="1" t="s">
        <v>568</v>
      </c>
      <c r="F499" s="1" t="s">
        <v>140</v>
      </c>
      <c r="G499" s="1" t="s">
        <v>141</v>
      </c>
      <c r="H499" s="1">
        <v>1385000046</v>
      </c>
      <c r="I499" s="1" t="s">
        <v>109</v>
      </c>
      <c r="J499" s="1">
        <v>108</v>
      </c>
      <c r="K499" s="1" t="s">
        <v>253</v>
      </c>
      <c r="L499" s="1">
        <v>1381002129</v>
      </c>
      <c r="M499" s="1">
        <v>1002000005007</v>
      </c>
      <c r="N499" s="1" t="s">
        <v>569</v>
      </c>
      <c r="O499" s="1" t="s">
        <v>570</v>
      </c>
      <c r="P499" s="1" t="s">
        <v>146</v>
      </c>
      <c r="Q499" s="1" t="s">
        <v>147</v>
      </c>
      <c r="R499" s="1" t="s">
        <v>255</v>
      </c>
      <c r="S499" s="44">
        <v>0.33</v>
      </c>
      <c r="T499" s="44">
        <v>0.05</v>
      </c>
      <c r="U499" s="44">
        <v>0</v>
      </c>
      <c r="V499" s="44">
        <v>0</v>
      </c>
      <c r="W499" s="44">
        <v>0</v>
      </c>
      <c r="X499" s="45">
        <v>77540</v>
      </c>
      <c r="Y499" s="45">
        <v>7754000</v>
      </c>
      <c r="Z499" s="45"/>
      <c r="AA499" s="46">
        <v>7754000</v>
      </c>
    </row>
    <row r="500" spans="1:27" ht="15" customHeight="1">
      <c r="A500" s="1">
        <v>79</v>
      </c>
      <c r="B500" s="1" t="s">
        <v>566</v>
      </c>
      <c r="C500" s="1" t="s">
        <v>567</v>
      </c>
      <c r="D500" s="1" t="s">
        <v>535</v>
      </c>
      <c r="E500" s="1" t="s">
        <v>568</v>
      </c>
      <c r="F500" s="1" t="s">
        <v>140</v>
      </c>
      <c r="G500" s="1" t="s">
        <v>141</v>
      </c>
      <c r="H500" s="1">
        <v>1385000047</v>
      </c>
      <c r="I500" s="1" t="s">
        <v>109</v>
      </c>
      <c r="J500" s="1">
        <v>108</v>
      </c>
      <c r="K500" s="1" t="s">
        <v>253</v>
      </c>
      <c r="L500" s="1">
        <v>1381002129</v>
      </c>
      <c r="M500" s="1">
        <v>1002000005007</v>
      </c>
      <c r="N500" s="1" t="s">
        <v>569</v>
      </c>
      <c r="O500" s="1" t="s">
        <v>570</v>
      </c>
      <c r="P500" s="1" t="s">
        <v>146</v>
      </c>
      <c r="Q500" s="1" t="s">
        <v>147</v>
      </c>
      <c r="R500" s="1" t="s">
        <v>255</v>
      </c>
      <c r="S500" s="44">
        <v>0.33</v>
      </c>
      <c r="T500" s="44">
        <v>0.05</v>
      </c>
      <c r="U500" s="44">
        <v>0</v>
      </c>
      <c r="V500" s="44">
        <v>0</v>
      </c>
      <c r="W500" s="44">
        <v>0</v>
      </c>
      <c r="X500" s="45">
        <v>21760</v>
      </c>
      <c r="Y500" s="45">
        <v>2176000</v>
      </c>
      <c r="Z500" s="45"/>
      <c r="AA500" s="46">
        <v>2176000</v>
      </c>
    </row>
    <row r="501" spans="1:27" ht="15" customHeight="1">
      <c r="A501" s="1">
        <v>79</v>
      </c>
      <c r="B501" s="1" t="s">
        <v>566</v>
      </c>
      <c r="C501" s="1" t="s">
        <v>567</v>
      </c>
      <c r="D501" s="1" t="s">
        <v>535</v>
      </c>
      <c r="E501" s="1" t="s">
        <v>400</v>
      </c>
      <c r="F501" s="1" t="s">
        <v>153</v>
      </c>
      <c r="G501" s="1" t="s">
        <v>141</v>
      </c>
      <c r="H501" s="1">
        <v>1385000060</v>
      </c>
      <c r="I501" s="1" t="s">
        <v>8</v>
      </c>
      <c r="J501" s="1">
        <v>66</v>
      </c>
      <c r="K501" s="1" t="s">
        <v>253</v>
      </c>
      <c r="L501" s="1">
        <v>1381002300</v>
      </c>
      <c r="M501" s="1">
        <v>1002000005337</v>
      </c>
      <c r="N501" s="1" t="s">
        <v>144</v>
      </c>
      <c r="O501" s="1" t="s">
        <v>145</v>
      </c>
      <c r="P501" s="1" t="s">
        <v>146</v>
      </c>
      <c r="Q501" s="1" t="s">
        <v>147</v>
      </c>
      <c r="R501" s="1" t="s">
        <v>255</v>
      </c>
      <c r="S501" s="44">
        <v>0</v>
      </c>
      <c r="T501" s="44">
        <v>0.7</v>
      </c>
      <c r="U501" s="44">
        <v>0</v>
      </c>
      <c r="V501" s="44">
        <v>0</v>
      </c>
      <c r="W501" s="44">
        <v>0</v>
      </c>
      <c r="X501" s="45">
        <v>28980</v>
      </c>
      <c r="Y501" s="45">
        <v>1449000</v>
      </c>
      <c r="Z501" s="45"/>
      <c r="AA501" s="46">
        <v>1449000</v>
      </c>
    </row>
    <row r="502" spans="1:27" ht="15" customHeight="1">
      <c r="A502" s="1">
        <v>79</v>
      </c>
      <c r="B502" s="1" t="s">
        <v>566</v>
      </c>
      <c r="C502" s="1" t="s">
        <v>567</v>
      </c>
      <c r="D502" s="1" t="s">
        <v>535</v>
      </c>
      <c r="E502" s="1" t="s">
        <v>568</v>
      </c>
      <c r="F502" s="1" t="s">
        <v>153</v>
      </c>
      <c r="G502" s="1" t="s">
        <v>141</v>
      </c>
      <c r="H502" s="1">
        <v>1385000064</v>
      </c>
      <c r="I502" s="1" t="s">
        <v>39</v>
      </c>
      <c r="J502" s="1">
        <v>65</v>
      </c>
      <c r="K502" s="1" t="s">
        <v>253</v>
      </c>
      <c r="L502" s="1">
        <v>1381002268</v>
      </c>
      <c r="M502" s="1">
        <v>1002000005292</v>
      </c>
      <c r="N502" s="1" t="s">
        <v>144</v>
      </c>
      <c r="O502" s="1" t="s">
        <v>145</v>
      </c>
      <c r="P502" s="1" t="s">
        <v>146</v>
      </c>
      <c r="Q502" s="1" t="s">
        <v>147</v>
      </c>
      <c r="R502" s="1" t="s">
        <v>255</v>
      </c>
      <c r="S502" s="44">
        <v>5.7</v>
      </c>
      <c r="T502" s="44">
        <v>0.57999999999999996</v>
      </c>
      <c r="U502" s="44">
        <v>0</v>
      </c>
      <c r="V502" s="44">
        <v>2</v>
      </c>
      <c r="W502" s="44">
        <v>0</v>
      </c>
      <c r="X502" s="45">
        <v>7.26</v>
      </c>
      <c r="Y502" s="45">
        <v>102330</v>
      </c>
      <c r="Z502" s="45"/>
      <c r="AA502" s="46">
        <v>102330</v>
      </c>
    </row>
    <row r="503" spans="1:27" ht="15" customHeight="1">
      <c r="A503" s="1">
        <v>79</v>
      </c>
      <c r="B503" s="1" t="s">
        <v>566</v>
      </c>
      <c r="C503" s="1" t="s">
        <v>567</v>
      </c>
      <c r="D503" s="1" t="s">
        <v>535</v>
      </c>
      <c r="E503" s="1" t="s">
        <v>568</v>
      </c>
      <c r="F503" s="1" t="s">
        <v>153</v>
      </c>
      <c r="G503" s="1" t="s">
        <v>141</v>
      </c>
      <c r="H503" s="1">
        <v>1385000065</v>
      </c>
      <c r="I503" s="1" t="s">
        <v>39</v>
      </c>
      <c r="J503" s="1">
        <v>65</v>
      </c>
      <c r="K503" s="1" t="s">
        <v>253</v>
      </c>
      <c r="L503" s="1">
        <v>1381002268</v>
      </c>
      <c r="M503" s="1">
        <v>1002000005292</v>
      </c>
      <c r="N503" s="1" t="s">
        <v>144</v>
      </c>
      <c r="O503" s="1" t="s">
        <v>145</v>
      </c>
      <c r="P503" s="1" t="s">
        <v>146</v>
      </c>
      <c r="Q503" s="1" t="s">
        <v>147</v>
      </c>
      <c r="R503" s="1" t="s">
        <v>255</v>
      </c>
      <c r="S503" s="44">
        <v>5.7</v>
      </c>
      <c r="T503" s="44">
        <v>0.57999999999999996</v>
      </c>
      <c r="U503" s="44">
        <v>0</v>
      </c>
      <c r="V503" s="44">
        <v>2</v>
      </c>
      <c r="W503" s="44">
        <v>0</v>
      </c>
      <c r="X503" s="45">
        <v>9070</v>
      </c>
      <c r="Y503" s="45">
        <v>1814000</v>
      </c>
      <c r="Z503" s="45"/>
      <c r="AA503" s="46">
        <v>1814000</v>
      </c>
    </row>
    <row r="504" spans="1:27" ht="15" customHeight="1">
      <c r="A504" s="1">
        <v>79</v>
      </c>
      <c r="B504" s="1" t="s">
        <v>566</v>
      </c>
      <c r="C504" s="1" t="s">
        <v>567</v>
      </c>
      <c r="D504" s="1" t="s">
        <v>535</v>
      </c>
      <c r="E504" s="1" t="s">
        <v>400</v>
      </c>
      <c r="F504" s="1" t="s">
        <v>153</v>
      </c>
      <c r="G504" s="1" t="s">
        <v>141</v>
      </c>
      <c r="H504" s="1">
        <v>1385000078</v>
      </c>
      <c r="I504" s="1" t="s">
        <v>9</v>
      </c>
      <c r="J504" s="1">
        <v>9</v>
      </c>
      <c r="K504" s="1" t="s">
        <v>253</v>
      </c>
      <c r="L504" s="1">
        <v>1381002466</v>
      </c>
      <c r="M504" s="1">
        <v>1002000005603</v>
      </c>
      <c r="N504" s="1" t="s">
        <v>144</v>
      </c>
      <c r="O504" s="1" t="s">
        <v>145</v>
      </c>
      <c r="P504" s="1" t="s">
        <v>146</v>
      </c>
      <c r="Q504" s="1" t="s">
        <v>147</v>
      </c>
      <c r="R504" s="1" t="s">
        <v>255</v>
      </c>
      <c r="S504" s="44">
        <v>3.3</v>
      </c>
      <c r="T504" s="44">
        <v>0.53</v>
      </c>
      <c r="U504" s="44">
        <v>0</v>
      </c>
      <c r="V504" s="44">
        <v>2.2000000000000002</v>
      </c>
      <c r="W504" s="44">
        <v>0</v>
      </c>
      <c r="X504" s="45">
        <v>26.06</v>
      </c>
      <c r="Y504" s="45">
        <v>399708</v>
      </c>
      <c r="Z504" s="45"/>
      <c r="AA504" s="46">
        <v>399708</v>
      </c>
    </row>
    <row r="505" spans="1:27" ht="15" customHeight="1">
      <c r="A505" s="1">
        <v>79</v>
      </c>
      <c r="B505" s="1" t="s">
        <v>566</v>
      </c>
      <c r="C505" s="1" t="s">
        <v>567</v>
      </c>
      <c r="D505" s="1" t="s">
        <v>535</v>
      </c>
      <c r="E505" s="1" t="s">
        <v>400</v>
      </c>
      <c r="F505" s="1" t="s">
        <v>153</v>
      </c>
      <c r="G505" s="1" t="s">
        <v>141</v>
      </c>
      <c r="H505" s="1">
        <v>1385000079</v>
      </c>
      <c r="I505" s="1" t="s">
        <v>9</v>
      </c>
      <c r="J505" s="1">
        <v>9</v>
      </c>
      <c r="K505" s="1" t="s">
        <v>253</v>
      </c>
      <c r="L505" s="1">
        <v>1381002487</v>
      </c>
      <c r="M505" s="1">
        <v>1002000005648</v>
      </c>
      <c r="N505" s="1" t="s">
        <v>144</v>
      </c>
      <c r="O505" s="1" t="s">
        <v>145</v>
      </c>
      <c r="P505" s="1" t="s">
        <v>146</v>
      </c>
      <c r="Q505" s="1" t="s">
        <v>147</v>
      </c>
      <c r="R505" s="1" t="s">
        <v>255</v>
      </c>
      <c r="S505" s="44">
        <v>3.5</v>
      </c>
      <c r="T505" s="44">
        <v>0.64</v>
      </c>
      <c r="U505" s="44">
        <v>0</v>
      </c>
      <c r="V505" s="44">
        <v>2.15</v>
      </c>
      <c r="W505" s="44">
        <v>0</v>
      </c>
      <c r="X505" s="45">
        <v>243.34</v>
      </c>
      <c r="Y505" s="45">
        <v>3644746</v>
      </c>
      <c r="Z505" s="45"/>
      <c r="AA505" s="46">
        <v>3644746</v>
      </c>
    </row>
    <row r="506" spans="1:27" ht="15" customHeight="1">
      <c r="A506" s="56"/>
      <c r="B506" s="56" t="s">
        <v>149</v>
      </c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7"/>
      <c r="T506" s="57"/>
      <c r="U506" s="57"/>
      <c r="V506" s="57"/>
      <c r="W506" s="57"/>
      <c r="X506" s="58">
        <f t="shared" ref="X506:AA506" si="77">SUM(X497:X505)</f>
        <v>168213.77</v>
      </c>
      <c r="Y506" s="58">
        <f t="shared" si="77"/>
        <v>21235728</v>
      </c>
      <c r="Z506" s="58">
        <f t="shared" si="77"/>
        <v>0</v>
      </c>
      <c r="AA506" s="58">
        <f t="shared" si="77"/>
        <v>21235728</v>
      </c>
    </row>
    <row r="507" spans="1:27" ht="15" customHeight="1">
      <c r="A507" s="1">
        <v>80</v>
      </c>
      <c r="B507" s="1" t="s">
        <v>571</v>
      </c>
      <c r="C507" s="1" t="s">
        <v>572</v>
      </c>
      <c r="D507" s="1" t="s">
        <v>535</v>
      </c>
      <c r="E507" s="1" t="s">
        <v>572</v>
      </c>
      <c r="F507" s="1" t="s">
        <v>183</v>
      </c>
      <c r="G507" s="1" t="s">
        <v>141</v>
      </c>
      <c r="H507" s="1">
        <v>1005001908</v>
      </c>
      <c r="I507" s="1" t="s">
        <v>102</v>
      </c>
      <c r="J507" s="1">
        <v>88</v>
      </c>
      <c r="K507" s="1" t="s">
        <v>184</v>
      </c>
      <c r="L507" s="1">
        <v>1001025612</v>
      </c>
      <c r="M507" s="1">
        <v>1192000000177</v>
      </c>
      <c r="N507" s="1" t="s">
        <v>334</v>
      </c>
      <c r="O507" s="1" t="s">
        <v>297</v>
      </c>
      <c r="P507" s="1" t="s">
        <v>146</v>
      </c>
      <c r="Q507" s="1" t="s">
        <v>147</v>
      </c>
      <c r="R507" s="1" t="s">
        <v>148</v>
      </c>
      <c r="S507" s="44">
        <v>12.73</v>
      </c>
      <c r="T507" s="44">
        <v>0.31</v>
      </c>
      <c r="U507" s="44">
        <v>0</v>
      </c>
      <c r="V507" s="44">
        <v>0</v>
      </c>
      <c r="W507" s="44">
        <v>0</v>
      </c>
      <c r="X507" s="45">
        <v>157430</v>
      </c>
      <c r="Y507" s="45">
        <v>7714070</v>
      </c>
      <c r="Z507" s="45"/>
      <c r="AA507" s="46">
        <v>7714070</v>
      </c>
    </row>
    <row r="508" spans="1:27" ht="15" customHeight="1">
      <c r="A508" s="1">
        <v>80</v>
      </c>
      <c r="B508" s="1" t="s">
        <v>571</v>
      </c>
      <c r="C508" s="1" t="s">
        <v>572</v>
      </c>
      <c r="D508" s="1" t="s">
        <v>535</v>
      </c>
      <c r="E508" s="1" t="s">
        <v>572</v>
      </c>
      <c r="F508" s="1" t="s">
        <v>183</v>
      </c>
      <c r="G508" s="1" t="s">
        <v>141</v>
      </c>
      <c r="H508" s="1">
        <v>1005001910</v>
      </c>
      <c r="I508" s="1" t="s">
        <v>102</v>
      </c>
      <c r="J508" s="1">
        <v>88</v>
      </c>
      <c r="K508" s="1" t="s">
        <v>184</v>
      </c>
      <c r="L508" s="1">
        <v>1001025618</v>
      </c>
      <c r="M508" s="1">
        <v>1192000000176</v>
      </c>
      <c r="N508" s="1" t="s">
        <v>321</v>
      </c>
      <c r="O508" s="1" t="s">
        <v>297</v>
      </c>
      <c r="P508" s="1" t="s">
        <v>146</v>
      </c>
      <c r="Q508" s="1" t="s">
        <v>147</v>
      </c>
      <c r="R508" s="1" t="s">
        <v>148</v>
      </c>
      <c r="S508" s="44">
        <v>12.73</v>
      </c>
      <c r="T508" s="44">
        <v>0.31</v>
      </c>
      <c r="U508" s="44">
        <v>0</v>
      </c>
      <c r="V508" s="44">
        <v>0</v>
      </c>
      <c r="W508" s="44">
        <v>0</v>
      </c>
      <c r="X508" s="45">
        <v>335060</v>
      </c>
      <c r="Y508" s="45">
        <v>16417940</v>
      </c>
      <c r="Z508" s="45"/>
      <c r="AA508" s="46">
        <v>16417940</v>
      </c>
    </row>
    <row r="509" spans="1:27" ht="15" customHeight="1">
      <c r="A509" s="1">
        <v>80</v>
      </c>
      <c r="B509" s="1" t="s">
        <v>571</v>
      </c>
      <c r="C509" s="1" t="s">
        <v>572</v>
      </c>
      <c r="D509" s="1" t="s">
        <v>535</v>
      </c>
      <c r="E509" s="1" t="s">
        <v>572</v>
      </c>
      <c r="F509" s="1" t="s">
        <v>183</v>
      </c>
      <c r="G509" s="1" t="s">
        <v>141</v>
      </c>
      <c r="H509" s="1">
        <v>1005001914</v>
      </c>
      <c r="I509" s="1" t="s">
        <v>102</v>
      </c>
      <c r="J509" s="1">
        <v>88</v>
      </c>
      <c r="K509" s="1" t="s">
        <v>573</v>
      </c>
      <c r="L509" s="1">
        <v>1001018904</v>
      </c>
      <c r="M509" s="1">
        <v>1192000000113</v>
      </c>
      <c r="N509" s="1" t="s">
        <v>144</v>
      </c>
      <c r="O509" s="1" t="s">
        <v>145</v>
      </c>
      <c r="P509" s="1" t="s">
        <v>146</v>
      </c>
      <c r="Q509" s="1" t="s">
        <v>147</v>
      </c>
      <c r="R509" s="1" t="s">
        <v>148</v>
      </c>
      <c r="S509" s="44">
        <v>9.4700000000000006</v>
      </c>
      <c r="T509" s="44">
        <v>0.26</v>
      </c>
      <c r="U509" s="44">
        <v>0</v>
      </c>
      <c r="V509" s="44">
        <v>0</v>
      </c>
      <c r="W509" s="44">
        <v>0</v>
      </c>
      <c r="X509" s="45">
        <v>354180</v>
      </c>
      <c r="Y509" s="45">
        <v>885450000</v>
      </c>
      <c r="Z509" s="45"/>
      <c r="AA509" s="46">
        <v>885450000</v>
      </c>
    </row>
    <row r="510" spans="1:27" ht="15" customHeight="1">
      <c r="A510" s="1">
        <v>80</v>
      </c>
      <c r="B510" s="1" t="s">
        <v>571</v>
      </c>
      <c r="C510" s="1" t="s">
        <v>572</v>
      </c>
      <c r="D510" s="1" t="s">
        <v>535</v>
      </c>
      <c r="E510" s="1" t="s">
        <v>572</v>
      </c>
      <c r="F510" s="1" t="s">
        <v>183</v>
      </c>
      <c r="G510" s="1" t="s">
        <v>141</v>
      </c>
      <c r="H510" s="1">
        <v>1005001915</v>
      </c>
      <c r="I510" s="1" t="s">
        <v>102</v>
      </c>
      <c r="J510" s="1">
        <v>88</v>
      </c>
      <c r="K510" s="1" t="s">
        <v>573</v>
      </c>
      <c r="L510" s="1">
        <v>1001018905</v>
      </c>
      <c r="M510" s="1">
        <v>1192000000114</v>
      </c>
      <c r="N510" s="1" t="s">
        <v>144</v>
      </c>
      <c r="O510" s="1" t="s">
        <v>145</v>
      </c>
      <c r="P510" s="1" t="s">
        <v>146</v>
      </c>
      <c r="Q510" s="1" t="s">
        <v>147</v>
      </c>
      <c r="R510" s="1" t="s">
        <v>148</v>
      </c>
      <c r="S510" s="44">
        <v>9.4700000000000006</v>
      </c>
      <c r="T510" s="44">
        <v>0.26</v>
      </c>
      <c r="U510" s="44">
        <v>0</v>
      </c>
      <c r="V510" s="44">
        <v>0</v>
      </c>
      <c r="W510" s="44">
        <v>0</v>
      </c>
      <c r="X510" s="45">
        <v>949320</v>
      </c>
      <c r="Y510" s="45">
        <v>2373300000</v>
      </c>
      <c r="Z510" s="45"/>
      <c r="AA510" s="46">
        <v>2373300000</v>
      </c>
    </row>
    <row r="511" spans="1:27" ht="15" customHeight="1">
      <c r="A511" s="1">
        <v>80</v>
      </c>
      <c r="B511" s="1" t="s">
        <v>571</v>
      </c>
      <c r="C511" s="1" t="s">
        <v>572</v>
      </c>
      <c r="D511" s="1" t="s">
        <v>535</v>
      </c>
      <c r="E511" s="1" t="s">
        <v>572</v>
      </c>
      <c r="F511" s="1" t="s">
        <v>183</v>
      </c>
      <c r="G511" s="1" t="s">
        <v>141</v>
      </c>
      <c r="H511" s="1">
        <v>1005002436</v>
      </c>
      <c r="I511" s="1" t="s">
        <v>6</v>
      </c>
      <c r="J511" s="1">
        <v>11</v>
      </c>
      <c r="K511" s="1" t="s">
        <v>573</v>
      </c>
      <c r="L511" s="1">
        <v>1001018905</v>
      </c>
      <c r="M511" s="1">
        <v>1192000000114</v>
      </c>
      <c r="N511" s="1" t="s">
        <v>144</v>
      </c>
      <c r="O511" s="1" t="s">
        <v>145</v>
      </c>
      <c r="P511" s="1" t="s">
        <v>146</v>
      </c>
      <c r="Q511" s="1" t="s">
        <v>147</v>
      </c>
      <c r="R511" s="1" t="s">
        <v>148</v>
      </c>
      <c r="S511" s="44">
        <v>5.33</v>
      </c>
      <c r="T511" s="44">
        <v>0.25</v>
      </c>
      <c r="U511" s="44">
        <v>0</v>
      </c>
      <c r="V511" s="44">
        <v>1.56</v>
      </c>
      <c r="W511" s="44">
        <v>0</v>
      </c>
      <c r="X511" s="45">
        <v>995880</v>
      </c>
      <c r="Y511" s="45">
        <v>99588000</v>
      </c>
      <c r="Z511" s="45"/>
      <c r="AA511" s="46">
        <v>99588000</v>
      </c>
    </row>
    <row r="512" spans="1:27" ht="15" customHeight="1">
      <c r="A512" s="56"/>
      <c r="B512" s="56" t="s">
        <v>149</v>
      </c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7"/>
      <c r="T512" s="57"/>
      <c r="U512" s="57"/>
      <c r="V512" s="57"/>
      <c r="W512" s="57"/>
      <c r="X512" s="58">
        <f>SUM(X507:X511)</f>
        <v>2791870</v>
      </c>
      <c r="Y512" s="58">
        <f t="shared" ref="Y512:AA512" si="78">SUM(Y507:Y511)</f>
        <v>3382470010</v>
      </c>
      <c r="Z512" s="58">
        <f t="shared" si="78"/>
        <v>0</v>
      </c>
      <c r="AA512" s="58">
        <f t="shared" si="78"/>
        <v>3382470010</v>
      </c>
    </row>
    <row r="513" spans="1:27" ht="15" customHeight="1">
      <c r="A513" s="1">
        <v>81</v>
      </c>
      <c r="B513" s="1" t="s">
        <v>574</v>
      </c>
      <c r="C513" s="1" t="s">
        <v>558</v>
      </c>
      <c r="D513" s="1" t="s">
        <v>535</v>
      </c>
      <c r="E513" s="1" t="s">
        <v>538</v>
      </c>
      <c r="F513" s="1" t="s">
        <v>140</v>
      </c>
      <c r="G513" s="1" t="s">
        <v>141</v>
      </c>
      <c r="H513" s="1">
        <v>9141000214</v>
      </c>
      <c r="I513" s="1" t="s">
        <v>103</v>
      </c>
      <c r="J513" s="1">
        <v>493</v>
      </c>
      <c r="K513" s="1" t="s">
        <v>142</v>
      </c>
      <c r="L513" s="1">
        <v>9141001077</v>
      </c>
      <c r="M513" s="1">
        <v>1312000000227</v>
      </c>
      <c r="N513" s="1" t="s">
        <v>144</v>
      </c>
      <c r="O513" s="1" t="s">
        <v>145</v>
      </c>
      <c r="P513" s="1" t="s">
        <v>146</v>
      </c>
      <c r="Q513" s="1" t="s">
        <v>147</v>
      </c>
      <c r="R513" s="1" t="s">
        <v>162</v>
      </c>
      <c r="S513" s="44">
        <v>0</v>
      </c>
      <c r="T513" s="44">
        <v>0</v>
      </c>
      <c r="U513" s="44">
        <v>0</v>
      </c>
      <c r="V513" s="44">
        <v>0</v>
      </c>
      <c r="W513" s="44">
        <v>0</v>
      </c>
      <c r="X513" s="45">
        <v>87.78</v>
      </c>
      <c r="Y513" s="45">
        <v>1171161</v>
      </c>
      <c r="Z513" s="45"/>
      <c r="AA513" s="46">
        <v>1171161</v>
      </c>
    </row>
    <row r="514" spans="1:27" ht="15" customHeight="1">
      <c r="A514" s="1">
        <v>81</v>
      </c>
      <c r="B514" s="1" t="s">
        <v>574</v>
      </c>
      <c r="C514" s="1" t="s">
        <v>558</v>
      </c>
      <c r="D514" s="1" t="s">
        <v>535</v>
      </c>
      <c r="E514" s="1" t="s">
        <v>558</v>
      </c>
      <c r="F514" s="1" t="s">
        <v>140</v>
      </c>
      <c r="G514" s="1" t="s">
        <v>141</v>
      </c>
      <c r="H514" s="1">
        <v>9145000153</v>
      </c>
      <c r="I514" s="1" t="s">
        <v>102</v>
      </c>
      <c r="J514" s="1">
        <v>88</v>
      </c>
      <c r="K514" s="1" t="s">
        <v>142</v>
      </c>
      <c r="L514" s="1">
        <v>9141001580</v>
      </c>
      <c r="M514" s="1">
        <v>1312000000342</v>
      </c>
      <c r="N514" s="1" t="s">
        <v>351</v>
      </c>
      <c r="O514" s="1" t="s">
        <v>352</v>
      </c>
      <c r="P514" s="1" t="s">
        <v>146</v>
      </c>
      <c r="Q514" s="1" t="s">
        <v>147</v>
      </c>
      <c r="R514" s="1" t="s">
        <v>162</v>
      </c>
      <c r="S514" s="44">
        <v>0</v>
      </c>
      <c r="T514" s="44">
        <v>7.2</v>
      </c>
      <c r="U514" s="44">
        <v>8.39</v>
      </c>
      <c r="V514" s="44">
        <v>0</v>
      </c>
      <c r="W514" s="44">
        <v>0</v>
      </c>
      <c r="X514" s="45">
        <v>57.25</v>
      </c>
      <c r="Y514" s="45">
        <v>770871</v>
      </c>
      <c r="Z514" s="45"/>
      <c r="AA514" s="46">
        <v>770871</v>
      </c>
    </row>
    <row r="515" spans="1:27" ht="15" customHeight="1">
      <c r="A515" s="1">
        <v>81</v>
      </c>
      <c r="B515" s="1" t="s">
        <v>574</v>
      </c>
      <c r="C515" s="1" t="s">
        <v>558</v>
      </c>
      <c r="D515" s="1" t="s">
        <v>535</v>
      </c>
      <c r="E515" s="1" t="s">
        <v>558</v>
      </c>
      <c r="F515" s="1" t="s">
        <v>140</v>
      </c>
      <c r="G515" s="1" t="s">
        <v>141</v>
      </c>
      <c r="H515" s="1">
        <v>9145000154</v>
      </c>
      <c r="I515" s="1" t="s">
        <v>102</v>
      </c>
      <c r="J515" s="1">
        <v>88</v>
      </c>
      <c r="K515" s="1" t="s">
        <v>142</v>
      </c>
      <c r="L515" s="1">
        <v>9141001667</v>
      </c>
      <c r="M515" s="1">
        <v>1312000000371</v>
      </c>
      <c r="N515" s="1" t="s">
        <v>351</v>
      </c>
      <c r="O515" s="1" t="s">
        <v>352</v>
      </c>
      <c r="P515" s="1" t="s">
        <v>146</v>
      </c>
      <c r="Q515" s="1" t="s">
        <v>147</v>
      </c>
      <c r="R515" s="1" t="s">
        <v>162</v>
      </c>
      <c r="S515" s="44">
        <v>0</v>
      </c>
      <c r="T515" s="44">
        <v>8.2100000000000009</v>
      </c>
      <c r="U515" s="44">
        <v>7.62</v>
      </c>
      <c r="V515" s="44">
        <v>0</v>
      </c>
      <c r="W515" s="44">
        <v>0</v>
      </c>
      <c r="X515" s="45">
        <v>34.29</v>
      </c>
      <c r="Y515" s="45">
        <v>392106</v>
      </c>
      <c r="Z515" s="45"/>
      <c r="AA515" s="46">
        <v>392106</v>
      </c>
    </row>
    <row r="516" spans="1:27" ht="15" customHeight="1">
      <c r="A516" s="1">
        <v>81</v>
      </c>
      <c r="B516" s="1" t="s">
        <v>574</v>
      </c>
      <c r="C516" s="1" t="s">
        <v>558</v>
      </c>
      <c r="D516" s="1" t="s">
        <v>535</v>
      </c>
      <c r="E516" s="1" t="s">
        <v>558</v>
      </c>
      <c r="F516" s="1" t="s">
        <v>140</v>
      </c>
      <c r="G516" s="1" t="s">
        <v>141</v>
      </c>
      <c r="H516" s="1">
        <v>9145000160</v>
      </c>
      <c r="I516" s="1" t="s">
        <v>39</v>
      </c>
      <c r="J516" s="1">
        <v>65</v>
      </c>
      <c r="K516" s="1" t="s">
        <v>142</v>
      </c>
      <c r="L516" s="1">
        <v>9141001738</v>
      </c>
      <c r="M516" s="1">
        <v>1312000000384</v>
      </c>
      <c r="N516" s="1" t="s">
        <v>144</v>
      </c>
      <c r="O516" s="1" t="s">
        <v>145</v>
      </c>
      <c r="P516" s="1" t="s">
        <v>146</v>
      </c>
      <c r="Q516" s="1" t="s">
        <v>147</v>
      </c>
      <c r="R516" s="1" t="s">
        <v>162</v>
      </c>
      <c r="S516" s="44">
        <v>5.1100000000000003</v>
      </c>
      <c r="T516" s="44">
        <v>0</v>
      </c>
      <c r="U516" s="44">
        <v>0</v>
      </c>
      <c r="V516" s="44">
        <v>0</v>
      </c>
      <c r="W516" s="44">
        <v>0</v>
      </c>
      <c r="X516" s="45">
        <v>23449</v>
      </c>
      <c r="Y516" s="45">
        <v>23449000</v>
      </c>
      <c r="Z516" s="45"/>
      <c r="AA516" s="46">
        <v>23449000</v>
      </c>
    </row>
    <row r="517" spans="1:27" ht="15" customHeight="1">
      <c r="A517" s="1">
        <v>81</v>
      </c>
      <c r="B517" s="1" t="s">
        <v>574</v>
      </c>
      <c r="C517" s="1" t="s">
        <v>558</v>
      </c>
      <c r="D517" s="1" t="s">
        <v>535</v>
      </c>
      <c r="E517" s="1" t="s">
        <v>558</v>
      </c>
      <c r="F517" s="1" t="s">
        <v>140</v>
      </c>
      <c r="G517" s="1" t="s">
        <v>141</v>
      </c>
      <c r="H517" s="1">
        <v>9145000161</v>
      </c>
      <c r="I517" s="1" t="s">
        <v>39</v>
      </c>
      <c r="J517" s="1">
        <v>65</v>
      </c>
      <c r="K517" s="1" t="s">
        <v>142</v>
      </c>
      <c r="L517" s="1">
        <v>9141001727</v>
      </c>
      <c r="M517" s="1">
        <v>1312000000380</v>
      </c>
      <c r="N517" s="1" t="s">
        <v>144</v>
      </c>
      <c r="O517" s="1" t="s">
        <v>145</v>
      </c>
      <c r="P517" s="1" t="s">
        <v>146</v>
      </c>
      <c r="Q517" s="1" t="s">
        <v>147</v>
      </c>
      <c r="R517" s="1" t="s">
        <v>162</v>
      </c>
      <c r="S517" s="44">
        <v>5.1100000000000003</v>
      </c>
      <c r="T517" s="44">
        <v>0</v>
      </c>
      <c r="U517" s="44">
        <v>0</v>
      </c>
      <c r="V517" s="44">
        <v>0</v>
      </c>
      <c r="W517" s="44">
        <v>0</v>
      </c>
      <c r="X517" s="45">
        <v>102430</v>
      </c>
      <c r="Y517" s="45">
        <v>10243000</v>
      </c>
      <c r="Z517" s="45"/>
      <c r="AA517" s="46">
        <v>10243000</v>
      </c>
    </row>
    <row r="518" spans="1:27" ht="15" customHeight="1">
      <c r="A518" s="1">
        <v>81</v>
      </c>
      <c r="B518" s="1" t="s">
        <v>574</v>
      </c>
      <c r="C518" s="1" t="s">
        <v>558</v>
      </c>
      <c r="D518" s="1" t="s">
        <v>535</v>
      </c>
      <c r="E518" s="1" t="s">
        <v>558</v>
      </c>
      <c r="F518" s="1" t="s">
        <v>153</v>
      </c>
      <c r="G518" s="1" t="s">
        <v>141</v>
      </c>
      <c r="H518" s="1">
        <v>9145000176</v>
      </c>
      <c r="I518" s="1" t="s">
        <v>89</v>
      </c>
      <c r="J518" s="1">
        <v>44</v>
      </c>
      <c r="K518" s="1" t="s">
        <v>142</v>
      </c>
      <c r="L518" s="1">
        <v>9141001764</v>
      </c>
      <c r="M518" s="1">
        <v>1312000000389</v>
      </c>
      <c r="N518" s="1" t="s">
        <v>144</v>
      </c>
      <c r="O518" s="1" t="s">
        <v>145</v>
      </c>
      <c r="P518" s="1" t="s">
        <v>146</v>
      </c>
      <c r="Q518" s="1" t="s">
        <v>147</v>
      </c>
      <c r="R518" s="1" t="s">
        <v>162</v>
      </c>
      <c r="S518" s="44">
        <v>5.81</v>
      </c>
      <c r="T518" s="44">
        <v>0.36</v>
      </c>
      <c r="U518" s="44">
        <v>0</v>
      </c>
      <c r="V518" s="44">
        <v>0</v>
      </c>
      <c r="W518" s="44">
        <v>0</v>
      </c>
      <c r="X518" s="45">
        <v>113400</v>
      </c>
      <c r="Y518" s="45">
        <v>26212000</v>
      </c>
      <c r="Z518" s="45"/>
      <c r="AA518" s="46">
        <v>26212000</v>
      </c>
    </row>
    <row r="519" spans="1:27" ht="15" customHeight="1">
      <c r="A519" s="1">
        <v>81</v>
      </c>
      <c r="B519" s="1" t="s">
        <v>574</v>
      </c>
      <c r="C519" s="1" t="s">
        <v>558</v>
      </c>
      <c r="D519" s="1" t="s">
        <v>535</v>
      </c>
      <c r="E519" s="1" t="s">
        <v>558</v>
      </c>
      <c r="F519" s="1" t="s">
        <v>153</v>
      </c>
      <c r="G519" s="1" t="s">
        <v>141</v>
      </c>
      <c r="H519" s="1">
        <v>9145000177</v>
      </c>
      <c r="I519" s="1" t="s">
        <v>89</v>
      </c>
      <c r="J519" s="1">
        <v>44</v>
      </c>
      <c r="K519" s="1" t="s">
        <v>142</v>
      </c>
      <c r="L519" s="1">
        <v>9141001764</v>
      </c>
      <c r="M519" s="1">
        <v>1312000000389</v>
      </c>
      <c r="N519" s="1" t="s">
        <v>144</v>
      </c>
      <c r="O519" s="1" t="s">
        <v>145</v>
      </c>
      <c r="P519" s="1" t="s">
        <v>146</v>
      </c>
      <c r="Q519" s="1" t="s">
        <v>147</v>
      </c>
      <c r="R519" s="1" t="s">
        <v>162</v>
      </c>
      <c r="S519" s="44">
        <v>5.8</v>
      </c>
      <c r="T519" s="44">
        <v>0.55000000000000004</v>
      </c>
      <c r="U519" s="44">
        <v>0</v>
      </c>
      <c r="V519" s="44">
        <v>0</v>
      </c>
      <c r="W519" s="44">
        <v>0</v>
      </c>
      <c r="X519" s="45">
        <v>3.94</v>
      </c>
      <c r="Y519" s="45">
        <v>55219</v>
      </c>
      <c r="Z519" s="45"/>
      <c r="AA519" s="46">
        <v>55219</v>
      </c>
    </row>
    <row r="520" spans="1:27" ht="15" customHeight="1">
      <c r="A520" s="1">
        <v>81</v>
      </c>
      <c r="B520" s="1" t="s">
        <v>574</v>
      </c>
      <c r="C520" s="1" t="s">
        <v>558</v>
      </c>
      <c r="D520" s="1" t="s">
        <v>535</v>
      </c>
      <c r="E520" s="1" t="s">
        <v>558</v>
      </c>
      <c r="F520" s="1" t="s">
        <v>153</v>
      </c>
      <c r="G520" s="1" t="s">
        <v>141</v>
      </c>
      <c r="H520" s="1">
        <v>9145000183</v>
      </c>
      <c r="I520" s="1" t="s">
        <v>65</v>
      </c>
      <c r="J520" s="1">
        <v>35</v>
      </c>
      <c r="K520" s="1" t="s">
        <v>142</v>
      </c>
      <c r="L520" s="1">
        <v>9141001729</v>
      </c>
      <c r="M520" s="1">
        <v>1312000000381</v>
      </c>
      <c r="N520" s="1" t="s">
        <v>144</v>
      </c>
      <c r="O520" s="1" t="s">
        <v>145</v>
      </c>
      <c r="P520" s="1" t="s">
        <v>146</v>
      </c>
      <c r="Q520" s="1" t="s">
        <v>147</v>
      </c>
      <c r="R520" s="1" t="s">
        <v>162</v>
      </c>
      <c r="S520" s="44">
        <v>5.25</v>
      </c>
      <c r="T520" s="44">
        <v>0.32</v>
      </c>
      <c r="U520" s="44">
        <v>0</v>
      </c>
      <c r="V520" s="44">
        <v>0</v>
      </c>
      <c r="W520" s="44">
        <v>0</v>
      </c>
      <c r="X520" s="45">
        <v>254600</v>
      </c>
      <c r="Y520" s="45">
        <v>27158000</v>
      </c>
      <c r="Z520" s="45"/>
      <c r="AA520" s="46">
        <v>27158000</v>
      </c>
    </row>
    <row r="521" spans="1:27" ht="15" customHeight="1">
      <c r="A521" s="1">
        <v>81</v>
      </c>
      <c r="B521" s="1" t="s">
        <v>574</v>
      </c>
      <c r="C521" s="1" t="s">
        <v>558</v>
      </c>
      <c r="D521" s="1" t="s">
        <v>535</v>
      </c>
      <c r="E521" s="1" t="s">
        <v>558</v>
      </c>
      <c r="F521" s="1" t="s">
        <v>153</v>
      </c>
      <c r="G521" s="1" t="s">
        <v>141</v>
      </c>
      <c r="H521" s="1">
        <v>9145000187</v>
      </c>
      <c r="I521" s="1" t="s">
        <v>80</v>
      </c>
      <c r="J521" s="1">
        <v>30</v>
      </c>
      <c r="K521" s="1" t="s">
        <v>142</v>
      </c>
      <c r="L521" s="1">
        <v>9141001775</v>
      </c>
      <c r="M521" s="1">
        <v>1312000000393</v>
      </c>
      <c r="N521" s="1" t="s">
        <v>144</v>
      </c>
      <c r="O521" s="1" t="s">
        <v>145</v>
      </c>
      <c r="P521" s="1" t="s">
        <v>146</v>
      </c>
      <c r="Q521" s="1" t="s">
        <v>147</v>
      </c>
      <c r="R521" s="1" t="s">
        <v>162</v>
      </c>
      <c r="S521" s="44">
        <v>5.6</v>
      </c>
      <c r="T521" s="44">
        <v>0.33</v>
      </c>
      <c r="U521" s="44">
        <v>0</v>
      </c>
      <c r="V521" s="44">
        <v>0</v>
      </c>
      <c r="W521" s="44">
        <v>0</v>
      </c>
      <c r="X521" s="45">
        <v>582760</v>
      </c>
      <c r="Y521" s="45">
        <v>94831000</v>
      </c>
      <c r="Z521" s="45"/>
      <c r="AA521" s="46">
        <v>94831000</v>
      </c>
    </row>
    <row r="522" spans="1:27" ht="15" customHeight="1">
      <c r="A522" s="1">
        <v>81</v>
      </c>
      <c r="B522" s="1" t="s">
        <v>574</v>
      </c>
      <c r="C522" s="1" t="s">
        <v>558</v>
      </c>
      <c r="D522" s="1" t="s">
        <v>535</v>
      </c>
      <c r="E522" s="1" t="s">
        <v>558</v>
      </c>
      <c r="F522" s="1" t="s">
        <v>140</v>
      </c>
      <c r="G522" s="1" t="s">
        <v>141</v>
      </c>
      <c r="H522" s="1">
        <v>9145000202</v>
      </c>
      <c r="I522" s="1" t="s">
        <v>11</v>
      </c>
      <c r="J522" s="1">
        <v>14</v>
      </c>
      <c r="K522" s="1" t="s">
        <v>142</v>
      </c>
      <c r="L522" s="1">
        <v>9141001770</v>
      </c>
      <c r="M522" s="1">
        <v>1312000000392</v>
      </c>
      <c r="N522" s="1" t="s">
        <v>351</v>
      </c>
      <c r="O522" s="1" t="s">
        <v>352</v>
      </c>
      <c r="P522" s="1" t="s">
        <v>146</v>
      </c>
      <c r="Q522" s="1" t="s">
        <v>147</v>
      </c>
      <c r="R522" s="1" t="s">
        <v>162</v>
      </c>
      <c r="S522" s="44">
        <v>3.49</v>
      </c>
      <c r="T522" s="44">
        <v>6.98</v>
      </c>
      <c r="U522" s="44">
        <v>8.49</v>
      </c>
      <c r="V522" s="44">
        <v>0</v>
      </c>
      <c r="W522" s="44">
        <v>0</v>
      </c>
      <c r="X522" s="45">
        <v>36.75</v>
      </c>
      <c r="Y522" s="45">
        <v>414356</v>
      </c>
      <c r="Z522" s="45"/>
      <c r="AA522" s="46">
        <v>414356</v>
      </c>
    </row>
    <row r="523" spans="1:27" ht="15" customHeight="1">
      <c r="A523" s="1">
        <v>81</v>
      </c>
      <c r="B523" s="1" t="s">
        <v>574</v>
      </c>
      <c r="C523" s="1" t="s">
        <v>558</v>
      </c>
      <c r="D523" s="1" t="s">
        <v>535</v>
      </c>
      <c r="E523" s="1" t="s">
        <v>558</v>
      </c>
      <c r="F523" s="1" t="s">
        <v>140</v>
      </c>
      <c r="G523" s="1" t="s">
        <v>141</v>
      </c>
      <c r="H523" s="1">
        <v>9235000004</v>
      </c>
      <c r="I523" s="1" t="s">
        <v>110</v>
      </c>
      <c r="J523" s="1">
        <v>127</v>
      </c>
      <c r="K523" s="1" t="s">
        <v>142</v>
      </c>
      <c r="L523" s="1">
        <v>9231000045</v>
      </c>
      <c r="M523" s="1">
        <v>1312000000324</v>
      </c>
      <c r="N523" s="1" t="s">
        <v>334</v>
      </c>
      <c r="O523" s="1" t="s">
        <v>297</v>
      </c>
      <c r="P523" s="1" t="s">
        <v>146</v>
      </c>
      <c r="Q523" s="1" t="s">
        <v>147</v>
      </c>
      <c r="R523" s="1" t="s">
        <v>575</v>
      </c>
      <c r="S523" s="44">
        <v>10.09</v>
      </c>
      <c r="T523" s="44">
        <v>1.25</v>
      </c>
      <c r="U523" s="44">
        <v>0</v>
      </c>
      <c r="V523" s="44">
        <v>0</v>
      </c>
      <c r="W523" s="44">
        <v>0</v>
      </c>
      <c r="X523" s="45">
        <v>21.6</v>
      </c>
      <c r="Y523" s="45">
        <v>315144</v>
      </c>
      <c r="Z523" s="45"/>
      <c r="AA523" s="46">
        <v>315144</v>
      </c>
    </row>
    <row r="524" spans="1:27" ht="15" customHeight="1">
      <c r="A524" s="1">
        <v>81</v>
      </c>
      <c r="B524" s="1" t="s">
        <v>574</v>
      </c>
      <c r="C524" s="1" t="s">
        <v>558</v>
      </c>
      <c r="D524" s="1" t="s">
        <v>535</v>
      </c>
      <c r="E524" s="1" t="s">
        <v>558</v>
      </c>
      <c r="F524" s="1" t="s">
        <v>140</v>
      </c>
      <c r="G524" s="1" t="s">
        <v>141</v>
      </c>
      <c r="H524" s="1">
        <v>1005002411</v>
      </c>
      <c r="I524" s="1" t="s">
        <v>11</v>
      </c>
      <c r="J524" s="1">
        <v>14</v>
      </c>
      <c r="K524" s="1" t="s">
        <v>142</v>
      </c>
      <c r="L524" s="1">
        <v>1001027114</v>
      </c>
      <c r="M524" s="1">
        <v>1312000000394</v>
      </c>
      <c r="N524" s="1" t="s">
        <v>144</v>
      </c>
      <c r="O524" s="1" t="s">
        <v>145</v>
      </c>
      <c r="P524" s="1" t="s">
        <v>146</v>
      </c>
      <c r="Q524" s="1" t="s">
        <v>147</v>
      </c>
      <c r="R524" s="1" t="s">
        <v>148</v>
      </c>
      <c r="S524" s="44">
        <v>5.2</v>
      </c>
      <c r="T524" s="44">
        <v>0.31</v>
      </c>
      <c r="U524" s="44">
        <v>0</v>
      </c>
      <c r="V524" s="44">
        <v>0</v>
      </c>
      <c r="W524" s="44">
        <v>0</v>
      </c>
      <c r="X524" s="45">
        <v>90370</v>
      </c>
      <c r="Y524" s="45">
        <v>9037000</v>
      </c>
      <c r="Z524" s="45"/>
      <c r="AA524" s="46">
        <v>9037000</v>
      </c>
    </row>
    <row r="525" spans="1:27" ht="15" customHeight="1">
      <c r="A525" s="1">
        <v>81</v>
      </c>
      <c r="B525" s="1" t="s">
        <v>574</v>
      </c>
      <c r="C525" s="1" t="s">
        <v>558</v>
      </c>
      <c r="D525" s="1" t="s">
        <v>535</v>
      </c>
      <c r="E525" s="1" t="s">
        <v>558</v>
      </c>
      <c r="F525" s="1" t="s">
        <v>140</v>
      </c>
      <c r="G525" s="1" t="s">
        <v>141</v>
      </c>
      <c r="H525" s="1">
        <v>1005002407</v>
      </c>
      <c r="I525" s="1" t="s">
        <v>90</v>
      </c>
      <c r="J525" s="1">
        <v>15</v>
      </c>
      <c r="K525" s="1" t="s">
        <v>142</v>
      </c>
      <c r="L525" s="1">
        <v>1001027219</v>
      </c>
      <c r="M525" s="1">
        <v>1312000000395</v>
      </c>
      <c r="N525" s="1" t="s">
        <v>144</v>
      </c>
      <c r="O525" s="1" t="s">
        <v>145</v>
      </c>
      <c r="P525" s="1" t="s">
        <v>146</v>
      </c>
      <c r="Q525" s="1" t="s">
        <v>147</v>
      </c>
      <c r="R525" s="1" t="s">
        <v>148</v>
      </c>
      <c r="S525" s="44">
        <v>5.14</v>
      </c>
      <c r="T525" s="44">
        <v>0.35</v>
      </c>
      <c r="U525" s="44">
        <v>0</v>
      </c>
      <c r="V525" s="44">
        <v>0</v>
      </c>
      <c r="W525" s="44">
        <v>0</v>
      </c>
      <c r="X525" s="45">
        <v>212100</v>
      </c>
      <c r="Y525" s="45">
        <v>21210000</v>
      </c>
      <c r="Z525" s="45"/>
      <c r="AA525" s="46">
        <v>21210000</v>
      </c>
    </row>
    <row r="526" spans="1:27" ht="15" customHeight="1">
      <c r="A526" s="1">
        <v>81</v>
      </c>
      <c r="B526" s="1" t="s">
        <v>574</v>
      </c>
      <c r="C526" s="1" t="s">
        <v>558</v>
      </c>
      <c r="D526" s="1" t="s">
        <v>535</v>
      </c>
      <c r="E526" s="1" t="s">
        <v>558</v>
      </c>
      <c r="F526" s="1" t="s">
        <v>153</v>
      </c>
      <c r="G526" s="1" t="s">
        <v>141</v>
      </c>
      <c r="H526" s="1">
        <v>1005002409</v>
      </c>
      <c r="I526" s="1" t="s">
        <v>90</v>
      </c>
      <c r="J526" s="1">
        <v>15</v>
      </c>
      <c r="K526" s="1" t="s">
        <v>142</v>
      </c>
      <c r="L526" s="1">
        <v>1001027224</v>
      </c>
      <c r="M526" s="1">
        <v>1312000000396</v>
      </c>
      <c r="N526" s="1" t="s">
        <v>351</v>
      </c>
      <c r="O526" s="1" t="s">
        <v>352</v>
      </c>
      <c r="P526" s="1" t="s">
        <v>146</v>
      </c>
      <c r="Q526" s="1" t="s">
        <v>147</v>
      </c>
      <c r="R526" s="1" t="s">
        <v>148</v>
      </c>
      <c r="S526" s="44">
        <v>4.2300000000000004</v>
      </c>
      <c r="T526" s="44">
        <v>6.94</v>
      </c>
      <c r="U526" s="44">
        <v>9.02</v>
      </c>
      <c r="V526" s="44">
        <v>0</v>
      </c>
      <c r="W526" s="44">
        <v>0</v>
      </c>
      <c r="X526" s="45">
        <v>7.65</v>
      </c>
      <c r="Y526" s="45">
        <v>87271</v>
      </c>
      <c r="Z526" s="45"/>
      <c r="AA526" s="46">
        <v>87271</v>
      </c>
    </row>
    <row r="527" spans="1:27" ht="15" customHeight="1">
      <c r="A527" s="1">
        <v>81</v>
      </c>
      <c r="B527" s="1" t="s">
        <v>574</v>
      </c>
      <c r="C527" s="1" t="s">
        <v>558</v>
      </c>
      <c r="D527" s="1" t="s">
        <v>535</v>
      </c>
      <c r="E527" s="1" t="s">
        <v>558</v>
      </c>
      <c r="F527" s="1" t="s">
        <v>140</v>
      </c>
      <c r="G527" s="1" t="s">
        <v>141</v>
      </c>
      <c r="H527" s="1">
        <v>1005002413</v>
      </c>
      <c r="I527" s="1" t="s">
        <v>11</v>
      </c>
      <c r="J527" s="1">
        <v>14</v>
      </c>
      <c r="K527" s="1" t="s">
        <v>142</v>
      </c>
      <c r="L527" s="1">
        <v>1001027361</v>
      </c>
      <c r="M527" s="1">
        <v>1312000000397</v>
      </c>
      <c r="N527" s="1" t="s">
        <v>144</v>
      </c>
      <c r="O527" s="1" t="s">
        <v>145</v>
      </c>
      <c r="P527" s="1" t="s">
        <v>146</v>
      </c>
      <c r="Q527" s="1" t="s">
        <v>147</v>
      </c>
      <c r="R527" s="1" t="s">
        <v>148</v>
      </c>
      <c r="S527" s="44">
        <v>5.39</v>
      </c>
      <c r="T527" s="44">
        <v>0.32</v>
      </c>
      <c r="U527" s="44">
        <v>0</v>
      </c>
      <c r="V527" s="44">
        <v>0</v>
      </c>
      <c r="W527" s="44">
        <v>0</v>
      </c>
      <c r="X527" s="45">
        <v>329710</v>
      </c>
      <c r="Y527" s="45">
        <v>47074000</v>
      </c>
      <c r="Z527" s="45"/>
      <c r="AA527" s="46">
        <v>47074000</v>
      </c>
    </row>
    <row r="528" spans="1:27" ht="15" customHeight="1">
      <c r="A528" s="56"/>
      <c r="B528" s="56" t="s">
        <v>149</v>
      </c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7"/>
      <c r="T528" s="57"/>
      <c r="U528" s="57"/>
      <c r="V528" s="57"/>
      <c r="W528" s="57"/>
      <c r="X528" s="58">
        <f>SUM(X513:X527)</f>
        <v>1709068.26</v>
      </c>
      <c r="Y528" s="58">
        <f t="shared" ref="Y528:AA528" si="79">SUM(Y513:Y527)</f>
        <v>262420128</v>
      </c>
      <c r="Z528" s="58">
        <f t="shared" si="79"/>
        <v>0</v>
      </c>
      <c r="AA528" s="58">
        <f t="shared" si="79"/>
        <v>262420128</v>
      </c>
    </row>
    <row r="529" spans="1:27" ht="15" customHeight="1">
      <c r="A529" s="1">
        <v>82</v>
      </c>
      <c r="B529" s="1" t="s">
        <v>576</v>
      </c>
      <c r="C529" s="1" t="s">
        <v>577</v>
      </c>
      <c r="D529" s="1" t="s">
        <v>535</v>
      </c>
      <c r="E529" s="1" t="s">
        <v>578</v>
      </c>
      <c r="F529" s="1" t="s">
        <v>153</v>
      </c>
      <c r="G529" s="1" t="s">
        <v>141</v>
      </c>
      <c r="H529" s="1">
        <v>1005001157</v>
      </c>
      <c r="I529" s="1" t="s">
        <v>111</v>
      </c>
      <c r="J529" s="1">
        <v>214</v>
      </c>
      <c r="K529" s="1" t="s">
        <v>142</v>
      </c>
      <c r="L529" s="1">
        <v>1001017368</v>
      </c>
      <c r="M529" s="1">
        <v>1012000002641</v>
      </c>
      <c r="N529" s="1" t="s">
        <v>351</v>
      </c>
      <c r="O529" s="1" t="s">
        <v>352</v>
      </c>
      <c r="P529" s="1" t="s">
        <v>146</v>
      </c>
      <c r="Q529" s="1" t="s">
        <v>147</v>
      </c>
      <c r="R529" s="1" t="s">
        <v>148</v>
      </c>
      <c r="S529" s="44">
        <v>0</v>
      </c>
      <c r="T529" s="44">
        <v>7.82</v>
      </c>
      <c r="U529" s="44">
        <v>8.35</v>
      </c>
      <c r="V529" s="44">
        <v>0</v>
      </c>
      <c r="W529" s="44">
        <v>0</v>
      </c>
      <c r="X529" s="45">
        <v>5183.5</v>
      </c>
      <c r="Y529" s="45">
        <v>43904245</v>
      </c>
      <c r="Z529" s="45"/>
      <c r="AA529" s="46">
        <v>43904245</v>
      </c>
    </row>
    <row r="530" spans="1:27" ht="15" customHeight="1">
      <c r="A530" s="56"/>
      <c r="B530" s="56" t="s">
        <v>149</v>
      </c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7"/>
      <c r="T530" s="57"/>
      <c r="U530" s="57"/>
      <c r="V530" s="57"/>
      <c r="W530" s="57"/>
      <c r="X530" s="58">
        <f>SUM(X529)</f>
        <v>5183.5</v>
      </c>
      <c r="Y530" s="58">
        <f t="shared" ref="Y530:AA530" si="80">SUM(Y529)</f>
        <v>43904245</v>
      </c>
      <c r="Z530" s="58">
        <f t="shared" si="80"/>
        <v>0</v>
      </c>
      <c r="AA530" s="58">
        <f t="shared" si="80"/>
        <v>43904245</v>
      </c>
    </row>
    <row r="531" spans="1:27" ht="15" customHeight="1">
      <c r="A531" s="1">
        <v>83</v>
      </c>
      <c r="B531" s="1" t="s">
        <v>579</v>
      </c>
      <c r="C531" s="1" t="s">
        <v>539</v>
      </c>
      <c r="D531" s="1" t="s">
        <v>535</v>
      </c>
      <c r="E531" s="1" t="s">
        <v>539</v>
      </c>
      <c r="F531" s="1" t="s">
        <v>140</v>
      </c>
      <c r="G531" s="1" t="s">
        <v>141</v>
      </c>
      <c r="H531" s="1">
        <v>9235000005</v>
      </c>
      <c r="I531" s="1" t="s">
        <v>96</v>
      </c>
      <c r="J531" s="1">
        <v>87</v>
      </c>
      <c r="K531" s="1" t="s">
        <v>142</v>
      </c>
      <c r="L531" s="1">
        <v>9231000055</v>
      </c>
      <c r="M531" s="1" t="s">
        <v>282</v>
      </c>
      <c r="N531" s="1" t="s">
        <v>321</v>
      </c>
      <c r="O531" s="1" t="s">
        <v>297</v>
      </c>
      <c r="P531" s="1" t="s">
        <v>146</v>
      </c>
      <c r="Q531" s="1" t="s">
        <v>147</v>
      </c>
      <c r="R531" s="1" t="s">
        <v>575</v>
      </c>
      <c r="S531" s="44">
        <v>12.45</v>
      </c>
      <c r="T531" s="44">
        <v>0.65</v>
      </c>
      <c r="U531" s="44">
        <v>0</v>
      </c>
      <c r="V531" s="44">
        <v>0</v>
      </c>
      <c r="W531" s="44">
        <v>0</v>
      </c>
      <c r="X531" s="45">
        <v>48000</v>
      </c>
      <c r="Y531" s="45">
        <v>2400000</v>
      </c>
      <c r="Z531" s="45"/>
      <c r="AA531" s="46">
        <v>2400000</v>
      </c>
    </row>
    <row r="532" spans="1:27" ht="15" customHeight="1">
      <c r="A532" s="1">
        <v>83</v>
      </c>
      <c r="B532" s="1" t="s">
        <v>579</v>
      </c>
      <c r="C532" s="1" t="s">
        <v>539</v>
      </c>
      <c r="D532" s="1" t="s">
        <v>535</v>
      </c>
      <c r="E532" s="1" t="s">
        <v>539</v>
      </c>
      <c r="F532" s="1" t="s">
        <v>140</v>
      </c>
      <c r="G532" s="1" t="s">
        <v>141</v>
      </c>
      <c r="H532" s="1">
        <v>9235000006</v>
      </c>
      <c r="I532" s="1" t="s">
        <v>100</v>
      </c>
      <c r="J532" s="1">
        <v>86</v>
      </c>
      <c r="K532" s="1" t="s">
        <v>142</v>
      </c>
      <c r="L532" s="1">
        <v>9231000056</v>
      </c>
      <c r="M532" s="1" t="s">
        <v>282</v>
      </c>
      <c r="N532" s="1" t="s">
        <v>321</v>
      </c>
      <c r="O532" s="1" t="s">
        <v>297</v>
      </c>
      <c r="P532" s="1" t="s">
        <v>146</v>
      </c>
      <c r="Q532" s="1" t="s">
        <v>147</v>
      </c>
      <c r="R532" s="1" t="s">
        <v>575</v>
      </c>
      <c r="S532" s="44">
        <v>12.12</v>
      </c>
      <c r="T532" s="44">
        <v>0</v>
      </c>
      <c r="U532" s="44">
        <v>0</v>
      </c>
      <c r="V532" s="44">
        <v>0</v>
      </c>
      <c r="W532" s="44">
        <v>0</v>
      </c>
      <c r="X532" s="45">
        <v>5020</v>
      </c>
      <c r="Y532" s="45">
        <v>251000</v>
      </c>
      <c r="Z532" s="45"/>
      <c r="AA532" s="46">
        <v>251000</v>
      </c>
    </row>
    <row r="533" spans="1:27" ht="15" customHeight="1">
      <c r="A533" s="1">
        <v>83</v>
      </c>
      <c r="B533" s="1" t="s">
        <v>579</v>
      </c>
      <c r="C533" s="1" t="s">
        <v>539</v>
      </c>
      <c r="D533" s="1" t="s">
        <v>535</v>
      </c>
      <c r="E533" s="1" t="s">
        <v>539</v>
      </c>
      <c r="F533" s="1" t="s">
        <v>153</v>
      </c>
      <c r="G533" s="1" t="s">
        <v>141</v>
      </c>
      <c r="H533" s="1">
        <v>1005002379</v>
      </c>
      <c r="I533" s="1" t="s">
        <v>31</v>
      </c>
      <c r="J533" s="1">
        <v>18</v>
      </c>
      <c r="K533" s="1" t="s">
        <v>142</v>
      </c>
      <c r="L533" s="1">
        <v>1001026459</v>
      </c>
      <c r="M533" s="1">
        <v>1212000000647</v>
      </c>
      <c r="N533" s="1" t="s">
        <v>351</v>
      </c>
      <c r="O533" s="1" t="s">
        <v>352</v>
      </c>
      <c r="P533" s="1" t="s">
        <v>146</v>
      </c>
      <c r="Q533" s="1" t="s">
        <v>147</v>
      </c>
      <c r="R533" s="1" t="s">
        <v>148</v>
      </c>
      <c r="S533" s="44">
        <v>6.09</v>
      </c>
      <c r="T533" s="44">
        <v>8.5399999999999991</v>
      </c>
      <c r="U533" s="44">
        <v>7.86</v>
      </c>
      <c r="V533" s="44">
        <v>0</v>
      </c>
      <c r="W533" s="44">
        <v>0</v>
      </c>
      <c r="X533" s="45">
        <v>182.22</v>
      </c>
      <c r="Y533" s="45">
        <v>1897598</v>
      </c>
      <c r="Z533" s="45"/>
      <c r="AA533" s="46">
        <v>1897598</v>
      </c>
    </row>
    <row r="534" spans="1:27" ht="15" customHeight="1">
      <c r="A534" s="1">
        <v>83</v>
      </c>
      <c r="B534" s="1" t="s">
        <v>579</v>
      </c>
      <c r="C534" s="1" t="s">
        <v>539</v>
      </c>
      <c r="D534" s="1" t="s">
        <v>535</v>
      </c>
      <c r="E534" s="1" t="s">
        <v>539</v>
      </c>
      <c r="F534" s="1" t="s">
        <v>153</v>
      </c>
      <c r="G534" s="1" t="s">
        <v>141</v>
      </c>
      <c r="H534" s="1">
        <v>1005002380</v>
      </c>
      <c r="I534" s="1" t="s">
        <v>31</v>
      </c>
      <c r="J534" s="1">
        <v>18</v>
      </c>
      <c r="K534" s="1" t="s">
        <v>142</v>
      </c>
      <c r="L534" s="1">
        <v>1001026459</v>
      </c>
      <c r="M534" s="1">
        <v>1212000000647</v>
      </c>
      <c r="N534" s="1" t="s">
        <v>351</v>
      </c>
      <c r="O534" s="1" t="s">
        <v>352</v>
      </c>
      <c r="P534" s="1" t="s">
        <v>146</v>
      </c>
      <c r="Q534" s="1" t="s">
        <v>147</v>
      </c>
      <c r="R534" s="1" t="s">
        <v>148</v>
      </c>
      <c r="S534" s="44">
        <v>5.72</v>
      </c>
      <c r="T534" s="44">
        <v>9.0500000000000007</v>
      </c>
      <c r="U534" s="44">
        <v>7.82</v>
      </c>
      <c r="V534" s="44">
        <v>0</v>
      </c>
      <c r="W534" s="44">
        <v>0</v>
      </c>
      <c r="X534" s="45">
        <v>188.53</v>
      </c>
      <c r="Y534" s="45">
        <v>1963350</v>
      </c>
      <c r="Z534" s="45"/>
      <c r="AA534" s="46">
        <v>1963350</v>
      </c>
    </row>
    <row r="535" spans="1:27" ht="15" customHeight="1">
      <c r="A535" s="1">
        <v>83</v>
      </c>
      <c r="B535" s="1" t="s">
        <v>579</v>
      </c>
      <c r="C535" s="1" t="s">
        <v>539</v>
      </c>
      <c r="D535" s="1" t="s">
        <v>535</v>
      </c>
      <c r="E535" s="1" t="s">
        <v>539</v>
      </c>
      <c r="F535" s="1" t="s">
        <v>153</v>
      </c>
      <c r="G535" s="1" t="s">
        <v>141</v>
      </c>
      <c r="H535" s="1">
        <v>1005002318</v>
      </c>
      <c r="I535" s="1" t="s">
        <v>10</v>
      </c>
      <c r="J535" s="1">
        <v>31</v>
      </c>
      <c r="K535" s="1" t="s">
        <v>142</v>
      </c>
      <c r="L535" s="1">
        <v>1001026649</v>
      </c>
      <c r="M535" s="1">
        <v>1212000000649</v>
      </c>
      <c r="N535" s="1" t="s">
        <v>144</v>
      </c>
      <c r="O535" s="1" t="s">
        <v>145</v>
      </c>
      <c r="P535" s="1" t="s">
        <v>146</v>
      </c>
      <c r="Q535" s="1" t="s">
        <v>147</v>
      </c>
      <c r="R535" s="1" t="s">
        <v>148</v>
      </c>
      <c r="S535" s="44">
        <v>9.89</v>
      </c>
      <c r="T535" s="44">
        <v>0.42</v>
      </c>
      <c r="U535" s="44">
        <v>0</v>
      </c>
      <c r="V535" s="44">
        <v>0</v>
      </c>
      <c r="W535" s="44">
        <v>0</v>
      </c>
      <c r="X535" s="45">
        <v>100000</v>
      </c>
      <c r="Y535" s="45">
        <v>179055000</v>
      </c>
      <c r="Z535" s="45"/>
      <c r="AA535" s="46">
        <v>179055000</v>
      </c>
    </row>
    <row r="536" spans="1:27" ht="15" customHeight="1">
      <c r="A536" s="1">
        <v>83</v>
      </c>
      <c r="B536" s="1" t="s">
        <v>579</v>
      </c>
      <c r="C536" s="1" t="s">
        <v>539</v>
      </c>
      <c r="D536" s="1" t="s">
        <v>535</v>
      </c>
      <c r="E536" s="1" t="s">
        <v>539</v>
      </c>
      <c r="F536" s="1" t="s">
        <v>153</v>
      </c>
      <c r="G536" s="1" t="s">
        <v>141</v>
      </c>
      <c r="H536" s="1">
        <v>1005002319</v>
      </c>
      <c r="I536" s="1" t="s">
        <v>10</v>
      </c>
      <c r="J536" s="1">
        <v>31</v>
      </c>
      <c r="K536" s="1" t="s">
        <v>142</v>
      </c>
      <c r="L536" s="1">
        <v>1001027220</v>
      </c>
      <c r="M536" s="1">
        <v>1212000000657</v>
      </c>
      <c r="N536" s="1" t="s">
        <v>144</v>
      </c>
      <c r="O536" s="1" t="s">
        <v>145</v>
      </c>
      <c r="P536" s="1" t="s">
        <v>146</v>
      </c>
      <c r="Q536" s="1" t="s">
        <v>147</v>
      </c>
      <c r="R536" s="1" t="s">
        <v>148</v>
      </c>
      <c r="S536" s="44">
        <v>10.65</v>
      </c>
      <c r="T536" s="44">
        <v>0.43</v>
      </c>
      <c r="U536" s="44">
        <v>0</v>
      </c>
      <c r="V536" s="44">
        <v>0</v>
      </c>
      <c r="W536" s="44">
        <v>0</v>
      </c>
      <c r="X536" s="45">
        <v>100000</v>
      </c>
      <c r="Y536" s="45">
        <v>225000000</v>
      </c>
      <c r="Z536" s="45"/>
      <c r="AA536" s="46">
        <v>225000000</v>
      </c>
    </row>
    <row r="537" spans="1:27" ht="15" customHeight="1">
      <c r="A537" s="56"/>
      <c r="B537" s="56" t="s">
        <v>149</v>
      </c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7"/>
      <c r="T537" s="57"/>
      <c r="U537" s="57"/>
      <c r="V537" s="57"/>
      <c r="W537" s="57"/>
      <c r="X537" s="58">
        <f>SUM(X531:X536)</f>
        <v>253390.75</v>
      </c>
      <c r="Y537" s="58">
        <f t="shared" ref="Y537:AA537" si="81">SUM(Y531:Y536)</f>
        <v>410566948</v>
      </c>
      <c r="Z537" s="58">
        <f t="shared" si="81"/>
        <v>0</v>
      </c>
      <c r="AA537" s="58">
        <f t="shared" si="81"/>
        <v>410566948</v>
      </c>
    </row>
    <row r="538" spans="1:27" ht="15" customHeight="1">
      <c r="A538" s="1">
        <v>84</v>
      </c>
      <c r="B538" s="1" t="s">
        <v>580</v>
      </c>
      <c r="C538" s="1" t="s">
        <v>581</v>
      </c>
      <c r="D538" s="1" t="s">
        <v>535</v>
      </c>
      <c r="E538" s="1" t="s">
        <v>581</v>
      </c>
      <c r="F538" s="1" t="s">
        <v>140</v>
      </c>
      <c r="G538" s="1" t="s">
        <v>141</v>
      </c>
      <c r="H538" s="1">
        <v>1365000219</v>
      </c>
      <c r="I538" s="1" t="s">
        <v>60</v>
      </c>
      <c r="J538" s="1">
        <v>21</v>
      </c>
      <c r="K538" s="1" t="s">
        <v>542</v>
      </c>
      <c r="L538" s="1">
        <v>1361001929</v>
      </c>
      <c r="M538" s="1">
        <v>1222000000307</v>
      </c>
      <c r="N538" s="1" t="s">
        <v>178</v>
      </c>
      <c r="O538" s="1" t="s">
        <v>179</v>
      </c>
      <c r="P538" s="1" t="s">
        <v>146</v>
      </c>
      <c r="Q538" s="1" t="s">
        <v>147</v>
      </c>
      <c r="R538" s="1" t="s">
        <v>228</v>
      </c>
      <c r="S538" s="44">
        <v>0</v>
      </c>
      <c r="T538" s="44">
        <v>21.45</v>
      </c>
      <c r="U538" s="44">
        <v>0.53</v>
      </c>
      <c r="V538" s="44">
        <v>0</v>
      </c>
      <c r="W538" s="44">
        <v>0</v>
      </c>
      <c r="X538" s="45">
        <v>1454.64</v>
      </c>
      <c r="Y538" s="45">
        <v>1280083</v>
      </c>
      <c r="Z538" s="45"/>
      <c r="AA538" s="46">
        <v>1280083</v>
      </c>
    </row>
    <row r="539" spans="1:27" ht="15" customHeight="1">
      <c r="A539" s="56"/>
      <c r="B539" s="56" t="s">
        <v>149</v>
      </c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7"/>
      <c r="T539" s="57"/>
      <c r="U539" s="57"/>
      <c r="V539" s="57"/>
      <c r="W539" s="57"/>
      <c r="X539" s="58">
        <f>SUM(X538)</f>
        <v>1454.64</v>
      </c>
      <c r="Y539" s="58">
        <f t="shared" ref="Y539:AA539" si="82">SUM(Y538)</f>
        <v>1280083</v>
      </c>
      <c r="Z539" s="58">
        <f t="shared" si="82"/>
        <v>0</v>
      </c>
      <c r="AA539" s="58">
        <f t="shared" si="82"/>
        <v>1280083</v>
      </c>
    </row>
    <row r="540" spans="1:27" ht="15" customHeight="1">
      <c r="A540" s="1">
        <v>85</v>
      </c>
      <c r="B540" s="1" t="s">
        <v>582</v>
      </c>
      <c r="C540" s="1" t="s">
        <v>583</v>
      </c>
      <c r="D540" s="1" t="s">
        <v>584</v>
      </c>
      <c r="E540" s="1" t="s">
        <v>585</v>
      </c>
      <c r="F540" s="1" t="s">
        <v>140</v>
      </c>
      <c r="G540" s="1" t="s">
        <v>141</v>
      </c>
      <c r="H540" s="1">
        <v>1005000834</v>
      </c>
      <c r="I540" s="1" t="s">
        <v>112</v>
      </c>
      <c r="J540" s="1">
        <v>267</v>
      </c>
      <c r="K540" s="1" t="s">
        <v>142</v>
      </c>
      <c r="L540" s="1">
        <v>1001021552</v>
      </c>
      <c r="M540" s="1" t="s">
        <v>586</v>
      </c>
      <c r="N540" s="1" t="s">
        <v>144</v>
      </c>
      <c r="O540" s="1" t="s">
        <v>145</v>
      </c>
      <c r="P540" s="1" t="s">
        <v>146</v>
      </c>
      <c r="Q540" s="1" t="s">
        <v>147</v>
      </c>
      <c r="R540" s="1" t="s">
        <v>148</v>
      </c>
      <c r="S540" s="44">
        <v>0</v>
      </c>
      <c r="T540" s="44">
        <v>0</v>
      </c>
      <c r="U540" s="44">
        <v>0</v>
      </c>
      <c r="V540" s="44">
        <v>0</v>
      </c>
      <c r="W540" s="44">
        <v>0</v>
      </c>
      <c r="X540" s="45">
        <v>5220</v>
      </c>
      <c r="Y540" s="45">
        <v>4567500</v>
      </c>
      <c r="Z540" s="45"/>
      <c r="AA540" s="46">
        <v>4567500</v>
      </c>
    </row>
    <row r="541" spans="1:27" ht="15" customHeight="1">
      <c r="A541" s="1">
        <v>85</v>
      </c>
      <c r="B541" s="1" t="s">
        <v>582</v>
      </c>
      <c r="C541" s="1" t="s">
        <v>583</v>
      </c>
      <c r="D541" s="1" t="s">
        <v>584</v>
      </c>
      <c r="E541" s="1" t="s">
        <v>587</v>
      </c>
      <c r="F541" s="1" t="s">
        <v>170</v>
      </c>
      <c r="G541" s="1" t="s">
        <v>141</v>
      </c>
      <c r="H541" s="1">
        <v>1005000856</v>
      </c>
      <c r="I541" s="1" t="s">
        <v>113</v>
      </c>
      <c r="J541" s="1">
        <v>263</v>
      </c>
      <c r="K541" s="1" t="s">
        <v>184</v>
      </c>
      <c r="L541" s="1">
        <v>1001020884</v>
      </c>
      <c r="M541" s="1">
        <v>6030100749</v>
      </c>
      <c r="N541" s="1" t="s">
        <v>144</v>
      </c>
      <c r="O541" s="1" t="s">
        <v>145</v>
      </c>
      <c r="P541" s="1" t="s">
        <v>146</v>
      </c>
      <c r="Q541" s="1" t="s">
        <v>147</v>
      </c>
      <c r="R541" s="1" t="s">
        <v>148</v>
      </c>
      <c r="S541" s="44">
        <v>0</v>
      </c>
      <c r="T541" s="44">
        <v>0</v>
      </c>
      <c r="U541" s="44">
        <v>0</v>
      </c>
      <c r="V541" s="44">
        <v>0</v>
      </c>
      <c r="W541" s="44">
        <v>0</v>
      </c>
      <c r="X541" s="45">
        <v>12110</v>
      </c>
      <c r="Y541" s="45">
        <v>42385000</v>
      </c>
      <c r="Z541" s="45"/>
      <c r="AA541" s="46">
        <v>42385000</v>
      </c>
    </row>
    <row r="542" spans="1:27" ht="15" customHeight="1">
      <c r="A542" s="1">
        <v>85</v>
      </c>
      <c r="B542" s="1" t="s">
        <v>582</v>
      </c>
      <c r="C542" s="1" t="s">
        <v>583</v>
      </c>
      <c r="D542" s="1" t="s">
        <v>584</v>
      </c>
      <c r="E542" s="1" t="s">
        <v>587</v>
      </c>
      <c r="F542" s="1" t="s">
        <v>183</v>
      </c>
      <c r="G542" s="1" t="s">
        <v>141</v>
      </c>
      <c r="H542" s="1">
        <v>1005001380</v>
      </c>
      <c r="I542" s="1" t="s">
        <v>114</v>
      </c>
      <c r="J542" s="1">
        <v>172</v>
      </c>
      <c r="K542" s="1" t="s">
        <v>184</v>
      </c>
      <c r="L542" s="1">
        <v>1001024105</v>
      </c>
      <c r="M542" s="1">
        <v>6030100814</v>
      </c>
      <c r="N542" s="1" t="s">
        <v>144</v>
      </c>
      <c r="O542" s="1" t="s">
        <v>145</v>
      </c>
      <c r="P542" s="1" t="s">
        <v>146</v>
      </c>
      <c r="Q542" s="1" t="s">
        <v>147</v>
      </c>
      <c r="R542" s="1" t="s">
        <v>148</v>
      </c>
      <c r="S542" s="44">
        <v>3.15</v>
      </c>
      <c r="T542" s="44">
        <v>1.42</v>
      </c>
      <c r="U542" s="44">
        <v>0</v>
      </c>
      <c r="V542" s="44">
        <v>0</v>
      </c>
      <c r="W542" s="44">
        <v>0</v>
      </c>
      <c r="X542" s="45">
        <v>143.52000000000001</v>
      </c>
      <c r="Y542" s="45">
        <v>2034970</v>
      </c>
      <c r="Z542" s="45"/>
      <c r="AA542" s="46">
        <v>2034970</v>
      </c>
    </row>
    <row r="543" spans="1:27" ht="15" customHeight="1">
      <c r="A543" s="1">
        <v>85</v>
      </c>
      <c r="B543" s="1" t="s">
        <v>582</v>
      </c>
      <c r="C543" s="1" t="s">
        <v>583</v>
      </c>
      <c r="D543" s="1" t="s">
        <v>584</v>
      </c>
      <c r="E543" s="1" t="s">
        <v>588</v>
      </c>
      <c r="F543" s="1" t="s">
        <v>170</v>
      </c>
      <c r="G543" s="1" t="s">
        <v>141</v>
      </c>
      <c r="H543" s="1">
        <v>9091000048</v>
      </c>
      <c r="I543" s="1" t="s">
        <v>115</v>
      </c>
      <c r="J543" s="1">
        <v>522</v>
      </c>
      <c r="K543" s="1" t="s">
        <v>184</v>
      </c>
      <c r="L543" s="1">
        <v>9091000439</v>
      </c>
      <c r="M543" s="1" t="s">
        <v>589</v>
      </c>
      <c r="N543" s="1" t="s">
        <v>144</v>
      </c>
      <c r="O543" s="1" t="s">
        <v>145</v>
      </c>
      <c r="P543" s="1" t="s">
        <v>146</v>
      </c>
      <c r="Q543" s="1" t="s">
        <v>147</v>
      </c>
      <c r="R543" s="1" t="s">
        <v>141</v>
      </c>
      <c r="S543" s="44">
        <v>0</v>
      </c>
      <c r="T543" s="44">
        <v>0</v>
      </c>
      <c r="U543" s="44">
        <v>0</v>
      </c>
      <c r="V543" s="44">
        <v>0</v>
      </c>
      <c r="W543" s="44">
        <v>0</v>
      </c>
      <c r="X543" s="45">
        <v>50.54</v>
      </c>
      <c r="Y543" s="45">
        <v>634681</v>
      </c>
      <c r="Z543" s="45"/>
      <c r="AA543" s="46">
        <v>634681</v>
      </c>
    </row>
    <row r="544" spans="1:27" ht="15" customHeight="1">
      <c r="A544" s="56"/>
      <c r="B544" s="56" t="s">
        <v>149</v>
      </c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7"/>
      <c r="T544" s="57"/>
      <c r="U544" s="57"/>
      <c r="V544" s="57"/>
      <c r="W544" s="57"/>
      <c r="X544" s="58">
        <f>SUM(X540:X543)</f>
        <v>17524.060000000001</v>
      </c>
      <c r="Y544" s="58">
        <f t="shared" ref="Y544:AA544" si="83">SUM(Y540:Y543)</f>
        <v>49622151</v>
      </c>
      <c r="Z544" s="58">
        <f t="shared" si="83"/>
        <v>0</v>
      </c>
      <c r="AA544" s="58">
        <f t="shared" si="83"/>
        <v>49622151</v>
      </c>
    </row>
    <row r="545" spans="1:27" ht="15" customHeight="1">
      <c r="A545" s="1">
        <v>86</v>
      </c>
      <c r="B545" s="1" t="s">
        <v>590</v>
      </c>
      <c r="C545" s="1" t="s">
        <v>591</v>
      </c>
      <c r="D545" s="1" t="s">
        <v>592</v>
      </c>
      <c r="E545" s="1" t="s">
        <v>591</v>
      </c>
      <c r="F545" s="1" t="s">
        <v>140</v>
      </c>
      <c r="G545" s="1" t="s">
        <v>141</v>
      </c>
      <c r="H545" s="1">
        <v>1005001781</v>
      </c>
      <c r="I545" s="1" t="s">
        <v>116</v>
      </c>
      <c r="J545" s="1">
        <v>101</v>
      </c>
      <c r="K545" s="1" t="s">
        <v>142</v>
      </c>
      <c r="L545" s="1">
        <v>1001023656</v>
      </c>
      <c r="M545" s="1">
        <v>1232000000632</v>
      </c>
      <c r="N545" s="1" t="s">
        <v>144</v>
      </c>
      <c r="O545" s="1" t="s">
        <v>145</v>
      </c>
      <c r="P545" s="1" t="s">
        <v>146</v>
      </c>
      <c r="Q545" s="1" t="s">
        <v>147</v>
      </c>
      <c r="R545" s="1" t="s">
        <v>148</v>
      </c>
      <c r="S545" s="44">
        <v>4.8</v>
      </c>
      <c r="T545" s="44">
        <v>1.04</v>
      </c>
      <c r="U545" s="44">
        <v>0</v>
      </c>
      <c r="V545" s="44">
        <v>0</v>
      </c>
      <c r="W545" s="44">
        <v>0</v>
      </c>
      <c r="X545" s="45">
        <v>111.24</v>
      </c>
      <c r="Y545" s="45">
        <v>1432549</v>
      </c>
      <c r="Z545" s="45"/>
      <c r="AA545" s="46">
        <v>1432549</v>
      </c>
    </row>
    <row r="546" spans="1:27" ht="15" customHeight="1">
      <c r="A546" s="56"/>
      <c r="B546" s="56" t="s">
        <v>149</v>
      </c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7"/>
      <c r="T546" s="57"/>
      <c r="U546" s="57"/>
      <c r="V546" s="57"/>
      <c r="W546" s="57"/>
      <c r="X546" s="58">
        <f>SUM(X545)</f>
        <v>111.24</v>
      </c>
      <c r="Y546" s="58">
        <f t="shared" ref="Y546:AA546" si="84">SUM(Y545)</f>
        <v>1432549</v>
      </c>
      <c r="Z546" s="58">
        <f t="shared" si="84"/>
        <v>0</v>
      </c>
      <c r="AA546" s="58">
        <f t="shared" si="84"/>
        <v>1432549</v>
      </c>
    </row>
    <row r="547" spans="1:27" ht="15" customHeight="1">
      <c r="A547" s="1">
        <v>87</v>
      </c>
      <c r="B547" s="1" t="s">
        <v>593</v>
      </c>
      <c r="C547" s="1" t="s">
        <v>594</v>
      </c>
      <c r="D547" s="1" t="s">
        <v>595</v>
      </c>
      <c r="E547" s="1" t="s">
        <v>596</v>
      </c>
      <c r="F547" s="1" t="s">
        <v>183</v>
      </c>
      <c r="G547" s="1" t="s">
        <v>141</v>
      </c>
      <c r="H547" s="1">
        <v>9201000010</v>
      </c>
      <c r="I547" s="1" t="s">
        <v>117</v>
      </c>
      <c r="J547" s="1">
        <v>582</v>
      </c>
      <c r="K547" s="1" t="s">
        <v>597</v>
      </c>
      <c r="L547" s="1">
        <v>1011001594</v>
      </c>
      <c r="M547" s="1" t="s">
        <v>598</v>
      </c>
      <c r="N547" s="1" t="s">
        <v>144</v>
      </c>
      <c r="O547" s="1" t="s">
        <v>145</v>
      </c>
      <c r="P547" s="1" t="s">
        <v>146</v>
      </c>
      <c r="Q547" s="1" t="s">
        <v>147</v>
      </c>
      <c r="R547" s="1" t="s">
        <v>346</v>
      </c>
      <c r="S547" s="44">
        <v>0</v>
      </c>
      <c r="T547" s="44">
        <v>0</v>
      </c>
      <c r="U547" s="44">
        <v>0</v>
      </c>
      <c r="V547" s="44">
        <v>0</v>
      </c>
      <c r="W547" s="44">
        <v>0</v>
      </c>
      <c r="X547" s="45">
        <v>175.64</v>
      </c>
      <c r="Y547" s="45">
        <v>2224129</v>
      </c>
      <c r="Z547" s="45"/>
      <c r="AA547" s="46">
        <v>2224129</v>
      </c>
    </row>
    <row r="548" spans="1:27" ht="15" customHeight="1">
      <c r="A548" s="56"/>
      <c r="B548" s="56" t="s">
        <v>149</v>
      </c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7"/>
      <c r="T548" s="57"/>
      <c r="U548" s="57"/>
      <c r="V548" s="57"/>
      <c r="W548" s="57"/>
      <c r="X548" s="58">
        <f>SUM(X547)</f>
        <v>175.64</v>
      </c>
      <c r="Y548" s="58">
        <f t="shared" ref="Y548:AA548" si="85">SUM(Y547)</f>
        <v>2224129</v>
      </c>
      <c r="Z548" s="58">
        <f t="shared" si="85"/>
        <v>0</v>
      </c>
      <c r="AA548" s="58">
        <f t="shared" si="85"/>
        <v>2224129</v>
      </c>
    </row>
    <row r="549" spans="1:27" ht="15" customHeight="1">
      <c r="A549" s="1">
        <v>88</v>
      </c>
      <c r="B549" s="1" t="s">
        <v>599</v>
      </c>
      <c r="C549" s="1" t="s">
        <v>600</v>
      </c>
      <c r="D549" s="1" t="s">
        <v>601</v>
      </c>
      <c r="E549" s="1" t="s">
        <v>602</v>
      </c>
      <c r="F549" s="1" t="s">
        <v>170</v>
      </c>
      <c r="G549" s="1" t="s">
        <v>141</v>
      </c>
      <c r="H549" s="1">
        <v>1352</v>
      </c>
      <c r="I549" s="1" t="s">
        <v>118</v>
      </c>
      <c r="J549" s="1">
        <v>606</v>
      </c>
      <c r="K549" s="1" t="s">
        <v>184</v>
      </c>
      <c r="L549" s="1">
        <v>1001016114</v>
      </c>
      <c r="M549" s="1" t="s">
        <v>282</v>
      </c>
      <c r="N549" s="1" t="s">
        <v>178</v>
      </c>
      <c r="O549" s="1" t="s">
        <v>179</v>
      </c>
      <c r="P549" s="1" t="s">
        <v>146</v>
      </c>
      <c r="Q549" s="1" t="s">
        <v>147</v>
      </c>
      <c r="R549" s="1" t="s">
        <v>148</v>
      </c>
      <c r="S549" s="44">
        <v>0</v>
      </c>
      <c r="T549" s="44">
        <v>0</v>
      </c>
      <c r="U549" s="44">
        <v>0</v>
      </c>
      <c r="V549" s="44">
        <v>0</v>
      </c>
      <c r="W549" s="44">
        <v>0</v>
      </c>
      <c r="X549" s="45">
        <v>12491.01</v>
      </c>
      <c r="Y549" s="45">
        <v>7494607</v>
      </c>
      <c r="Z549" s="45"/>
      <c r="AA549" s="46">
        <v>7494607</v>
      </c>
    </row>
    <row r="550" spans="1:27" ht="15" customHeight="1">
      <c r="A550" s="56"/>
      <c r="B550" s="56" t="s">
        <v>149</v>
      </c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7"/>
      <c r="T550" s="57"/>
      <c r="U550" s="57"/>
      <c r="V550" s="57"/>
      <c r="W550" s="57"/>
      <c r="X550" s="58">
        <f>SUM(X549)</f>
        <v>12491.01</v>
      </c>
      <c r="Y550" s="58">
        <f t="shared" ref="Y550:AA550" si="86">SUM(Y549)</f>
        <v>7494607</v>
      </c>
      <c r="Z550" s="58">
        <f t="shared" si="86"/>
        <v>0</v>
      </c>
      <c r="AA550" s="58">
        <f t="shared" si="86"/>
        <v>7494607</v>
      </c>
    </row>
    <row r="551" spans="1:27" ht="15" customHeight="1">
      <c r="A551" s="1">
        <v>89</v>
      </c>
      <c r="B551" s="1" t="s">
        <v>603</v>
      </c>
      <c r="C551" s="1" t="s">
        <v>538</v>
      </c>
      <c r="D551" s="1" t="s">
        <v>604</v>
      </c>
      <c r="E551" s="1" t="s">
        <v>585</v>
      </c>
      <c r="F551" s="1" t="s">
        <v>140</v>
      </c>
      <c r="G551" s="1" t="s">
        <v>141</v>
      </c>
      <c r="H551" s="1">
        <v>1005000836</v>
      </c>
      <c r="I551" s="1" t="s">
        <v>112</v>
      </c>
      <c r="J551" s="1">
        <v>267</v>
      </c>
      <c r="K551" s="1" t="s">
        <v>142</v>
      </c>
      <c r="L551" s="1">
        <v>1001021552</v>
      </c>
      <c r="M551" s="1" t="s">
        <v>586</v>
      </c>
      <c r="N551" s="1" t="s">
        <v>144</v>
      </c>
      <c r="O551" s="1" t="s">
        <v>145</v>
      </c>
      <c r="P551" s="1" t="s">
        <v>146</v>
      </c>
      <c r="Q551" s="1" t="s">
        <v>147</v>
      </c>
      <c r="R551" s="1" t="s">
        <v>148</v>
      </c>
      <c r="S551" s="44">
        <v>0</v>
      </c>
      <c r="T551" s="44">
        <v>0</v>
      </c>
      <c r="U551" s="44">
        <v>0</v>
      </c>
      <c r="V551" s="44">
        <v>0</v>
      </c>
      <c r="W551" s="44">
        <v>0</v>
      </c>
      <c r="X551" s="45">
        <v>5220</v>
      </c>
      <c r="Y551" s="45">
        <v>4567500</v>
      </c>
      <c r="Z551" s="45"/>
      <c r="AA551" s="46">
        <v>4567500</v>
      </c>
    </row>
    <row r="552" spans="1:27" ht="15" customHeight="1">
      <c r="A552" s="1">
        <v>89</v>
      </c>
      <c r="B552" s="1" t="s">
        <v>603</v>
      </c>
      <c r="C552" s="1" t="s">
        <v>538</v>
      </c>
      <c r="D552" s="1" t="s">
        <v>604</v>
      </c>
      <c r="E552" s="1" t="s">
        <v>605</v>
      </c>
      <c r="F552" s="1" t="s">
        <v>140</v>
      </c>
      <c r="G552" s="1" t="s">
        <v>141</v>
      </c>
      <c r="H552" s="1">
        <v>1005001271</v>
      </c>
      <c r="I552" s="1" t="s">
        <v>119</v>
      </c>
      <c r="J552" s="1">
        <v>198</v>
      </c>
      <c r="K552" s="1" t="s">
        <v>142</v>
      </c>
      <c r="L552" s="1">
        <v>1001022362</v>
      </c>
      <c r="M552" s="1" t="s">
        <v>606</v>
      </c>
      <c r="N552" s="1" t="s">
        <v>144</v>
      </c>
      <c r="O552" s="1" t="s">
        <v>145</v>
      </c>
      <c r="P552" s="1" t="s">
        <v>146</v>
      </c>
      <c r="Q552" s="1" t="s">
        <v>147</v>
      </c>
      <c r="R552" s="1" t="s">
        <v>148</v>
      </c>
      <c r="S552" s="44">
        <v>5.25</v>
      </c>
      <c r="T552" s="44">
        <v>0.3</v>
      </c>
      <c r="U552" s="44">
        <v>0</v>
      </c>
      <c r="V552" s="44">
        <v>0</v>
      </c>
      <c r="W552" s="44">
        <v>0</v>
      </c>
      <c r="X552" s="45">
        <v>840</v>
      </c>
      <c r="Y552" s="45">
        <v>84000</v>
      </c>
      <c r="Z552" s="45"/>
      <c r="AA552" s="46">
        <v>84000</v>
      </c>
    </row>
    <row r="553" spans="1:27" ht="15" customHeight="1">
      <c r="A553" s="1">
        <v>89</v>
      </c>
      <c r="B553" s="1" t="s">
        <v>603</v>
      </c>
      <c r="C553" s="1" t="s">
        <v>538</v>
      </c>
      <c r="D553" s="1" t="s">
        <v>604</v>
      </c>
      <c r="E553" s="1" t="s">
        <v>537</v>
      </c>
      <c r="F553" s="1" t="s">
        <v>140</v>
      </c>
      <c r="G553" s="1" t="s">
        <v>141</v>
      </c>
      <c r="H553" s="1">
        <v>9235000000</v>
      </c>
      <c r="I553" s="1" t="s">
        <v>98</v>
      </c>
      <c r="J553" s="1">
        <v>396</v>
      </c>
      <c r="K553" s="1" t="s">
        <v>142</v>
      </c>
      <c r="L553" s="1">
        <v>1236000416</v>
      </c>
      <c r="M553" s="1"/>
      <c r="N553" s="1" t="s">
        <v>144</v>
      </c>
      <c r="O553" s="1" t="s">
        <v>145</v>
      </c>
      <c r="P553" s="1" t="s">
        <v>146</v>
      </c>
      <c r="Q553" s="1" t="s">
        <v>147</v>
      </c>
      <c r="R553" s="1" t="s">
        <v>575</v>
      </c>
      <c r="S553" s="44">
        <v>0</v>
      </c>
      <c r="T553" s="44">
        <v>0</v>
      </c>
      <c r="U553" s="44">
        <v>0</v>
      </c>
      <c r="V553" s="44">
        <v>0</v>
      </c>
      <c r="W553" s="44">
        <v>0</v>
      </c>
      <c r="X553" s="45">
        <v>14.92</v>
      </c>
      <c r="Y553" s="45">
        <v>211222</v>
      </c>
      <c r="Z553" s="45"/>
      <c r="AA553" s="46">
        <v>211222</v>
      </c>
    </row>
    <row r="554" spans="1:27" ht="15" customHeight="1">
      <c r="A554" s="1">
        <v>89</v>
      </c>
      <c r="B554" s="1" t="s">
        <v>603</v>
      </c>
      <c r="C554" s="1" t="s">
        <v>538</v>
      </c>
      <c r="D554" s="1" t="s">
        <v>604</v>
      </c>
      <c r="E554" s="1" t="s">
        <v>537</v>
      </c>
      <c r="F554" s="1" t="s">
        <v>153</v>
      </c>
      <c r="G554" s="1" t="s">
        <v>141</v>
      </c>
      <c r="H554" s="1">
        <v>9235000003</v>
      </c>
      <c r="I554" s="1" t="s">
        <v>99</v>
      </c>
      <c r="J554" s="1">
        <v>226</v>
      </c>
      <c r="K554" s="1" t="s">
        <v>142</v>
      </c>
      <c r="L554" s="1">
        <v>1236000551</v>
      </c>
      <c r="M554" s="1"/>
      <c r="N554" s="1" t="s">
        <v>351</v>
      </c>
      <c r="O554" s="1" t="s">
        <v>352</v>
      </c>
      <c r="P554" s="1" t="s">
        <v>146</v>
      </c>
      <c r="Q554" s="1" t="s">
        <v>147</v>
      </c>
      <c r="R554" s="1" t="s">
        <v>575</v>
      </c>
      <c r="S554" s="44">
        <v>0</v>
      </c>
      <c r="T554" s="44">
        <v>13.36</v>
      </c>
      <c r="U554" s="44">
        <v>7.82</v>
      </c>
      <c r="V554" s="44">
        <v>0</v>
      </c>
      <c r="W554" s="44">
        <v>0</v>
      </c>
      <c r="X554" s="45">
        <v>718.24</v>
      </c>
      <c r="Y554" s="45">
        <v>7099802</v>
      </c>
      <c r="Z554" s="45"/>
      <c r="AA554" s="46">
        <v>7099802</v>
      </c>
    </row>
    <row r="555" spans="1:27" ht="15" customHeight="1">
      <c r="A555" s="1">
        <v>89</v>
      </c>
      <c r="B555" s="1" t="s">
        <v>603</v>
      </c>
      <c r="C555" s="1" t="s">
        <v>538</v>
      </c>
      <c r="D555" s="1" t="s">
        <v>604</v>
      </c>
      <c r="E555" s="1" t="s">
        <v>560</v>
      </c>
      <c r="F555" s="1" t="s">
        <v>153</v>
      </c>
      <c r="G555" s="1" t="s">
        <v>141</v>
      </c>
      <c r="H555" s="1">
        <v>9251000071</v>
      </c>
      <c r="I555" s="1" t="s">
        <v>78</v>
      </c>
      <c r="J555" s="1">
        <v>512</v>
      </c>
      <c r="K555" s="1" t="s">
        <v>142</v>
      </c>
      <c r="L555" s="1">
        <v>1256000646</v>
      </c>
      <c r="M555" s="1"/>
      <c r="N555" s="1" t="s">
        <v>144</v>
      </c>
      <c r="O555" s="1" t="s">
        <v>145</v>
      </c>
      <c r="P555" s="1" t="s">
        <v>146</v>
      </c>
      <c r="Q555" s="1" t="s">
        <v>147</v>
      </c>
      <c r="R555" s="1" t="s">
        <v>607</v>
      </c>
      <c r="S555" s="44">
        <v>0</v>
      </c>
      <c r="T555" s="44">
        <v>0</v>
      </c>
      <c r="U555" s="44">
        <v>0</v>
      </c>
      <c r="V555" s="44">
        <v>0</v>
      </c>
      <c r="W555" s="44">
        <v>0</v>
      </c>
      <c r="X555" s="45">
        <v>7</v>
      </c>
      <c r="Y555" s="45">
        <v>91752</v>
      </c>
      <c r="Z555" s="45"/>
      <c r="AA555" s="46">
        <v>91752</v>
      </c>
    </row>
    <row r="556" spans="1:27" ht="15" customHeight="1">
      <c r="A556" s="1">
        <v>89</v>
      </c>
      <c r="B556" s="1" t="s">
        <v>603</v>
      </c>
      <c r="C556" s="1" t="s">
        <v>538</v>
      </c>
      <c r="D556" s="1" t="s">
        <v>604</v>
      </c>
      <c r="E556" s="1" t="s">
        <v>560</v>
      </c>
      <c r="F556" s="1" t="s">
        <v>140</v>
      </c>
      <c r="G556" s="1" t="s">
        <v>141</v>
      </c>
      <c r="H556" s="1">
        <v>9251000090</v>
      </c>
      <c r="I556" s="1" t="s">
        <v>105</v>
      </c>
      <c r="J556" s="1">
        <v>430</v>
      </c>
      <c r="K556" s="1" t="s">
        <v>142</v>
      </c>
      <c r="L556" s="1">
        <v>1256000682</v>
      </c>
      <c r="M556" s="1"/>
      <c r="N556" s="1" t="s">
        <v>144</v>
      </c>
      <c r="O556" s="1" t="s">
        <v>145</v>
      </c>
      <c r="P556" s="1" t="s">
        <v>146</v>
      </c>
      <c r="Q556" s="1" t="s">
        <v>147</v>
      </c>
      <c r="R556" s="1" t="s">
        <v>607</v>
      </c>
      <c r="S556" s="44">
        <v>0</v>
      </c>
      <c r="T556" s="44">
        <v>0</v>
      </c>
      <c r="U556" s="44">
        <v>0</v>
      </c>
      <c r="V556" s="44">
        <v>0</v>
      </c>
      <c r="W556" s="44">
        <v>0</v>
      </c>
      <c r="X556" s="45">
        <v>41.26</v>
      </c>
      <c r="Y556" s="45">
        <v>481752</v>
      </c>
      <c r="Z556" s="45"/>
      <c r="AA556" s="46">
        <v>481752</v>
      </c>
    </row>
    <row r="557" spans="1:27" ht="15" customHeight="1">
      <c r="A557" s="1">
        <v>89</v>
      </c>
      <c r="B557" s="1" t="s">
        <v>603</v>
      </c>
      <c r="C557" s="1" t="s">
        <v>538</v>
      </c>
      <c r="D557" s="1" t="s">
        <v>604</v>
      </c>
      <c r="E557" s="1" t="s">
        <v>560</v>
      </c>
      <c r="F557" s="1" t="s">
        <v>140</v>
      </c>
      <c r="G557" s="1" t="s">
        <v>141</v>
      </c>
      <c r="H557" s="1">
        <v>9255000000</v>
      </c>
      <c r="I557" s="1" t="s">
        <v>106</v>
      </c>
      <c r="J557" s="1">
        <v>395</v>
      </c>
      <c r="K557" s="1" t="s">
        <v>142</v>
      </c>
      <c r="L557" s="1">
        <v>1256000701</v>
      </c>
      <c r="M557" s="1"/>
      <c r="N557" s="1" t="s">
        <v>144</v>
      </c>
      <c r="O557" s="1" t="s">
        <v>145</v>
      </c>
      <c r="P557" s="1" t="s">
        <v>146</v>
      </c>
      <c r="Q557" s="1" t="s">
        <v>147</v>
      </c>
      <c r="R557" s="1" t="s">
        <v>607</v>
      </c>
      <c r="S557" s="44">
        <v>0</v>
      </c>
      <c r="T557" s="44">
        <v>0</v>
      </c>
      <c r="U557" s="44">
        <v>0</v>
      </c>
      <c r="V557" s="44">
        <v>0</v>
      </c>
      <c r="W557" s="44">
        <v>0</v>
      </c>
      <c r="X557" s="45">
        <v>8.1199999999999992</v>
      </c>
      <c r="Y557" s="45">
        <v>112186</v>
      </c>
      <c r="Z557" s="45"/>
      <c r="AA557" s="46">
        <v>112186</v>
      </c>
    </row>
    <row r="558" spans="1:27" ht="15" customHeight="1">
      <c r="A558" s="1">
        <v>89</v>
      </c>
      <c r="B558" s="1" t="s">
        <v>603</v>
      </c>
      <c r="C558" s="1" t="s">
        <v>538</v>
      </c>
      <c r="D558" s="1" t="s">
        <v>604</v>
      </c>
      <c r="E558" s="1" t="s">
        <v>560</v>
      </c>
      <c r="F558" s="1" t="s">
        <v>140</v>
      </c>
      <c r="G558" s="1" t="s">
        <v>141</v>
      </c>
      <c r="H558" s="1">
        <v>9255000001</v>
      </c>
      <c r="I558" s="1" t="s">
        <v>106</v>
      </c>
      <c r="J558" s="1">
        <v>395</v>
      </c>
      <c r="K558" s="1" t="s">
        <v>142</v>
      </c>
      <c r="L558" s="1">
        <v>1256000700</v>
      </c>
      <c r="M558" s="1"/>
      <c r="N558" s="1" t="s">
        <v>144</v>
      </c>
      <c r="O558" s="1" t="s">
        <v>145</v>
      </c>
      <c r="P558" s="1" t="s">
        <v>146</v>
      </c>
      <c r="Q558" s="1" t="s">
        <v>147</v>
      </c>
      <c r="R558" s="1" t="s">
        <v>607</v>
      </c>
      <c r="S558" s="44">
        <v>0</v>
      </c>
      <c r="T558" s="44">
        <v>0</v>
      </c>
      <c r="U558" s="44">
        <v>0</v>
      </c>
      <c r="V558" s="44">
        <v>0</v>
      </c>
      <c r="W558" s="44">
        <v>0</v>
      </c>
      <c r="X558" s="45">
        <v>1.32</v>
      </c>
      <c r="Y558" s="45">
        <v>18237</v>
      </c>
      <c r="Z558" s="45"/>
      <c r="AA558" s="46">
        <v>18237</v>
      </c>
    </row>
    <row r="559" spans="1:27" ht="15" customHeight="1">
      <c r="A559" s="1">
        <v>89</v>
      </c>
      <c r="B559" s="1" t="s">
        <v>603</v>
      </c>
      <c r="C559" s="1" t="s">
        <v>538</v>
      </c>
      <c r="D559" s="1" t="s">
        <v>604</v>
      </c>
      <c r="E559" s="1" t="s">
        <v>558</v>
      </c>
      <c r="F559" s="1" t="s">
        <v>140</v>
      </c>
      <c r="G559" s="1" t="s">
        <v>141</v>
      </c>
      <c r="H559" s="1">
        <v>9310000002</v>
      </c>
      <c r="I559" s="1" t="s">
        <v>103</v>
      </c>
      <c r="J559" s="1">
        <v>493</v>
      </c>
      <c r="K559" s="1" t="s">
        <v>142</v>
      </c>
      <c r="L559" s="1">
        <v>1316000090</v>
      </c>
      <c r="M559" s="1"/>
      <c r="N559" s="1" t="s">
        <v>144</v>
      </c>
      <c r="O559" s="1" t="s">
        <v>145</v>
      </c>
      <c r="P559" s="1" t="s">
        <v>146</v>
      </c>
      <c r="Q559" s="1" t="s">
        <v>147</v>
      </c>
      <c r="R559" s="1" t="s">
        <v>608</v>
      </c>
      <c r="S559" s="44">
        <v>0</v>
      </c>
      <c r="T559" s="44">
        <v>0</v>
      </c>
      <c r="U559" s="44">
        <v>0</v>
      </c>
      <c r="V559" s="44">
        <v>0</v>
      </c>
      <c r="W559" s="44">
        <v>0</v>
      </c>
      <c r="X559" s="45">
        <v>87.78</v>
      </c>
      <c r="Y559" s="45">
        <v>1171161</v>
      </c>
      <c r="Z559" s="45"/>
      <c r="AA559" s="46">
        <v>1171161</v>
      </c>
    </row>
    <row r="560" spans="1:27" ht="15" customHeight="1">
      <c r="A560" s="1">
        <v>89</v>
      </c>
      <c r="B560" s="1" t="s">
        <v>603</v>
      </c>
      <c r="C560" s="1" t="s">
        <v>538</v>
      </c>
      <c r="D560" s="1" t="s">
        <v>604</v>
      </c>
      <c r="E560" s="1" t="s">
        <v>538</v>
      </c>
      <c r="F560" s="1" t="s">
        <v>140</v>
      </c>
      <c r="G560" s="1" t="s">
        <v>141</v>
      </c>
      <c r="H560" s="1">
        <v>9335000003</v>
      </c>
      <c r="I560" s="1" t="s">
        <v>101</v>
      </c>
      <c r="J560" s="1">
        <v>116</v>
      </c>
      <c r="K560" s="1" t="s">
        <v>142</v>
      </c>
      <c r="L560" s="1">
        <v>1336000337</v>
      </c>
      <c r="M560" s="1"/>
      <c r="N560" s="1" t="s">
        <v>334</v>
      </c>
      <c r="O560" s="1" t="s">
        <v>297</v>
      </c>
      <c r="P560" s="1" t="s">
        <v>146</v>
      </c>
      <c r="Q560" s="1" t="s">
        <v>147</v>
      </c>
      <c r="R560" s="1" t="s">
        <v>609</v>
      </c>
      <c r="S560" s="44">
        <v>11.51</v>
      </c>
      <c r="T560" s="44">
        <v>1.74</v>
      </c>
      <c r="U560" s="44">
        <v>0</v>
      </c>
      <c r="V560" s="44">
        <v>0</v>
      </c>
      <c r="W560" s="44">
        <v>0</v>
      </c>
      <c r="X560" s="45">
        <v>115.91</v>
      </c>
      <c r="Y560" s="45">
        <v>1692634</v>
      </c>
      <c r="Z560" s="45"/>
      <c r="AA560" s="46">
        <v>1692634</v>
      </c>
    </row>
    <row r="561" spans="1:27" ht="15" customHeight="1">
      <c r="A561" s="1">
        <v>89</v>
      </c>
      <c r="B561" s="1" t="s">
        <v>603</v>
      </c>
      <c r="C561" s="1" t="s">
        <v>538</v>
      </c>
      <c r="D561" s="1" t="s">
        <v>604</v>
      </c>
      <c r="E561" s="1" t="s">
        <v>538</v>
      </c>
      <c r="F561" s="1" t="s">
        <v>140</v>
      </c>
      <c r="G561" s="1" t="s">
        <v>141</v>
      </c>
      <c r="H561" s="1">
        <v>1005002153</v>
      </c>
      <c r="I561" s="1" t="s">
        <v>62</v>
      </c>
      <c r="J561" s="1">
        <v>52</v>
      </c>
      <c r="K561" s="1" t="s">
        <v>142</v>
      </c>
      <c r="L561" s="1">
        <v>1001026191</v>
      </c>
      <c r="M561" s="1" t="s">
        <v>610</v>
      </c>
      <c r="N561" s="1" t="s">
        <v>144</v>
      </c>
      <c r="O561" s="1" t="s">
        <v>145</v>
      </c>
      <c r="P561" s="1" t="s">
        <v>146</v>
      </c>
      <c r="Q561" s="1" t="s">
        <v>147</v>
      </c>
      <c r="R561" s="1" t="s">
        <v>148</v>
      </c>
      <c r="S561" s="44">
        <v>4.8</v>
      </c>
      <c r="T561" s="44">
        <v>0.53</v>
      </c>
      <c r="U561" s="44">
        <v>0</v>
      </c>
      <c r="V561" s="44">
        <v>0</v>
      </c>
      <c r="W561" s="44">
        <v>0</v>
      </c>
      <c r="X561" s="45">
        <v>2.0699999999999998</v>
      </c>
      <c r="Y561" s="45">
        <v>28270</v>
      </c>
      <c r="Z561" s="45"/>
      <c r="AA561" s="46">
        <v>28270</v>
      </c>
    </row>
    <row r="562" spans="1:27" ht="15" customHeight="1">
      <c r="A562" s="1">
        <v>89</v>
      </c>
      <c r="B562" s="1" t="s">
        <v>603</v>
      </c>
      <c r="C562" s="1" t="s">
        <v>538</v>
      </c>
      <c r="D562" s="1" t="s">
        <v>604</v>
      </c>
      <c r="E562" s="1" t="s">
        <v>605</v>
      </c>
      <c r="F562" s="1" t="s">
        <v>140</v>
      </c>
      <c r="G562" s="1" t="s">
        <v>141</v>
      </c>
      <c r="H562" s="1">
        <v>1005000381</v>
      </c>
      <c r="I562" s="1" t="s">
        <v>120</v>
      </c>
      <c r="J562" s="1">
        <v>343</v>
      </c>
      <c r="K562" s="1" t="s">
        <v>142</v>
      </c>
      <c r="L562" s="1">
        <v>1001019864</v>
      </c>
      <c r="M562" s="1" t="s">
        <v>611</v>
      </c>
      <c r="N562" s="1" t="s">
        <v>144</v>
      </c>
      <c r="O562" s="1" t="s">
        <v>145</v>
      </c>
      <c r="P562" s="1" t="s">
        <v>146</v>
      </c>
      <c r="Q562" s="1" t="s">
        <v>147</v>
      </c>
      <c r="R562" s="1" t="s">
        <v>148</v>
      </c>
      <c r="S562" s="44">
        <v>5.42</v>
      </c>
      <c r="T562" s="44">
        <v>0.28999999999999998</v>
      </c>
      <c r="U562" s="44">
        <v>0</v>
      </c>
      <c r="V562" s="44">
        <v>0</v>
      </c>
      <c r="W562" s="44">
        <v>0</v>
      </c>
      <c r="X562" s="45">
        <v>17050</v>
      </c>
      <c r="Y562" s="45">
        <v>1705000</v>
      </c>
      <c r="Z562" s="45"/>
      <c r="AA562" s="46">
        <v>1705000</v>
      </c>
    </row>
    <row r="563" spans="1:27" ht="15" customHeight="1">
      <c r="A563" s="56"/>
      <c r="B563" s="56" t="s">
        <v>149</v>
      </c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7"/>
      <c r="T563" s="57"/>
      <c r="U563" s="57"/>
      <c r="V563" s="57"/>
      <c r="W563" s="57"/>
      <c r="X563" s="58">
        <f>SUM(X551:X562)</f>
        <v>24106.62</v>
      </c>
      <c r="Y563" s="58">
        <f t="shared" ref="Y563:AA563" si="87">SUM(Y551:Y562)</f>
        <v>17263516</v>
      </c>
      <c r="Z563" s="58">
        <f t="shared" si="87"/>
        <v>0</v>
      </c>
      <c r="AA563" s="58">
        <f t="shared" si="87"/>
        <v>17263516</v>
      </c>
    </row>
    <row r="564" spans="1:27" ht="15" customHeight="1">
      <c r="A564" s="1">
        <v>90</v>
      </c>
      <c r="B564" s="1" t="s">
        <v>612</v>
      </c>
      <c r="C564" s="1" t="s">
        <v>613</v>
      </c>
      <c r="D564" s="1" t="s">
        <v>614</v>
      </c>
      <c r="E564" s="1" t="s">
        <v>613</v>
      </c>
      <c r="F564" s="1" t="s">
        <v>140</v>
      </c>
      <c r="G564" s="1" t="s">
        <v>141</v>
      </c>
      <c r="H564" s="1">
        <v>1365000123</v>
      </c>
      <c r="I564" s="1" t="s">
        <v>16</v>
      </c>
      <c r="J564" s="1">
        <v>221</v>
      </c>
      <c r="K564" s="1" t="s">
        <v>226</v>
      </c>
      <c r="L564" s="1">
        <v>1361001647</v>
      </c>
      <c r="M564" s="1" t="s">
        <v>615</v>
      </c>
      <c r="N564" s="1" t="s">
        <v>178</v>
      </c>
      <c r="O564" s="1" t="s">
        <v>179</v>
      </c>
      <c r="P564" s="1" t="s">
        <v>146</v>
      </c>
      <c r="Q564" s="1" t="s">
        <v>147</v>
      </c>
      <c r="R564" s="1" t="s">
        <v>228</v>
      </c>
      <c r="S564" s="44">
        <v>0</v>
      </c>
      <c r="T564" s="44">
        <v>19.73</v>
      </c>
      <c r="U564" s="44">
        <v>2.04</v>
      </c>
      <c r="V564" s="44">
        <v>0</v>
      </c>
      <c r="W564" s="44">
        <v>0</v>
      </c>
      <c r="X564" s="45">
        <v>408.2</v>
      </c>
      <c r="Y564" s="45">
        <v>377585</v>
      </c>
      <c r="Z564" s="45"/>
      <c r="AA564" s="46">
        <v>377585</v>
      </c>
    </row>
    <row r="565" spans="1:27" ht="15" customHeight="1">
      <c r="A565" s="1">
        <v>90</v>
      </c>
      <c r="B565" s="1" t="s">
        <v>612</v>
      </c>
      <c r="C565" s="1" t="s">
        <v>613</v>
      </c>
      <c r="D565" s="1" t="s">
        <v>614</v>
      </c>
      <c r="E565" s="1" t="s">
        <v>613</v>
      </c>
      <c r="F565" s="1" t="s">
        <v>140</v>
      </c>
      <c r="G565" s="1" t="s">
        <v>141</v>
      </c>
      <c r="H565" s="1">
        <v>1365000156</v>
      </c>
      <c r="I565" s="1" t="s">
        <v>23</v>
      </c>
      <c r="J565" s="1">
        <v>161</v>
      </c>
      <c r="K565" s="1" t="s">
        <v>226</v>
      </c>
      <c r="L565" s="1">
        <v>1361001769</v>
      </c>
      <c r="M565" s="1" t="s">
        <v>616</v>
      </c>
      <c r="N565" s="1" t="s">
        <v>178</v>
      </c>
      <c r="O565" s="1" t="s">
        <v>179</v>
      </c>
      <c r="P565" s="1" t="s">
        <v>146</v>
      </c>
      <c r="Q565" s="1" t="s">
        <v>147</v>
      </c>
      <c r="R565" s="1" t="s">
        <v>228</v>
      </c>
      <c r="S565" s="44">
        <v>0</v>
      </c>
      <c r="T565" s="44">
        <v>20.48</v>
      </c>
      <c r="U565" s="44">
        <v>0.49</v>
      </c>
      <c r="V565" s="44">
        <v>0</v>
      </c>
      <c r="W565" s="44">
        <v>0</v>
      </c>
      <c r="X565" s="45">
        <v>107.52</v>
      </c>
      <c r="Y565" s="45">
        <v>90317</v>
      </c>
      <c r="Z565" s="45"/>
      <c r="AA565" s="46">
        <v>90317</v>
      </c>
    </row>
    <row r="566" spans="1:27" ht="15" customHeight="1">
      <c r="A566" s="1">
        <v>90</v>
      </c>
      <c r="B566" s="1" t="s">
        <v>612</v>
      </c>
      <c r="C566" s="1" t="s">
        <v>613</v>
      </c>
      <c r="D566" s="1" t="s">
        <v>614</v>
      </c>
      <c r="E566" s="1" t="s">
        <v>613</v>
      </c>
      <c r="F566" s="1" t="s">
        <v>140</v>
      </c>
      <c r="G566" s="1" t="s">
        <v>141</v>
      </c>
      <c r="H566" s="1">
        <v>1365000124</v>
      </c>
      <c r="I566" s="1" t="s">
        <v>36</v>
      </c>
      <c r="J566" s="1">
        <v>220</v>
      </c>
      <c r="K566" s="1" t="s">
        <v>226</v>
      </c>
      <c r="L566" s="1">
        <v>1361001599</v>
      </c>
      <c r="M566" s="1" t="s">
        <v>617</v>
      </c>
      <c r="N566" s="1" t="s">
        <v>178</v>
      </c>
      <c r="O566" s="1" t="s">
        <v>179</v>
      </c>
      <c r="P566" s="1" t="s">
        <v>146</v>
      </c>
      <c r="Q566" s="1" t="s">
        <v>147</v>
      </c>
      <c r="R566" s="1" t="s">
        <v>228</v>
      </c>
      <c r="S566" s="44">
        <v>0</v>
      </c>
      <c r="T566" s="44">
        <v>21.52</v>
      </c>
      <c r="U566" s="44">
        <v>0.4</v>
      </c>
      <c r="V566" s="44">
        <v>0</v>
      </c>
      <c r="W566" s="44">
        <v>0</v>
      </c>
      <c r="X566" s="45">
        <v>1361.33</v>
      </c>
      <c r="Y566" s="45">
        <v>1429397</v>
      </c>
      <c r="Z566" s="45"/>
      <c r="AA566" s="46">
        <v>1429397</v>
      </c>
    </row>
    <row r="567" spans="1:27" ht="15" customHeight="1">
      <c r="A567" s="1">
        <v>90</v>
      </c>
      <c r="B567" s="1" t="s">
        <v>612</v>
      </c>
      <c r="C567" s="1" t="s">
        <v>613</v>
      </c>
      <c r="D567" s="1" t="s">
        <v>614</v>
      </c>
      <c r="E567" s="1" t="s">
        <v>613</v>
      </c>
      <c r="F567" s="1" t="s">
        <v>140</v>
      </c>
      <c r="G567" s="1" t="s">
        <v>141</v>
      </c>
      <c r="H567" s="1">
        <v>1365000128</v>
      </c>
      <c r="I567" s="1" t="s">
        <v>121</v>
      </c>
      <c r="J567" s="1">
        <v>207</v>
      </c>
      <c r="K567" s="1" t="s">
        <v>226</v>
      </c>
      <c r="L567" s="1">
        <v>1361001612</v>
      </c>
      <c r="M567" s="1" t="s">
        <v>618</v>
      </c>
      <c r="N567" s="1" t="s">
        <v>178</v>
      </c>
      <c r="O567" s="1" t="s">
        <v>179</v>
      </c>
      <c r="P567" s="1" t="s">
        <v>146</v>
      </c>
      <c r="Q567" s="1" t="s">
        <v>147</v>
      </c>
      <c r="R567" s="1" t="s">
        <v>228</v>
      </c>
      <c r="S567" s="44">
        <v>0</v>
      </c>
      <c r="T567" s="44">
        <v>20.48</v>
      </c>
      <c r="U567" s="44">
        <v>0.32</v>
      </c>
      <c r="V567" s="44">
        <v>0</v>
      </c>
      <c r="W567" s="44">
        <v>0</v>
      </c>
      <c r="X567" s="45">
        <v>395.97</v>
      </c>
      <c r="Y567" s="45">
        <v>415770</v>
      </c>
      <c r="Z567" s="45"/>
      <c r="AA567" s="46">
        <v>415770</v>
      </c>
    </row>
    <row r="568" spans="1:27" ht="15" customHeight="1">
      <c r="A568" s="1">
        <v>90</v>
      </c>
      <c r="B568" s="1" t="s">
        <v>612</v>
      </c>
      <c r="C568" s="1" t="s">
        <v>613</v>
      </c>
      <c r="D568" s="1" t="s">
        <v>614</v>
      </c>
      <c r="E568" s="1" t="s">
        <v>613</v>
      </c>
      <c r="F568" s="1" t="s">
        <v>140</v>
      </c>
      <c r="G568" s="1" t="s">
        <v>141</v>
      </c>
      <c r="H568" s="1">
        <v>1365000140</v>
      </c>
      <c r="I568" s="1" t="s">
        <v>122</v>
      </c>
      <c r="J568" s="1">
        <v>191</v>
      </c>
      <c r="K568" s="1" t="s">
        <v>226</v>
      </c>
      <c r="L568" s="1">
        <v>1361001634</v>
      </c>
      <c r="M568" s="1" t="s">
        <v>619</v>
      </c>
      <c r="N568" s="1" t="s">
        <v>178</v>
      </c>
      <c r="O568" s="1" t="s">
        <v>179</v>
      </c>
      <c r="P568" s="1" t="s">
        <v>146</v>
      </c>
      <c r="Q568" s="1" t="s">
        <v>147</v>
      </c>
      <c r="R568" s="1" t="s">
        <v>228</v>
      </c>
      <c r="S568" s="44">
        <v>0</v>
      </c>
      <c r="T568" s="44">
        <v>21.23</v>
      </c>
      <c r="U568" s="44">
        <v>0.46</v>
      </c>
      <c r="V568" s="44">
        <v>0</v>
      </c>
      <c r="W568" s="44">
        <v>0</v>
      </c>
      <c r="X568" s="45">
        <v>760.41</v>
      </c>
      <c r="Y568" s="45">
        <v>768014</v>
      </c>
      <c r="Z568" s="45"/>
      <c r="AA568" s="46">
        <v>768014</v>
      </c>
    </row>
    <row r="569" spans="1:27" ht="15" customHeight="1">
      <c r="A569" s="56"/>
      <c r="B569" s="56" t="s">
        <v>149</v>
      </c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7"/>
      <c r="T569" s="57"/>
      <c r="U569" s="57"/>
      <c r="V569" s="57"/>
      <c r="W569" s="57"/>
      <c r="X569" s="58">
        <f>SUM(X564:X568)</f>
        <v>3033.43</v>
      </c>
      <c r="Y569" s="58">
        <f t="shared" ref="Y569:AA569" si="88">SUM(Y564:Y568)</f>
        <v>3081083</v>
      </c>
      <c r="Z569" s="58">
        <f t="shared" si="88"/>
        <v>0</v>
      </c>
      <c r="AA569" s="58">
        <f t="shared" si="88"/>
        <v>3081083</v>
      </c>
    </row>
    <row r="570" spans="1:27" ht="15" customHeight="1">
      <c r="A570" s="1">
        <v>91</v>
      </c>
      <c r="B570" s="1" t="s">
        <v>620</v>
      </c>
      <c r="C570" s="1" t="s">
        <v>621</v>
      </c>
      <c r="D570" s="1" t="s">
        <v>604</v>
      </c>
      <c r="E570" s="1" t="s">
        <v>621</v>
      </c>
      <c r="F570" s="1" t="s">
        <v>153</v>
      </c>
      <c r="G570" s="1" t="s">
        <v>141</v>
      </c>
      <c r="H570" s="1">
        <v>1385000057</v>
      </c>
      <c r="I570" s="1" t="s">
        <v>33</v>
      </c>
      <c r="J570" s="1">
        <v>85</v>
      </c>
      <c r="K570" s="1" t="s">
        <v>253</v>
      </c>
      <c r="L570" s="1">
        <v>1386001669</v>
      </c>
      <c r="M570" s="1"/>
      <c r="N570" s="1" t="s">
        <v>622</v>
      </c>
      <c r="O570" s="1" t="s">
        <v>623</v>
      </c>
      <c r="P570" s="1" t="s">
        <v>146</v>
      </c>
      <c r="Q570" s="1" t="s">
        <v>147</v>
      </c>
      <c r="R570" s="1" t="s">
        <v>255</v>
      </c>
      <c r="S570" s="44">
        <v>0</v>
      </c>
      <c r="T570" s="44">
        <v>0</v>
      </c>
      <c r="U570" s="44">
        <v>0</v>
      </c>
      <c r="V570" s="44">
        <v>0</v>
      </c>
      <c r="W570" s="44">
        <v>0</v>
      </c>
      <c r="X570" s="45">
        <v>461.39</v>
      </c>
      <c r="Y570" s="45">
        <v>8221157</v>
      </c>
      <c r="Z570" s="45"/>
      <c r="AA570" s="46">
        <v>8221157</v>
      </c>
    </row>
    <row r="571" spans="1:27" ht="15" customHeight="1">
      <c r="A571" s="56"/>
      <c r="B571" s="56" t="s">
        <v>149</v>
      </c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7"/>
      <c r="T571" s="57"/>
      <c r="U571" s="57"/>
      <c r="V571" s="57"/>
      <c r="W571" s="57"/>
      <c r="X571" s="58">
        <f>SUM(X570)</f>
        <v>461.39</v>
      </c>
      <c r="Y571" s="58">
        <f t="shared" ref="Y571:AA571" si="89">SUM(Y570)</f>
        <v>8221157</v>
      </c>
      <c r="Z571" s="58">
        <f t="shared" si="89"/>
        <v>0</v>
      </c>
      <c r="AA571" s="58">
        <f t="shared" si="89"/>
        <v>8221157</v>
      </c>
    </row>
    <row r="572" spans="1:27" ht="15" customHeight="1">
      <c r="A572" s="59"/>
      <c r="B572" s="59" t="s">
        <v>624</v>
      </c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60"/>
      <c r="T572" s="60"/>
      <c r="U572" s="60"/>
      <c r="V572" s="60"/>
      <c r="W572" s="60"/>
      <c r="X572" s="61">
        <f t="shared" ref="X572:AA572" si="90">X10+X19+X21+X24+X26+X32+X54+X57+X59+X61+X68+X73+X119+X127+X134+X138+X140+X142+X144+X153+X155+X157+X159+X163+X173+X176+X178+X180+X186+X189+X191+X193+X195+X197+X199+X206+X212+X214+X216+X219+X222+X224+X226+X228+X239+X242+X244+X246+X249+X253+X256+X258+X260+X262+X267+X280+X291+X294+X302+X304+X309+X311+X320+X329+X333+X335+X346+X353+X358+X363+X394+X397+X401+X463+X476+X489+X496+X506+X512+X528+X530+X537+X539+X544+X546+X548+X550+X563+X569+X571</f>
        <v>172153311.98999992</v>
      </c>
      <c r="Y572" s="61">
        <f t="shared" si="90"/>
        <v>44812169836</v>
      </c>
      <c r="Z572" s="61">
        <f t="shared" si="90"/>
        <v>920827740.57999992</v>
      </c>
      <c r="AA572" s="61">
        <f t="shared" si="90"/>
        <v>45732997576.580002</v>
      </c>
    </row>
    <row r="576" spans="1:27">
      <c r="Y576" s="18">
        <v>45732997576.580002</v>
      </c>
    </row>
  </sheetData>
  <mergeCells count="3">
    <mergeCell ref="S5:W7"/>
    <mergeCell ref="X5:AA5"/>
    <mergeCell ref="R5:R7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I336"/>
  <sheetViews>
    <sheetView workbookViewId="0">
      <selection activeCell="E346" sqref="E345:E346"/>
    </sheetView>
  </sheetViews>
  <sheetFormatPr defaultColWidth="9.1796875" defaultRowHeight="14.5"/>
  <cols>
    <col min="1" max="1" width="5.26953125" style="111" customWidth="1"/>
    <col min="2" max="2" width="14" style="111" bestFit="1" customWidth="1"/>
    <col min="3" max="3" width="39.7265625" style="111" bestFit="1" customWidth="1"/>
    <col min="4" max="4" width="12.54296875" style="111" bestFit="1" customWidth="1"/>
    <col min="5" max="5" width="13.453125" style="111" bestFit="1" customWidth="1"/>
    <col min="6" max="6" width="39.7265625" style="111" bestFit="1" customWidth="1"/>
    <col min="7" max="7" width="25.54296875" style="111" bestFit="1" customWidth="1"/>
    <col min="8" max="8" width="11.1796875" style="111" bestFit="1" customWidth="1"/>
    <col min="9" max="9" width="18.453125" style="111" bestFit="1" customWidth="1"/>
    <col min="10" max="10" width="11" style="111" bestFit="1" customWidth="1"/>
    <col min="11" max="11" width="11.7265625" style="111" bestFit="1" customWidth="1"/>
    <col min="12" max="12" width="10.1796875" style="111" bestFit="1" customWidth="1"/>
    <col min="13" max="13" width="11" style="111" bestFit="1" customWidth="1"/>
    <col min="14" max="14" width="12.81640625" style="111" bestFit="1" customWidth="1"/>
    <col min="15" max="15" width="13.453125" style="111" bestFit="1" customWidth="1"/>
    <col min="16" max="16" width="12.7265625" style="111" bestFit="1" customWidth="1"/>
    <col min="17" max="17" width="38.453125" style="111" bestFit="1" customWidth="1"/>
    <col min="18" max="18" width="5.26953125" style="111" bestFit="1" customWidth="1"/>
    <col min="19" max="19" width="4.26953125" style="111" bestFit="1" customWidth="1"/>
    <col min="20" max="20" width="7.81640625" style="111" bestFit="1" customWidth="1"/>
    <col min="21" max="21" width="9.1796875" style="111" bestFit="1" customWidth="1"/>
    <col min="22" max="22" width="5.453125" style="111" bestFit="1" customWidth="1"/>
    <col min="23" max="23" width="11.7265625" style="111" bestFit="1" customWidth="1"/>
    <col min="24" max="24" width="5.453125" style="111" bestFit="1" customWidth="1"/>
    <col min="25" max="25" width="8.7265625" style="126" bestFit="1" customWidth="1"/>
    <col min="26" max="26" width="6" style="126" bestFit="1" customWidth="1"/>
    <col min="27" max="27" width="6" style="111" bestFit="1" customWidth="1"/>
    <col min="28" max="28" width="5.453125" style="111" bestFit="1" customWidth="1"/>
    <col min="29" max="29" width="8.1796875" style="111" bestFit="1" customWidth="1"/>
    <col min="30" max="30" width="6.81640625" style="111" bestFit="1" customWidth="1"/>
    <col min="31" max="31" width="12.7265625" style="111" bestFit="1" customWidth="1"/>
    <col min="32" max="32" width="5.7265625" style="111" bestFit="1" customWidth="1"/>
    <col min="33" max="33" width="16.7265625" style="111" bestFit="1" customWidth="1"/>
    <col min="34" max="34" width="12.7265625" style="111" bestFit="1" customWidth="1"/>
    <col min="35" max="35" width="16.453125" style="111" bestFit="1" customWidth="1"/>
    <col min="36" max="16384" width="9.1796875" style="111"/>
  </cols>
  <sheetData>
    <row r="1" spans="1:35">
      <c r="A1" s="115" t="s">
        <v>625</v>
      </c>
    </row>
    <row r="2" spans="1:35">
      <c r="A2" s="115" t="s">
        <v>849</v>
      </c>
    </row>
    <row r="3" spans="1:35">
      <c r="A3" s="115" t="s">
        <v>902</v>
      </c>
    </row>
    <row r="6" spans="1:35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 t="s">
        <v>0</v>
      </c>
      <c r="T6" s="108" t="s">
        <v>699</v>
      </c>
      <c r="U6" s="184" t="s">
        <v>850</v>
      </c>
      <c r="V6" s="184"/>
      <c r="W6" s="184"/>
      <c r="X6" s="184"/>
      <c r="Y6" s="184" t="s">
        <v>851</v>
      </c>
      <c r="Z6" s="184"/>
      <c r="AA6" s="184"/>
      <c r="AB6" s="184"/>
      <c r="AC6" s="108"/>
      <c r="AD6" s="108"/>
      <c r="AE6" s="184" t="s">
        <v>700</v>
      </c>
      <c r="AF6" s="184"/>
      <c r="AG6" s="184"/>
      <c r="AH6" s="184"/>
      <c r="AI6" s="184"/>
    </row>
    <row r="7" spans="1:35">
      <c r="A7" s="108" t="s">
        <v>124</v>
      </c>
      <c r="B7" s="108" t="s">
        <v>125</v>
      </c>
      <c r="C7" s="108" t="s">
        <v>701</v>
      </c>
      <c r="D7" s="108" t="s">
        <v>702</v>
      </c>
      <c r="E7" s="108" t="s">
        <v>852</v>
      </c>
      <c r="F7" s="108" t="s">
        <v>128</v>
      </c>
      <c r="G7" s="108" t="s">
        <v>853</v>
      </c>
      <c r="H7" s="108" t="s">
        <v>703</v>
      </c>
      <c r="I7" s="108" t="s">
        <v>854</v>
      </c>
      <c r="J7" s="108" t="s">
        <v>704</v>
      </c>
      <c r="K7" s="108" t="s">
        <v>705</v>
      </c>
      <c r="L7" s="108" t="s">
        <v>706</v>
      </c>
      <c r="M7" s="108" t="s">
        <v>707</v>
      </c>
      <c r="N7" s="108" t="s">
        <v>133</v>
      </c>
      <c r="O7" s="108" t="s">
        <v>134</v>
      </c>
      <c r="P7" s="108" t="s">
        <v>708</v>
      </c>
      <c r="Q7" s="108" t="s">
        <v>855</v>
      </c>
      <c r="R7" s="108" t="s">
        <v>132</v>
      </c>
      <c r="S7" s="108" t="s">
        <v>709</v>
      </c>
      <c r="T7" s="108" t="s">
        <v>710</v>
      </c>
      <c r="U7" s="184" t="s">
        <v>856</v>
      </c>
      <c r="V7" s="184"/>
      <c r="W7" s="184"/>
      <c r="X7" s="184"/>
      <c r="Y7" s="184" t="s">
        <v>856</v>
      </c>
      <c r="Z7" s="184"/>
      <c r="AA7" s="184"/>
      <c r="AB7" s="184"/>
      <c r="AC7" s="108" t="s">
        <v>711</v>
      </c>
      <c r="AD7" s="108" t="s">
        <v>2</v>
      </c>
      <c r="AE7" s="184" t="s">
        <v>712</v>
      </c>
      <c r="AF7" s="184"/>
      <c r="AG7" s="184"/>
      <c r="AH7" s="184"/>
      <c r="AI7" s="184"/>
    </row>
    <row r="8" spans="1:35" ht="14.25" customHeight="1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 t="s">
        <v>857</v>
      </c>
      <c r="V8" s="108" t="s">
        <v>858</v>
      </c>
      <c r="W8" s="108" t="s">
        <v>859</v>
      </c>
      <c r="X8" s="108" t="s">
        <v>858</v>
      </c>
      <c r="Y8" s="108" t="s">
        <v>860</v>
      </c>
      <c r="Z8" s="108" t="s">
        <v>861</v>
      </c>
      <c r="AA8" s="108" t="s">
        <v>862</v>
      </c>
      <c r="AB8" s="108" t="s">
        <v>135</v>
      </c>
      <c r="AC8" s="108" t="s">
        <v>713</v>
      </c>
      <c r="AD8" s="108"/>
      <c r="AE8" s="108" t="s">
        <v>714</v>
      </c>
      <c r="AF8" s="108" t="s">
        <v>1</v>
      </c>
      <c r="AG8" s="108" t="s">
        <v>715</v>
      </c>
      <c r="AH8" s="108" t="s">
        <v>716</v>
      </c>
      <c r="AI8" s="109" t="s">
        <v>717</v>
      </c>
    </row>
    <row r="9" spans="1:3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 t="s">
        <v>642</v>
      </c>
      <c r="AH9" s="108" t="s">
        <v>718</v>
      </c>
      <c r="AI9" s="108" t="s">
        <v>642</v>
      </c>
    </row>
    <row r="10" spans="1:35">
      <c r="A10" s="97">
        <v>1</v>
      </c>
      <c r="B10" s="98" t="s">
        <v>219</v>
      </c>
      <c r="C10" s="98" t="s">
        <v>220</v>
      </c>
      <c r="D10" s="98" t="s">
        <v>221</v>
      </c>
      <c r="E10" s="98" t="s">
        <v>863</v>
      </c>
      <c r="F10" s="98" t="s">
        <v>220</v>
      </c>
      <c r="G10" s="98" t="s">
        <v>864</v>
      </c>
      <c r="H10" s="98" t="s">
        <v>745</v>
      </c>
      <c r="I10" s="98" t="s">
        <v>896</v>
      </c>
      <c r="J10" s="97">
        <v>1005002189</v>
      </c>
      <c r="K10" s="98" t="s">
        <v>729</v>
      </c>
      <c r="L10" s="98" t="s">
        <v>903</v>
      </c>
      <c r="M10" s="97">
        <v>1001026633</v>
      </c>
      <c r="N10" s="97">
        <v>1004026633</v>
      </c>
      <c r="O10" s="98" t="s">
        <v>178</v>
      </c>
      <c r="P10" s="98" t="s">
        <v>179</v>
      </c>
      <c r="Q10" s="98" t="s">
        <v>868</v>
      </c>
      <c r="R10" s="98" t="s">
        <v>171</v>
      </c>
      <c r="S10" s="98" t="s">
        <v>609</v>
      </c>
      <c r="T10" s="98" t="s">
        <v>148</v>
      </c>
      <c r="U10" s="127">
        <v>500000</v>
      </c>
      <c r="V10" s="98" t="s">
        <v>146</v>
      </c>
      <c r="W10" s="99">
        <v>500460</v>
      </c>
      <c r="X10" s="98" t="s">
        <v>146</v>
      </c>
      <c r="Y10" s="97">
        <v>0</v>
      </c>
      <c r="Z10" s="97">
        <v>20.79</v>
      </c>
      <c r="AA10" s="97">
        <v>0.83</v>
      </c>
      <c r="AB10" s="97">
        <v>0</v>
      </c>
      <c r="AC10" s="98" t="s">
        <v>724</v>
      </c>
      <c r="AD10" s="98" t="s">
        <v>147</v>
      </c>
      <c r="AE10" s="99">
        <v>1355.9</v>
      </c>
      <c r="AF10" s="98" t="s">
        <v>146</v>
      </c>
      <c r="AG10" s="99">
        <v>1518609</v>
      </c>
      <c r="AH10" s="98"/>
      <c r="AI10" s="99">
        <v>1518609</v>
      </c>
    </row>
    <row r="11" spans="1:35">
      <c r="A11" s="100"/>
      <c r="B11" s="100" t="s">
        <v>149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1">
        <v>1355.9</v>
      </c>
      <c r="AF11" s="100" t="s">
        <v>146</v>
      </c>
      <c r="AG11" s="101">
        <v>1518609</v>
      </c>
      <c r="AH11" s="100"/>
      <c r="AI11" s="101">
        <v>1518609</v>
      </c>
    </row>
    <row r="12" spans="1:35">
      <c r="A12" s="97">
        <v>2</v>
      </c>
      <c r="B12" s="98" t="s">
        <v>904</v>
      </c>
      <c r="C12" s="98" t="s">
        <v>905</v>
      </c>
      <c r="D12" s="98"/>
      <c r="E12" s="98" t="s">
        <v>873</v>
      </c>
      <c r="F12" s="98" t="s">
        <v>905</v>
      </c>
      <c r="G12" s="98" t="s">
        <v>864</v>
      </c>
      <c r="H12" s="98" t="s">
        <v>844</v>
      </c>
      <c r="I12" s="98" t="s">
        <v>896</v>
      </c>
      <c r="J12" s="97">
        <v>1005002336</v>
      </c>
      <c r="K12" s="98" t="s">
        <v>80</v>
      </c>
      <c r="L12" s="98" t="s">
        <v>906</v>
      </c>
      <c r="M12" s="97">
        <v>1001026613</v>
      </c>
      <c r="N12" s="97">
        <v>1004026613</v>
      </c>
      <c r="O12" s="98" t="s">
        <v>178</v>
      </c>
      <c r="P12" s="98" t="s">
        <v>179</v>
      </c>
      <c r="Q12" s="98" t="s">
        <v>868</v>
      </c>
      <c r="R12" s="98" t="s">
        <v>171</v>
      </c>
      <c r="S12" s="98" t="s">
        <v>609</v>
      </c>
      <c r="T12" s="98" t="s">
        <v>148</v>
      </c>
      <c r="U12" s="127">
        <v>2010730</v>
      </c>
      <c r="V12" s="98" t="s">
        <v>146</v>
      </c>
      <c r="W12" s="99">
        <v>2004590</v>
      </c>
      <c r="X12" s="98" t="s">
        <v>146</v>
      </c>
      <c r="Y12" s="97">
        <v>0</v>
      </c>
      <c r="Z12" s="97">
        <v>20.71</v>
      </c>
      <c r="AA12" s="97">
        <v>0.82</v>
      </c>
      <c r="AB12" s="97">
        <v>0</v>
      </c>
      <c r="AC12" s="98" t="s">
        <v>724</v>
      </c>
      <c r="AD12" s="98" t="s">
        <v>147</v>
      </c>
      <c r="AE12" s="99">
        <v>12141.97</v>
      </c>
      <c r="AF12" s="98" t="s">
        <v>146</v>
      </c>
      <c r="AG12" s="99">
        <v>13599007</v>
      </c>
      <c r="AH12" s="98"/>
      <c r="AI12" s="99">
        <v>13599007</v>
      </c>
    </row>
    <row r="13" spans="1:35">
      <c r="A13" s="100"/>
      <c r="B13" s="100" t="s">
        <v>149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1">
        <v>12141.97</v>
      </c>
      <c r="AF13" s="100" t="s">
        <v>146</v>
      </c>
      <c r="AG13" s="101">
        <v>13599007</v>
      </c>
      <c r="AH13" s="100"/>
      <c r="AI13" s="101">
        <v>13599007</v>
      </c>
    </row>
    <row r="14" spans="1:35">
      <c r="A14" s="97">
        <v>3</v>
      </c>
      <c r="B14" s="98" t="s">
        <v>750</v>
      </c>
      <c r="C14" s="98" t="s">
        <v>751</v>
      </c>
      <c r="D14" s="98" t="s">
        <v>752</v>
      </c>
      <c r="E14" s="98" t="s">
        <v>863</v>
      </c>
      <c r="F14" s="98" t="s">
        <v>751</v>
      </c>
      <c r="G14" s="98" t="s">
        <v>864</v>
      </c>
      <c r="H14" s="98" t="s">
        <v>746</v>
      </c>
      <c r="I14" s="98" t="s">
        <v>865</v>
      </c>
      <c r="J14" s="97">
        <v>1005002452</v>
      </c>
      <c r="K14" s="98" t="s">
        <v>9</v>
      </c>
      <c r="L14" s="98" t="s">
        <v>906</v>
      </c>
      <c r="M14" s="97">
        <v>1001027044</v>
      </c>
      <c r="N14" s="97">
        <v>1004027044</v>
      </c>
      <c r="O14" s="98" t="s">
        <v>144</v>
      </c>
      <c r="P14" s="98" t="s">
        <v>145</v>
      </c>
      <c r="Q14" s="98" t="s">
        <v>867</v>
      </c>
      <c r="R14" s="98" t="s">
        <v>184</v>
      </c>
      <c r="S14" s="98" t="s">
        <v>609</v>
      </c>
      <c r="T14" s="98" t="s">
        <v>148</v>
      </c>
      <c r="U14" s="127">
        <v>508070</v>
      </c>
      <c r="V14" s="98" t="s">
        <v>146</v>
      </c>
      <c r="W14" s="99">
        <v>507370</v>
      </c>
      <c r="X14" s="98" t="s">
        <v>146</v>
      </c>
      <c r="Y14" s="97">
        <v>5.38</v>
      </c>
      <c r="Z14" s="97">
        <v>0.33</v>
      </c>
      <c r="AA14" s="97">
        <v>0</v>
      </c>
      <c r="AB14" s="97">
        <v>0</v>
      </c>
      <c r="AC14" s="98" t="s">
        <v>724</v>
      </c>
      <c r="AD14" s="98" t="s">
        <v>147</v>
      </c>
      <c r="AE14" s="99">
        <v>507370</v>
      </c>
      <c r="AF14" s="98" t="s">
        <v>146</v>
      </c>
      <c r="AG14" s="99">
        <v>56380000</v>
      </c>
      <c r="AH14" s="98"/>
      <c r="AI14" s="99">
        <v>56380000</v>
      </c>
    </row>
    <row r="15" spans="1:35">
      <c r="A15" s="98"/>
      <c r="B15" s="98"/>
      <c r="C15" s="98"/>
      <c r="D15" s="98"/>
      <c r="E15" s="98" t="s">
        <v>863</v>
      </c>
      <c r="F15" s="87" t="s">
        <v>751</v>
      </c>
      <c r="G15" s="98"/>
      <c r="H15" s="98" t="s">
        <v>746</v>
      </c>
      <c r="I15" s="98" t="s">
        <v>865</v>
      </c>
      <c r="J15" s="97">
        <v>1005002485</v>
      </c>
      <c r="K15" s="98" t="s">
        <v>906</v>
      </c>
      <c r="L15" s="98" t="s">
        <v>907</v>
      </c>
      <c r="M15" s="97">
        <v>1001027092</v>
      </c>
      <c r="N15" s="97">
        <v>1004027092</v>
      </c>
      <c r="O15" s="98" t="s">
        <v>144</v>
      </c>
      <c r="P15" s="98" t="s">
        <v>145</v>
      </c>
      <c r="Q15" s="98" t="s">
        <v>867</v>
      </c>
      <c r="R15" s="98" t="s">
        <v>184</v>
      </c>
      <c r="S15" s="98" t="s">
        <v>609</v>
      </c>
      <c r="T15" s="98" t="s">
        <v>148</v>
      </c>
      <c r="U15" s="127">
        <v>500430</v>
      </c>
      <c r="V15" s="98" t="s">
        <v>146</v>
      </c>
      <c r="W15" s="99">
        <v>499150</v>
      </c>
      <c r="X15" s="98" t="s">
        <v>146</v>
      </c>
      <c r="Y15" s="97">
        <v>5.22</v>
      </c>
      <c r="Z15" s="97">
        <v>0.32</v>
      </c>
      <c r="AA15" s="97">
        <v>0</v>
      </c>
      <c r="AB15" s="97">
        <v>0</v>
      </c>
      <c r="AC15" s="98" t="s">
        <v>724</v>
      </c>
      <c r="AD15" s="98" t="s">
        <v>147</v>
      </c>
      <c r="AE15" s="99">
        <v>80890</v>
      </c>
      <c r="AF15" s="98" t="s">
        <v>146</v>
      </c>
      <c r="AG15" s="99">
        <v>8089000</v>
      </c>
      <c r="AH15" s="98"/>
      <c r="AI15" s="99">
        <v>8089000</v>
      </c>
    </row>
    <row r="16" spans="1:35">
      <c r="A16" s="100"/>
      <c r="B16" s="100" t="s">
        <v>149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1">
        <v>588260</v>
      </c>
      <c r="AF16" s="100" t="s">
        <v>146</v>
      </c>
      <c r="AG16" s="101">
        <v>64469000</v>
      </c>
      <c r="AH16" s="100"/>
      <c r="AI16" s="101">
        <v>64469000</v>
      </c>
    </row>
    <row r="17" spans="1:35">
      <c r="A17" s="97">
        <v>4</v>
      </c>
      <c r="B17" s="98" t="s">
        <v>908</v>
      </c>
      <c r="C17" s="98" t="s">
        <v>547</v>
      </c>
      <c r="D17" s="98" t="s">
        <v>909</v>
      </c>
      <c r="E17" s="98" t="s">
        <v>863</v>
      </c>
      <c r="F17" s="98" t="s">
        <v>547</v>
      </c>
      <c r="G17" s="98" t="s">
        <v>864</v>
      </c>
      <c r="H17" s="98" t="s">
        <v>745</v>
      </c>
      <c r="I17" s="98" t="s">
        <v>896</v>
      </c>
      <c r="J17" s="97">
        <v>9085000263</v>
      </c>
      <c r="K17" s="98" t="s">
        <v>80</v>
      </c>
      <c r="L17" s="98" t="s">
        <v>907</v>
      </c>
      <c r="M17" s="97">
        <v>9081001446</v>
      </c>
      <c r="N17" s="97">
        <v>9084101446</v>
      </c>
      <c r="O17" s="98" t="s">
        <v>178</v>
      </c>
      <c r="P17" s="98" t="s">
        <v>179</v>
      </c>
      <c r="Q17" s="98" t="s">
        <v>868</v>
      </c>
      <c r="R17" s="98" t="s">
        <v>171</v>
      </c>
      <c r="S17" s="98" t="s">
        <v>609</v>
      </c>
      <c r="T17" s="98" t="s">
        <v>160</v>
      </c>
      <c r="U17" s="98"/>
      <c r="V17" s="98" t="s">
        <v>146</v>
      </c>
      <c r="W17" s="99">
        <v>150010</v>
      </c>
      <c r="X17" s="98" t="s">
        <v>146</v>
      </c>
      <c r="Y17" s="97">
        <v>0</v>
      </c>
      <c r="Z17" s="97">
        <v>20.3</v>
      </c>
      <c r="AA17" s="97">
        <v>0.69</v>
      </c>
      <c r="AB17" s="97">
        <v>0</v>
      </c>
      <c r="AC17" s="98" t="s">
        <v>724</v>
      </c>
      <c r="AD17" s="98" t="s">
        <v>147</v>
      </c>
      <c r="AE17" s="97">
        <v>85.59</v>
      </c>
      <c r="AF17" s="98" t="s">
        <v>146</v>
      </c>
      <c r="AG17" s="99">
        <v>106988</v>
      </c>
      <c r="AH17" s="99">
        <v>11768.68</v>
      </c>
      <c r="AI17" s="99">
        <v>118756.68</v>
      </c>
    </row>
    <row r="18" spans="1:35">
      <c r="A18" s="100"/>
      <c r="B18" s="100" t="s">
        <v>149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10">
        <v>85.59</v>
      </c>
      <c r="AF18" s="100" t="s">
        <v>146</v>
      </c>
      <c r="AG18" s="101">
        <v>106988</v>
      </c>
      <c r="AH18" s="101">
        <v>11768.68</v>
      </c>
      <c r="AI18" s="101">
        <v>118756.68</v>
      </c>
    </row>
    <row r="19" spans="1:35">
      <c r="A19" s="97">
        <v>5</v>
      </c>
      <c r="B19" s="98" t="s">
        <v>764</v>
      </c>
      <c r="C19" s="98" t="s">
        <v>556</v>
      </c>
      <c r="D19" s="98" t="s">
        <v>765</v>
      </c>
      <c r="E19" s="98" t="s">
        <v>863</v>
      </c>
      <c r="F19" s="98" t="s">
        <v>556</v>
      </c>
      <c r="G19" s="98" t="s">
        <v>864</v>
      </c>
      <c r="H19" s="98" t="s">
        <v>746</v>
      </c>
      <c r="I19" s="98" t="s">
        <v>865</v>
      </c>
      <c r="J19" s="97">
        <v>9145000203</v>
      </c>
      <c r="K19" s="98" t="s">
        <v>6</v>
      </c>
      <c r="L19" s="98" t="s">
        <v>906</v>
      </c>
      <c r="M19" s="97">
        <v>9141001818</v>
      </c>
      <c r="N19" s="97">
        <v>9144101818</v>
      </c>
      <c r="O19" s="98" t="s">
        <v>144</v>
      </c>
      <c r="P19" s="98" t="s">
        <v>145</v>
      </c>
      <c r="Q19" s="98" t="s">
        <v>867</v>
      </c>
      <c r="R19" s="98" t="s">
        <v>184</v>
      </c>
      <c r="S19" s="98" t="s">
        <v>609</v>
      </c>
      <c r="T19" s="98" t="s">
        <v>162</v>
      </c>
      <c r="U19" s="127">
        <v>595690</v>
      </c>
      <c r="V19" s="98" t="s">
        <v>146</v>
      </c>
      <c r="W19" s="99">
        <v>595690</v>
      </c>
      <c r="X19" s="98" t="s">
        <v>146</v>
      </c>
      <c r="Y19" s="97">
        <v>5.68</v>
      </c>
      <c r="Z19" s="97">
        <v>0.27</v>
      </c>
      <c r="AA19" s="97">
        <v>0</v>
      </c>
      <c r="AB19" s="97">
        <v>0</v>
      </c>
      <c r="AC19" s="98" t="s">
        <v>724</v>
      </c>
      <c r="AD19" s="98" t="s">
        <v>147</v>
      </c>
      <c r="AE19" s="99">
        <v>476180</v>
      </c>
      <c r="AF19" s="98" t="s">
        <v>146</v>
      </c>
      <c r="AG19" s="99">
        <v>83484000</v>
      </c>
      <c r="AH19" s="99">
        <v>9183240</v>
      </c>
      <c r="AI19" s="99">
        <v>92667240</v>
      </c>
    </row>
    <row r="20" spans="1:35">
      <c r="A20" s="100"/>
      <c r="B20" s="100" t="s">
        <v>149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1">
        <v>476180</v>
      </c>
      <c r="AF20" s="100" t="s">
        <v>146</v>
      </c>
      <c r="AG20" s="101">
        <v>83484000</v>
      </c>
      <c r="AH20" s="101">
        <v>9183240</v>
      </c>
      <c r="AI20" s="101">
        <v>92667240</v>
      </c>
    </row>
    <row r="21" spans="1:35">
      <c r="A21" s="97">
        <v>6</v>
      </c>
      <c r="B21" s="98" t="s">
        <v>329</v>
      </c>
      <c r="C21" s="98" t="s">
        <v>330</v>
      </c>
      <c r="D21" s="98" t="s">
        <v>331</v>
      </c>
      <c r="E21" s="98" t="s">
        <v>863</v>
      </c>
      <c r="F21" s="98" t="s">
        <v>330</v>
      </c>
      <c r="G21" s="98" t="s">
        <v>864</v>
      </c>
      <c r="H21" s="98" t="s">
        <v>745</v>
      </c>
      <c r="I21" s="98" t="s">
        <v>896</v>
      </c>
      <c r="J21" s="97">
        <v>9085000238</v>
      </c>
      <c r="K21" s="98" t="s">
        <v>88</v>
      </c>
      <c r="L21" s="98" t="s">
        <v>903</v>
      </c>
      <c r="M21" s="97">
        <v>9081001528</v>
      </c>
      <c r="N21" s="97">
        <v>9084101528</v>
      </c>
      <c r="O21" s="98" t="s">
        <v>296</v>
      </c>
      <c r="P21" s="98" t="s">
        <v>297</v>
      </c>
      <c r="Q21" s="98" t="s">
        <v>897</v>
      </c>
      <c r="R21" s="98" t="s">
        <v>171</v>
      </c>
      <c r="S21" s="98" t="s">
        <v>609</v>
      </c>
      <c r="T21" s="98" t="s">
        <v>160</v>
      </c>
      <c r="U21" s="98"/>
      <c r="V21" s="98" t="s">
        <v>146</v>
      </c>
      <c r="W21" s="99">
        <v>700000</v>
      </c>
      <c r="X21" s="98" t="s">
        <v>146</v>
      </c>
      <c r="Y21" s="97">
        <v>35.25</v>
      </c>
      <c r="Z21" s="97">
        <v>1.71</v>
      </c>
      <c r="AA21" s="97">
        <v>0</v>
      </c>
      <c r="AB21" s="97">
        <v>0</v>
      </c>
      <c r="AC21" s="98" t="s">
        <v>724</v>
      </c>
      <c r="AD21" s="98" t="s">
        <v>147</v>
      </c>
      <c r="AE21" s="99">
        <v>28220</v>
      </c>
      <c r="AF21" s="98" t="s">
        <v>146</v>
      </c>
      <c r="AG21" s="99">
        <v>2822000</v>
      </c>
      <c r="AH21" s="99">
        <v>310420</v>
      </c>
      <c r="AI21" s="99">
        <v>3132420</v>
      </c>
    </row>
    <row r="22" spans="1:35">
      <c r="A22" s="98"/>
      <c r="B22" s="98"/>
      <c r="C22" s="98"/>
      <c r="D22" s="98"/>
      <c r="E22" s="98" t="s">
        <v>863</v>
      </c>
      <c r="F22" s="87" t="s">
        <v>330</v>
      </c>
      <c r="G22" s="98"/>
      <c r="H22" s="98" t="s">
        <v>745</v>
      </c>
      <c r="I22" s="98" t="s">
        <v>896</v>
      </c>
      <c r="J22" s="97">
        <v>9085000239</v>
      </c>
      <c r="K22" s="98" t="s">
        <v>88</v>
      </c>
      <c r="L22" s="98" t="s">
        <v>903</v>
      </c>
      <c r="M22" s="97">
        <v>9081001528</v>
      </c>
      <c r="N22" s="97">
        <v>9084101528</v>
      </c>
      <c r="O22" s="98" t="s">
        <v>296</v>
      </c>
      <c r="P22" s="98" t="s">
        <v>297</v>
      </c>
      <c r="Q22" s="98" t="s">
        <v>897</v>
      </c>
      <c r="R22" s="98" t="s">
        <v>171</v>
      </c>
      <c r="S22" s="98" t="s">
        <v>609</v>
      </c>
      <c r="T22" s="98" t="s">
        <v>160</v>
      </c>
      <c r="U22" s="98"/>
      <c r="V22" s="98" t="s">
        <v>146</v>
      </c>
      <c r="W22" s="99">
        <v>700000</v>
      </c>
      <c r="X22" s="98" t="s">
        <v>146</v>
      </c>
      <c r="Y22" s="97">
        <v>33.53</v>
      </c>
      <c r="Z22" s="97">
        <v>1.82</v>
      </c>
      <c r="AA22" s="97">
        <v>0</v>
      </c>
      <c r="AB22" s="97">
        <v>0</v>
      </c>
      <c r="AC22" s="98" t="s">
        <v>724</v>
      </c>
      <c r="AD22" s="98" t="s">
        <v>147</v>
      </c>
      <c r="AE22" s="97">
        <v>184.17</v>
      </c>
      <c r="AF22" s="98" t="s">
        <v>146</v>
      </c>
      <c r="AG22" s="99">
        <v>2320542</v>
      </c>
      <c r="AH22" s="99">
        <v>255259.62</v>
      </c>
      <c r="AI22" s="99">
        <v>2575801.62</v>
      </c>
    </row>
    <row r="23" spans="1:35">
      <c r="A23" s="98"/>
      <c r="B23" s="98"/>
      <c r="C23" s="98"/>
      <c r="D23" s="98"/>
      <c r="E23" s="98" t="s">
        <v>863</v>
      </c>
      <c r="F23" s="87" t="s">
        <v>330</v>
      </c>
      <c r="G23" s="98"/>
      <c r="H23" s="98" t="s">
        <v>745</v>
      </c>
      <c r="I23" s="98" t="s">
        <v>896</v>
      </c>
      <c r="J23" s="97">
        <v>9085000255</v>
      </c>
      <c r="K23" s="98" t="s">
        <v>51</v>
      </c>
      <c r="L23" s="98" t="s">
        <v>903</v>
      </c>
      <c r="M23" s="97">
        <v>9081001547</v>
      </c>
      <c r="N23" s="97">
        <v>9084101547</v>
      </c>
      <c r="O23" s="98" t="s">
        <v>296</v>
      </c>
      <c r="P23" s="98" t="s">
        <v>297</v>
      </c>
      <c r="Q23" s="98" t="s">
        <v>897</v>
      </c>
      <c r="R23" s="98" t="s">
        <v>171</v>
      </c>
      <c r="S23" s="98" t="s">
        <v>609</v>
      </c>
      <c r="T23" s="98" t="s">
        <v>160</v>
      </c>
      <c r="U23" s="98"/>
      <c r="V23" s="98" t="s">
        <v>146</v>
      </c>
      <c r="W23" s="99">
        <v>999570</v>
      </c>
      <c r="X23" s="98" t="s">
        <v>146</v>
      </c>
      <c r="Y23" s="97">
        <v>36.85</v>
      </c>
      <c r="Z23" s="97">
        <v>1.38</v>
      </c>
      <c r="AA23" s="97">
        <v>0</v>
      </c>
      <c r="AB23" s="97">
        <v>0</v>
      </c>
      <c r="AC23" s="98" t="s">
        <v>724</v>
      </c>
      <c r="AD23" s="98" t="s">
        <v>147</v>
      </c>
      <c r="AE23" s="99">
        <v>120120</v>
      </c>
      <c r="AF23" s="98" t="s">
        <v>146</v>
      </c>
      <c r="AG23" s="99">
        <v>26890000</v>
      </c>
      <c r="AH23" s="99">
        <v>2957900</v>
      </c>
      <c r="AI23" s="99">
        <v>29847900</v>
      </c>
    </row>
    <row r="24" spans="1:35">
      <c r="A24" s="98"/>
      <c r="B24" s="98"/>
      <c r="C24" s="98"/>
      <c r="D24" s="98"/>
      <c r="E24" s="98" t="s">
        <v>863</v>
      </c>
      <c r="F24" s="87" t="s">
        <v>330</v>
      </c>
      <c r="G24" s="98"/>
      <c r="H24" s="98" t="s">
        <v>745</v>
      </c>
      <c r="I24" s="98" t="s">
        <v>896</v>
      </c>
      <c r="J24" s="97">
        <v>9085000256</v>
      </c>
      <c r="K24" s="98" t="s">
        <v>51</v>
      </c>
      <c r="L24" s="98" t="s">
        <v>903</v>
      </c>
      <c r="M24" s="97">
        <v>9081001547</v>
      </c>
      <c r="N24" s="97">
        <v>9084101547</v>
      </c>
      <c r="O24" s="98" t="s">
        <v>296</v>
      </c>
      <c r="P24" s="98" t="s">
        <v>297</v>
      </c>
      <c r="Q24" s="98" t="s">
        <v>897</v>
      </c>
      <c r="R24" s="98" t="s">
        <v>171</v>
      </c>
      <c r="S24" s="98" t="s">
        <v>609</v>
      </c>
      <c r="T24" s="98" t="s">
        <v>160</v>
      </c>
      <c r="U24" s="98"/>
      <c r="V24" s="98" t="s">
        <v>146</v>
      </c>
      <c r="W24" s="99">
        <v>999570</v>
      </c>
      <c r="X24" s="98" t="s">
        <v>146</v>
      </c>
      <c r="Y24" s="97">
        <v>33.43</v>
      </c>
      <c r="Z24" s="97">
        <v>1.65</v>
      </c>
      <c r="AA24" s="97">
        <v>0</v>
      </c>
      <c r="AB24" s="97">
        <v>0</v>
      </c>
      <c r="AC24" s="98" t="s">
        <v>724</v>
      </c>
      <c r="AD24" s="98" t="s">
        <v>147</v>
      </c>
      <c r="AE24" s="97">
        <v>80.63</v>
      </c>
      <c r="AF24" s="98" t="s">
        <v>146</v>
      </c>
      <c r="AG24" s="99">
        <v>1028033</v>
      </c>
      <c r="AH24" s="99">
        <v>113083.63</v>
      </c>
      <c r="AI24" s="99">
        <v>1141116.6299999999</v>
      </c>
    </row>
    <row r="25" spans="1:35">
      <c r="A25" s="98"/>
      <c r="B25" s="98"/>
      <c r="C25" s="98"/>
      <c r="D25" s="98"/>
      <c r="E25" s="98" t="s">
        <v>863</v>
      </c>
      <c r="F25" s="87" t="s">
        <v>330</v>
      </c>
      <c r="G25" s="98"/>
      <c r="H25" s="98" t="s">
        <v>745</v>
      </c>
      <c r="I25" s="98" t="s">
        <v>896</v>
      </c>
      <c r="J25" s="97">
        <v>9085000252</v>
      </c>
      <c r="K25" s="98" t="s">
        <v>787</v>
      </c>
      <c r="L25" s="98" t="s">
        <v>903</v>
      </c>
      <c r="M25" s="97">
        <v>9081001548</v>
      </c>
      <c r="N25" s="97">
        <v>9084101548</v>
      </c>
      <c r="O25" s="98" t="s">
        <v>334</v>
      </c>
      <c r="P25" s="98" t="s">
        <v>297</v>
      </c>
      <c r="Q25" s="98" t="s">
        <v>870</v>
      </c>
      <c r="R25" s="98" t="s">
        <v>171</v>
      </c>
      <c r="S25" s="98" t="s">
        <v>609</v>
      </c>
      <c r="T25" s="98" t="s">
        <v>160</v>
      </c>
      <c r="U25" s="98"/>
      <c r="V25" s="98" t="s">
        <v>146</v>
      </c>
      <c r="W25" s="99">
        <v>399190</v>
      </c>
      <c r="X25" s="98" t="s">
        <v>146</v>
      </c>
      <c r="Y25" s="97">
        <v>39.299999999999997</v>
      </c>
      <c r="Z25" s="97">
        <v>1.49</v>
      </c>
      <c r="AA25" s="97">
        <v>0</v>
      </c>
      <c r="AB25" s="97">
        <v>0</v>
      </c>
      <c r="AC25" s="98" t="s">
        <v>724</v>
      </c>
      <c r="AD25" s="98" t="s">
        <v>147</v>
      </c>
      <c r="AE25" s="99">
        <v>169660</v>
      </c>
      <c r="AF25" s="98" t="s">
        <v>146</v>
      </c>
      <c r="AG25" s="99">
        <v>81919000</v>
      </c>
      <c r="AH25" s="99">
        <v>9011090</v>
      </c>
      <c r="AI25" s="99">
        <v>90930090</v>
      </c>
    </row>
    <row r="26" spans="1:35">
      <c r="A26" s="98"/>
      <c r="B26" s="98"/>
      <c r="C26" s="98"/>
      <c r="D26" s="98"/>
      <c r="E26" s="98" t="s">
        <v>863</v>
      </c>
      <c r="F26" s="87" t="s">
        <v>330</v>
      </c>
      <c r="G26" s="98"/>
      <c r="H26" s="98" t="s">
        <v>745</v>
      </c>
      <c r="I26" s="98" t="s">
        <v>896</v>
      </c>
      <c r="J26" s="97">
        <v>9085000253</v>
      </c>
      <c r="K26" s="98" t="s">
        <v>787</v>
      </c>
      <c r="L26" s="98" t="s">
        <v>903</v>
      </c>
      <c r="M26" s="97">
        <v>9081001548</v>
      </c>
      <c r="N26" s="97">
        <v>9084101548</v>
      </c>
      <c r="O26" s="98" t="s">
        <v>334</v>
      </c>
      <c r="P26" s="98" t="s">
        <v>297</v>
      </c>
      <c r="Q26" s="98" t="s">
        <v>870</v>
      </c>
      <c r="R26" s="98" t="s">
        <v>171</v>
      </c>
      <c r="S26" s="98" t="s">
        <v>609</v>
      </c>
      <c r="T26" s="98" t="s">
        <v>160</v>
      </c>
      <c r="U26" s="98"/>
      <c r="V26" s="98" t="s">
        <v>146</v>
      </c>
      <c r="W26" s="99">
        <v>399190</v>
      </c>
      <c r="X26" s="98" t="s">
        <v>146</v>
      </c>
      <c r="Y26" s="97">
        <v>39.549999999999997</v>
      </c>
      <c r="Z26" s="97">
        <v>2.0099999999999998</v>
      </c>
      <c r="AA26" s="97">
        <v>0</v>
      </c>
      <c r="AB26" s="97">
        <v>0</v>
      </c>
      <c r="AC26" s="98" t="s">
        <v>724</v>
      </c>
      <c r="AD26" s="98" t="s">
        <v>147</v>
      </c>
      <c r="AE26" s="97">
        <v>108.85</v>
      </c>
      <c r="AF26" s="98" t="s">
        <v>146</v>
      </c>
      <c r="AG26" s="99">
        <v>1387838</v>
      </c>
      <c r="AH26" s="99">
        <v>152662.18</v>
      </c>
      <c r="AI26" s="99">
        <v>1540500.18</v>
      </c>
    </row>
    <row r="27" spans="1:35">
      <c r="A27" s="98"/>
      <c r="B27" s="98"/>
      <c r="C27" s="98"/>
      <c r="D27" s="98"/>
      <c r="E27" s="98" t="s">
        <v>863</v>
      </c>
      <c r="F27" s="87" t="s">
        <v>330</v>
      </c>
      <c r="G27" s="98"/>
      <c r="H27" s="98" t="s">
        <v>745</v>
      </c>
      <c r="I27" s="98" t="s">
        <v>896</v>
      </c>
      <c r="J27" s="97">
        <v>9085000257</v>
      </c>
      <c r="K27" s="98" t="s">
        <v>51</v>
      </c>
      <c r="L27" s="98" t="s">
        <v>903</v>
      </c>
      <c r="M27" s="97">
        <v>9081001552</v>
      </c>
      <c r="N27" s="97">
        <v>9084101552</v>
      </c>
      <c r="O27" s="98" t="s">
        <v>296</v>
      </c>
      <c r="P27" s="98" t="s">
        <v>297</v>
      </c>
      <c r="Q27" s="98" t="s">
        <v>897</v>
      </c>
      <c r="R27" s="98" t="s">
        <v>171</v>
      </c>
      <c r="S27" s="98" t="s">
        <v>609</v>
      </c>
      <c r="T27" s="98" t="s">
        <v>160</v>
      </c>
      <c r="U27" s="98"/>
      <c r="V27" s="98" t="s">
        <v>146</v>
      </c>
      <c r="W27" s="99">
        <v>200000</v>
      </c>
      <c r="X27" s="98" t="s">
        <v>146</v>
      </c>
      <c r="Y27" s="97">
        <v>36.65</v>
      </c>
      <c r="Z27" s="97">
        <v>1.31</v>
      </c>
      <c r="AA27" s="97">
        <v>0</v>
      </c>
      <c r="AB27" s="97">
        <v>0</v>
      </c>
      <c r="AC27" s="98" t="s">
        <v>724</v>
      </c>
      <c r="AD27" s="98" t="s">
        <v>147</v>
      </c>
      <c r="AE27" s="99">
        <v>41670</v>
      </c>
      <c r="AF27" s="98" t="s">
        <v>146</v>
      </c>
      <c r="AG27" s="99">
        <v>8359000</v>
      </c>
      <c r="AH27" s="99">
        <v>919490</v>
      </c>
      <c r="AI27" s="99">
        <v>9278490</v>
      </c>
    </row>
    <row r="28" spans="1:35">
      <c r="A28" s="98"/>
      <c r="B28" s="98"/>
      <c r="C28" s="98"/>
      <c r="D28" s="98"/>
      <c r="E28" s="98" t="s">
        <v>863</v>
      </c>
      <c r="F28" s="87" t="s">
        <v>330</v>
      </c>
      <c r="G28" s="98"/>
      <c r="H28" s="98" t="s">
        <v>745</v>
      </c>
      <c r="I28" s="98" t="s">
        <v>896</v>
      </c>
      <c r="J28" s="97">
        <v>9085000262</v>
      </c>
      <c r="K28" s="98" t="s">
        <v>10</v>
      </c>
      <c r="L28" s="98" t="s">
        <v>903</v>
      </c>
      <c r="M28" s="97">
        <v>9081001553</v>
      </c>
      <c r="N28" s="97">
        <v>9084101553</v>
      </c>
      <c r="O28" s="98" t="s">
        <v>334</v>
      </c>
      <c r="P28" s="98" t="s">
        <v>297</v>
      </c>
      <c r="Q28" s="98" t="s">
        <v>870</v>
      </c>
      <c r="R28" s="98" t="s">
        <v>171</v>
      </c>
      <c r="S28" s="98" t="s">
        <v>609</v>
      </c>
      <c r="T28" s="98" t="s">
        <v>160</v>
      </c>
      <c r="U28" s="98"/>
      <c r="V28" s="98" t="s">
        <v>146</v>
      </c>
      <c r="W28" s="99">
        <v>208090</v>
      </c>
      <c r="X28" s="98" t="s">
        <v>146</v>
      </c>
      <c r="Y28" s="97">
        <v>33.51</v>
      </c>
      <c r="Z28" s="97">
        <v>1.74</v>
      </c>
      <c r="AA28" s="97">
        <v>0</v>
      </c>
      <c r="AB28" s="97">
        <v>0</v>
      </c>
      <c r="AC28" s="98" t="s">
        <v>724</v>
      </c>
      <c r="AD28" s="98" t="s">
        <v>147</v>
      </c>
      <c r="AE28" s="97">
        <v>59.69</v>
      </c>
      <c r="AF28" s="98" t="s">
        <v>146</v>
      </c>
      <c r="AG28" s="99">
        <v>752094</v>
      </c>
      <c r="AH28" s="99">
        <v>82730.34</v>
      </c>
      <c r="AI28" s="99">
        <v>834824.34</v>
      </c>
    </row>
    <row r="29" spans="1:35">
      <c r="A29" s="98"/>
      <c r="B29" s="98"/>
      <c r="C29" s="98"/>
      <c r="D29" s="98"/>
      <c r="E29" s="98" t="s">
        <v>863</v>
      </c>
      <c r="F29" s="87" t="s">
        <v>330</v>
      </c>
      <c r="G29" s="98"/>
      <c r="H29" s="98" t="s">
        <v>745</v>
      </c>
      <c r="I29" s="98" t="s">
        <v>896</v>
      </c>
      <c r="J29" s="97">
        <v>9145000190</v>
      </c>
      <c r="K29" s="98" t="s">
        <v>42</v>
      </c>
      <c r="L29" s="98" t="s">
        <v>903</v>
      </c>
      <c r="M29" s="97">
        <v>9141001787</v>
      </c>
      <c r="N29" s="97">
        <v>9144101787</v>
      </c>
      <c r="O29" s="98" t="s">
        <v>296</v>
      </c>
      <c r="P29" s="98" t="s">
        <v>297</v>
      </c>
      <c r="Q29" s="98" t="s">
        <v>897</v>
      </c>
      <c r="R29" s="98" t="s">
        <v>171</v>
      </c>
      <c r="S29" s="98" t="s">
        <v>609</v>
      </c>
      <c r="T29" s="98" t="s">
        <v>162</v>
      </c>
      <c r="U29" s="98"/>
      <c r="V29" s="98" t="s">
        <v>146</v>
      </c>
      <c r="W29" s="99">
        <v>1390630</v>
      </c>
      <c r="X29" s="98" t="s">
        <v>146</v>
      </c>
      <c r="Y29" s="97">
        <v>35.799999999999997</v>
      </c>
      <c r="Z29" s="97">
        <v>1.31</v>
      </c>
      <c r="AA29" s="97">
        <v>0</v>
      </c>
      <c r="AB29" s="97">
        <v>0</v>
      </c>
      <c r="AC29" s="98" t="s">
        <v>724</v>
      </c>
      <c r="AD29" s="98" t="s">
        <v>147</v>
      </c>
      <c r="AE29" s="99">
        <v>84490</v>
      </c>
      <c r="AF29" s="98" t="s">
        <v>146</v>
      </c>
      <c r="AG29" s="99">
        <v>11290000</v>
      </c>
      <c r="AH29" s="99">
        <v>1241900</v>
      </c>
      <c r="AI29" s="99">
        <v>12531900</v>
      </c>
    </row>
    <row r="30" spans="1:35">
      <c r="A30" s="98"/>
      <c r="B30" s="98"/>
      <c r="C30" s="98"/>
      <c r="D30" s="98"/>
      <c r="E30" s="98" t="s">
        <v>863</v>
      </c>
      <c r="F30" s="87" t="s">
        <v>330</v>
      </c>
      <c r="G30" s="98"/>
      <c r="H30" s="98" t="s">
        <v>745</v>
      </c>
      <c r="I30" s="98" t="s">
        <v>896</v>
      </c>
      <c r="J30" s="97">
        <v>9145000191</v>
      </c>
      <c r="K30" s="98" t="s">
        <v>42</v>
      </c>
      <c r="L30" s="98" t="s">
        <v>903</v>
      </c>
      <c r="M30" s="97">
        <v>9141001787</v>
      </c>
      <c r="N30" s="97">
        <v>9144101787</v>
      </c>
      <c r="O30" s="98" t="s">
        <v>296</v>
      </c>
      <c r="P30" s="98" t="s">
        <v>297</v>
      </c>
      <c r="Q30" s="98" t="s">
        <v>897</v>
      </c>
      <c r="R30" s="98" t="s">
        <v>171</v>
      </c>
      <c r="S30" s="98" t="s">
        <v>609</v>
      </c>
      <c r="T30" s="98" t="s">
        <v>162</v>
      </c>
      <c r="U30" s="98"/>
      <c r="V30" s="98" t="s">
        <v>146</v>
      </c>
      <c r="W30" s="99">
        <v>1390630</v>
      </c>
      <c r="X30" s="98" t="s">
        <v>146</v>
      </c>
      <c r="Y30" s="97">
        <v>30.38</v>
      </c>
      <c r="Z30" s="97">
        <v>1.8</v>
      </c>
      <c r="AA30" s="97">
        <v>0</v>
      </c>
      <c r="AB30" s="97">
        <v>0</v>
      </c>
      <c r="AC30" s="98" t="s">
        <v>724</v>
      </c>
      <c r="AD30" s="98" t="s">
        <v>147</v>
      </c>
      <c r="AE30" s="97">
        <v>188.78</v>
      </c>
      <c r="AF30" s="98" t="s">
        <v>146</v>
      </c>
      <c r="AG30" s="99">
        <v>2359750</v>
      </c>
      <c r="AH30" s="99">
        <v>259572.5</v>
      </c>
      <c r="AI30" s="99">
        <v>2619322.5</v>
      </c>
    </row>
    <row r="31" spans="1:35">
      <c r="A31" s="100"/>
      <c r="B31" s="100" t="s">
        <v>149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1">
        <v>444782.12</v>
      </c>
      <c r="AF31" s="100" t="s">
        <v>146</v>
      </c>
      <c r="AG31" s="101">
        <v>139128257</v>
      </c>
      <c r="AH31" s="101">
        <v>15304108.27</v>
      </c>
      <c r="AI31" s="101">
        <v>154432365.27000001</v>
      </c>
    </row>
    <row r="32" spans="1:35">
      <c r="A32" s="97">
        <v>7</v>
      </c>
      <c r="B32" s="98" t="s">
        <v>776</v>
      </c>
      <c r="C32" s="98" t="s">
        <v>777</v>
      </c>
      <c r="D32" s="98" t="s">
        <v>778</v>
      </c>
      <c r="E32" s="98" t="s">
        <v>863</v>
      </c>
      <c r="F32" s="98" t="s">
        <v>777</v>
      </c>
      <c r="G32" s="98" t="s">
        <v>864</v>
      </c>
      <c r="H32" s="98" t="s">
        <v>745</v>
      </c>
      <c r="I32" s="98" t="s">
        <v>896</v>
      </c>
      <c r="J32" s="97">
        <v>1005002467</v>
      </c>
      <c r="K32" s="98" t="s">
        <v>28</v>
      </c>
      <c r="L32" s="98" t="s">
        <v>907</v>
      </c>
      <c r="M32" s="97">
        <v>1001028088</v>
      </c>
      <c r="N32" s="97">
        <v>1004028088</v>
      </c>
      <c r="O32" s="98" t="s">
        <v>178</v>
      </c>
      <c r="P32" s="98" t="s">
        <v>179</v>
      </c>
      <c r="Q32" s="98" t="s">
        <v>868</v>
      </c>
      <c r="R32" s="98" t="s">
        <v>171</v>
      </c>
      <c r="S32" s="98" t="s">
        <v>609</v>
      </c>
      <c r="T32" s="98" t="s">
        <v>148</v>
      </c>
      <c r="U32" s="127">
        <v>502020</v>
      </c>
      <c r="V32" s="98" t="s">
        <v>146</v>
      </c>
      <c r="W32" s="99">
        <v>500000</v>
      </c>
      <c r="X32" s="98" t="s">
        <v>146</v>
      </c>
      <c r="Y32" s="97">
        <v>0</v>
      </c>
      <c r="Z32" s="97">
        <v>20.6</v>
      </c>
      <c r="AA32" s="97">
        <v>0.83</v>
      </c>
      <c r="AB32" s="97">
        <v>0</v>
      </c>
      <c r="AC32" s="98" t="s">
        <v>724</v>
      </c>
      <c r="AD32" s="98" t="s">
        <v>147</v>
      </c>
      <c r="AE32" s="99">
        <v>2965.2</v>
      </c>
      <c r="AF32" s="98" t="s">
        <v>146</v>
      </c>
      <c r="AG32" s="99">
        <v>2816943</v>
      </c>
      <c r="AH32" s="98"/>
      <c r="AI32" s="99">
        <v>2816943</v>
      </c>
    </row>
    <row r="33" spans="1:35">
      <c r="A33" s="98"/>
      <c r="B33" s="98"/>
      <c r="C33" s="98"/>
      <c r="D33" s="98"/>
      <c r="E33" s="98" t="s">
        <v>863</v>
      </c>
      <c r="F33" s="87" t="s">
        <v>777</v>
      </c>
      <c r="G33" s="98"/>
      <c r="H33" s="98" t="s">
        <v>745</v>
      </c>
      <c r="I33" s="98" t="s">
        <v>896</v>
      </c>
      <c r="J33" s="97">
        <v>1005002503</v>
      </c>
      <c r="K33" s="98" t="s">
        <v>907</v>
      </c>
      <c r="L33" s="98" t="s">
        <v>907</v>
      </c>
      <c r="M33" s="97">
        <v>1001028130</v>
      </c>
      <c r="N33" s="97">
        <v>1004028130</v>
      </c>
      <c r="O33" s="98" t="s">
        <v>178</v>
      </c>
      <c r="P33" s="98" t="s">
        <v>179</v>
      </c>
      <c r="Q33" s="98" t="s">
        <v>868</v>
      </c>
      <c r="R33" s="98" t="s">
        <v>171</v>
      </c>
      <c r="S33" s="98" t="s">
        <v>609</v>
      </c>
      <c r="T33" s="98" t="s">
        <v>148</v>
      </c>
      <c r="U33" s="127">
        <v>502620</v>
      </c>
      <c r="V33" s="98" t="s">
        <v>146</v>
      </c>
      <c r="W33" s="99">
        <v>500000</v>
      </c>
      <c r="X33" s="98" t="s">
        <v>146</v>
      </c>
      <c r="Y33" s="97">
        <v>0</v>
      </c>
      <c r="Z33" s="97">
        <v>20.51</v>
      </c>
      <c r="AA33" s="97">
        <v>0.86</v>
      </c>
      <c r="AB33" s="97">
        <v>0</v>
      </c>
      <c r="AC33" s="98" t="s">
        <v>724</v>
      </c>
      <c r="AD33" s="98" t="s">
        <v>147</v>
      </c>
      <c r="AE33" s="99">
        <v>2131.59</v>
      </c>
      <c r="AF33" s="98" t="s">
        <v>146</v>
      </c>
      <c r="AG33" s="99">
        <v>2025012</v>
      </c>
      <c r="AH33" s="98"/>
      <c r="AI33" s="99">
        <v>2025012</v>
      </c>
    </row>
    <row r="34" spans="1:35">
      <c r="A34" s="100"/>
      <c r="B34" s="100" t="s">
        <v>149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1">
        <v>5096.79</v>
      </c>
      <c r="AF34" s="100" t="s">
        <v>146</v>
      </c>
      <c r="AG34" s="101">
        <v>4841955</v>
      </c>
      <c r="AH34" s="100"/>
      <c r="AI34" s="101">
        <v>4841955</v>
      </c>
    </row>
    <row r="35" spans="1:35">
      <c r="A35" s="97">
        <v>8</v>
      </c>
      <c r="B35" s="98" t="s">
        <v>779</v>
      </c>
      <c r="C35" s="98" t="s">
        <v>780</v>
      </c>
      <c r="D35" s="98" t="s">
        <v>781</v>
      </c>
      <c r="E35" s="98" t="s">
        <v>863</v>
      </c>
      <c r="F35" s="98" t="s">
        <v>780</v>
      </c>
      <c r="G35" s="98" t="s">
        <v>864</v>
      </c>
      <c r="H35" s="98" t="s">
        <v>726</v>
      </c>
      <c r="I35" s="98" t="s">
        <v>869</v>
      </c>
      <c r="J35" s="97">
        <v>1005002427</v>
      </c>
      <c r="K35" s="98" t="s">
        <v>11</v>
      </c>
      <c r="L35" s="98" t="s">
        <v>907</v>
      </c>
      <c r="M35" s="97">
        <v>1001027233</v>
      </c>
      <c r="N35" s="97">
        <v>1004027233</v>
      </c>
      <c r="O35" s="98" t="s">
        <v>351</v>
      </c>
      <c r="P35" s="98" t="s">
        <v>352</v>
      </c>
      <c r="Q35" s="98" t="s">
        <v>866</v>
      </c>
      <c r="R35" s="98" t="s">
        <v>184</v>
      </c>
      <c r="S35" s="98" t="s">
        <v>609</v>
      </c>
      <c r="T35" s="98" t="s">
        <v>148</v>
      </c>
      <c r="U35" s="127">
        <v>1002080</v>
      </c>
      <c r="V35" s="98" t="s">
        <v>146</v>
      </c>
      <c r="W35" s="99">
        <v>977410</v>
      </c>
      <c r="X35" s="98" t="s">
        <v>146</v>
      </c>
      <c r="Y35" s="97">
        <v>4.3099999999999996</v>
      </c>
      <c r="Z35" s="97">
        <v>6.76</v>
      </c>
      <c r="AA35" s="97">
        <v>6.51</v>
      </c>
      <c r="AB35" s="97">
        <v>0</v>
      </c>
      <c r="AC35" s="98" t="s">
        <v>724</v>
      </c>
      <c r="AD35" s="98" t="s">
        <v>147</v>
      </c>
      <c r="AE35" s="97">
        <v>684.19</v>
      </c>
      <c r="AF35" s="98" t="s">
        <v>146</v>
      </c>
      <c r="AG35" s="99">
        <v>7611614</v>
      </c>
      <c r="AH35" s="98"/>
      <c r="AI35" s="99">
        <v>7611614</v>
      </c>
    </row>
    <row r="36" spans="1:35">
      <c r="A36" s="100"/>
      <c r="B36" s="100" t="s">
        <v>149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10">
        <v>684.19</v>
      </c>
      <c r="AF36" s="100" t="s">
        <v>146</v>
      </c>
      <c r="AG36" s="101">
        <v>7611614</v>
      </c>
      <c r="AH36" s="100"/>
      <c r="AI36" s="101">
        <v>7611614</v>
      </c>
    </row>
    <row r="37" spans="1:35">
      <c r="A37" s="97">
        <v>9</v>
      </c>
      <c r="B37" s="98" t="s">
        <v>784</v>
      </c>
      <c r="C37" s="98" t="s">
        <v>785</v>
      </c>
      <c r="D37" s="98" t="s">
        <v>786</v>
      </c>
      <c r="E37" s="98" t="s">
        <v>863</v>
      </c>
      <c r="F37" s="98" t="s">
        <v>785</v>
      </c>
      <c r="G37" s="98" t="s">
        <v>864</v>
      </c>
      <c r="H37" s="98" t="s">
        <v>726</v>
      </c>
      <c r="I37" s="98" t="s">
        <v>885</v>
      </c>
      <c r="J37" s="97">
        <v>1005002372</v>
      </c>
      <c r="K37" s="98" t="s">
        <v>60</v>
      </c>
      <c r="L37" s="98" t="s">
        <v>906</v>
      </c>
      <c r="M37" s="97">
        <v>1001026919</v>
      </c>
      <c r="N37" s="97">
        <v>1004026919</v>
      </c>
      <c r="O37" s="98" t="s">
        <v>351</v>
      </c>
      <c r="P37" s="98" t="s">
        <v>352</v>
      </c>
      <c r="Q37" s="98" t="s">
        <v>866</v>
      </c>
      <c r="R37" s="98" t="s">
        <v>142</v>
      </c>
      <c r="S37" s="98" t="s">
        <v>609</v>
      </c>
      <c r="T37" s="98" t="s">
        <v>148</v>
      </c>
      <c r="U37" s="127">
        <v>402830</v>
      </c>
      <c r="V37" s="98" t="s">
        <v>146</v>
      </c>
      <c r="W37" s="99">
        <v>403020</v>
      </c>
      <c r="X37" s="98" t="s">
        <v>146</v>
      </c>
      <c r="Y37" s="97">
        <v>5.98</v>
      </c>
      <c r="Z37" s="97">
        <v>7.14</v>
      </c>
      <c r="AA37" s="97">
        <v>9</v>
      </c>
      <c r="AB37" s="97">
        <v>0</v>
      </c>
      <c r="AC37" s="98" t="s">
        <v>724</v>
      </c>
      <c r="AD37" s="98" t="s">
        <v>147</v>
      </c>
      <c r="AE37" s="99">
        <v>1984.12</v>
      </c>
      <c r="AF37" s="98" t="s">
        <v>146</v>
      </c>
      <c r="AG37" s="99">
        <v>22222144</v>
      </c>
      <c r="AH37" s="98"/>
      <c r="AI37" s="99">
        <v>22222144</v>
      </c>
    </row>
    <row r="38" spans="1:35">
      <c r="A38" s="98"/>
      <c r="B38" s="98"/>
      <c r="C38" s="98"/>
      <c r="D38" s="98"/>
      <c r="E38" s="98" t="s">
        <v>863</v>
      </c>
      <c r="F38" s="87" t="s">
        <v>785</v>
      </c>
      <c r="G38" s="98"/>
      <c r="H38" s="98" t="s">
        <v>726</v>
      </c>
      <c r="I38" s="98" t="s">
        <v>885</v>
      </c>
      <c r="J38" s="97">
        <v>1005002373</v>
      </c>
      <c r="K38" s="98" t="s">
        <v>60</v>
      </c>
      <c r="L38" s="98" t="s">
        <v>906</v>
      </c>
      <c r="M38" s="97">
        <v>1001026919</v>
      </c>
      <c r="N38" s="97">
        <v>1004026919</v>
      </c>
      <c r="O38" s="98" t="s">
        <v>351</v>
      </c>
      <c r="P38" s="98" t="s">
        <v>352</v>
      </c>
      <c r="Q38" s="98" t="s">
        <v>866</v>
      </c>
      <c r="R38" s="98" t="s">
        <v>142</v>
      </c>
      <c r="S38" s="98" t="s">
        <v>609</v>
      </c>
      <c r="T38" s="98" t="s">
        <v>148</v>
      </c>
      <c r="U38" s="127">
        <v>402830</v>
      </c>
      <c r="V38" s="98" t="s">
        <v>146</v>
      </c>
      <c r="W38" s="99">
        <v>403020</v>
      </c>
      <c r="X38" s="98" t="s">
        <v>146</v>
      </c>
      <c r="Y38" s="97">
        <v>6.01</v>
      </c>
      <c r="Z38" s="97">
        <v>7.04</v>
      </c>
      <c r="AA38" s="97">
        <v>8.4</v>
      </c>
      <c r="AB38" s="97">
        <v>0</v>
      </c>
      <c r="AC38" s="98" t="s">
        <v>724</v>
      </c>
      <c r="AD38" s="98" t="s">
        <v>147</v>
      </c>
      <c r="AE38" s="99">
        <v>3872.59</v>
      </c>
      <c r="AF38" s="98" t="s">
        <v>146</v>
      </c>
      <c r="AG38" s="99">
        <v>43373008</v>
      </c>
      <c r="AH38" s="98"/>
      <c r="AI38" s="99">
        <v>43373008</v>
      </c>
    </row>
    <row r="39" spans="1:35">
      <c r="A39" s="100"/>
      <c r="B39" s="100" t="s">
        <v>149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1">
        <v>5856.71</v>
      </c>
      <c r="AF39" s="100" t="s">
        <v>146</v>
      </c>
      <c r="AG39" s="101">
        <v>65595152</v>
      </c>
      <c r="AH39" s="100"/>
      <c r="AI39" s="101">
        <v>65595152</v>
      </c>
    </row>
    <row r="40" spans="1:35">
      <c r="A40" s="97">
        <v>10</v>
      </c>
      <c r="B40" s="98" t="s">
        <v>395</v>
      </c>
      <c r="C40" s="98" t="s">
        <v>396</v>
      </c>
      <c r="D40" s="98" t="s">
        <v>397</v>
      </c>
      <c r="E40" s="98" t="s">
        <v>863</v>
      </c>
      <c r="F40" s="98" t="s">
        <v>396</v>
      </c>
      <c r="G40" s="98" t="s">
        <v>864</v>
      </c>
      <c r="H40" s="98" t="s">
        <v>732</v>
      </c>
      <c r="I40" s="98" t="s">
        <v>896</v>
      </c>
      <c r="J40" s="97">
        <v>1005002469</v>
      </c>
      <c r="K40" s="98" t="s">
        <v>28</v>
      </c>
      <c r="L40" s="98" t="s">
        <v>907</v>
      </c>
      <c r="M40" s="97">
        <v>1001027869</v>
      </c>
      <c r="N40" s="97">
        <v>1004027869</v>
      </c>
      <c r="O40" s="98" t="s">
        <v>178</v>
      </c>
      <c r="P40" s="98" t="s">
        <v>179</v>
      </c>
      <c r="Q40" s="98" t="s">
        <v>868</v>
      </c>
      <c r="R40" s="98" t="s">
        <v>171</v>
      </c>
      <c r="S40" s="98" t="s">
        <v>609</v>
      </c>
      <c r="T40" s="98" t="s">
        <v>148</v>
      </c>
      <c r="U40" s="127">
        <v>1004040</v>
      </c>
      <c r="V40" s="98" t="s">
        <v>146</v>
      </c>
      <c r="W40" s="99">
        <v>1000000</v>
      </c>
      <c r="X40" s="98" t="s">
        <v>146</v>
      </c>
      <c r="Y40" s="97">
        <v>0</v>
      </c>
      <c r="Z40" s="97">
        <v>20.58</v>
      </c>
      <c r="AA40" s="97">
        <v>0.92</v>
      </c>
      <c r="AB40" s="97">
        <v>0</v>
      </c>
      <c r="AC40" s="98" t="s">
        <v>724</v>
      </c>
      <c r="AD40" s="98" t="s">
        <v>147</v>
      </c>
      <c r="AE40" s="99">
        <v>4717.0200000000004</v>
      </c>
      <c r="AF40" s="98" t="s">
        <v>146</v>
      </c>
      <c r="AG40" s="99">
        <v>4481170</v>
      </c>
      <c r="AH40" s="98"/>
      <c r="AI40" s="99">
        <v>4481170</v>
      </c>
    </row>
    <row r="41" spans="1:35">
      <c r="A41" s="100"/>
      <c r="B41" s="100" t="s">
        <v>149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1">
        <v>4717.0200000000004</v>
      </c>
      <c r="AF41" s="100" t="s">
        <v>146</v>
      </c>
      <c r="AG41" s="101">
        <v>4481170</v>
      </c>
      <c r="AH41" s="100"/>
      <c r="AI41" s="101">
        <v>4481170</v>
      </c>
    </row>
    <row r="42" spans="1:35">
      <c r="A42" s="97">
        <v>11</v>
      </c>
      <c r="B42" s="98" t="s">
        <v>399</v>
      </c>
      <c r="C42" s="98" t="s">
        <v>400</v>
      </c>
      <c r="D42" s="98" t="s">
        <v>401</v>
      </c>
      <c r="E42" s="98" t="s">
        <v>863</v>
      </c>
      <c r="F42" s="98" t="s">
        <v>400</v>
      </c>
      <c r="G42" s="98" t="s">
        <v>864</v>
      </c>
      <c r="H42" s="98" t="s">
        <v>759</v>
      </c>
      <c r="I42" s="98" t="s">
        <v>900</v>
      </c>
      <c r="J42" s="97">
        <v>1005002453</v>
      </c>
      <c r="K42" s="98" t="s">
        <v>9</v>
      </c>
      <c r="L42" s="98" t="s">
        <v>907</v>
      </c>
      <c r="M42" s="97">
        <v>1001027569</v>
      </c>
      <c r="N42" s="97">
        <v>1004027569</v>
      </c>
      <c r="O42" s="98" t="s">
        <v>144</v>
      </c>
      <c r="P42" s="98" t="s">
        <v>145</v>
      </c>
      <c r="Q42" s="98" t="s">
        <v>867</v>
      </c>
      <c r="R42" s="98" t="s">
        <v>253</v>
      </c>
      <c r="S42" s="98" t="s">
        <v>609</v>
      </c>
      <c r="T42" s="98" t="s">
        <v>148</v>
      </c>
      <c r="U42" s="127">
        <v>504190</v>
      </c>
      <c r="V42" s="98" t="s">
        <v>146</v>
      </c>
      <c r="W42" s="99">
        <v>504190</v>
      </c>
      <c r="X42" s="98" t="s">
        <v>146</v>
      </c>
      <c r="Y42" s="97">
        <v>3.3</v>
      </c>
      <c r="Z42" s="97">
        <v>0.53</v>
      </c>
      <c r="AA42" s="97">
        <v>0</v>
      </c>
      <c r="AB42" s="97">
        <v>2.2000000000000002</v>
      </c>
      <c r="AC42" s="98" t="s">
        <v>724</v>
      </c>
      <c r="AD42" s="98" t="s">
        <v>147</v>
      </c>
      <c r="AE42" s="97">
        <v>26.06</v>
      </c>
      <c r="AF42" s="98" t="s">
        <v>146</v>
      </c>
      <c r="AG42" s="99">
        <v>398405</v>
      </c>
      <c r="AH42" s="99">
        <v>43824.55</v>
      </c>
      <c r="AI42" s="99">
        <v>442229.55</v>
      </c>
    </row>
    <row r="43" spans="1:35">
      <c r="A43" s="100"/>
      <c r="B43" s="100" t="s">
        <v>149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10">
        <v>26.06</v>
      </c>
      <c r="AF43" s="100" t="s">
        <v>146</v>
      </c>
      <c r="AG43" s="101">
        <v>398405</v>
      </c>
      <c r="AH43" s="101">
        <v>43824.55</v>
      </c>
      <c r="AI43" s="101">
        <v>442229.55</v>
      </c>
    </row>
    <row r="44" spans="1:35">
      <c r="A44" s="97">
        <v>12</v>
      </c>
      <c r="B44" s="98" t="s">
        <v>794</v>
      </c>
      <c r="C44" s="98" t="s">
        <v>795</v>
      </c>
      <c r="D44" s="98" t="s">
        <v>796</v>
      </c>
      <c r="E44" s="98" t="s">
        <v>863</v>
      </c>
      <c r="F44" s="98" t="s">
        <v>795</v>
      </c>
      <c r="G44" s="98" t="s">
        <v>864</v>
      </c>
      <c r="H44" s="98" t="s">
        <v>735</v>
      </c>
      <c r="I44" s="98" t="s">
        <v>885</v>
      </c>
      <c r="J44" s="97">
        <v>9145000214</v>
      </c>
      <c r="K44" s="98" t="s">
        <v>910</v>
      </c>
      <c r="L44" s="98" t="s">
        <v>907</v>
      </c>
      <c r="M44" s="97">
        <v>9141001788</v>
      </c>
      <c r="N44" s="97">
        <v>9144101788</v>
      </c>
      <c r="O44" s="98" t="s">
        <v>296</v>
      </c>
      <c r="P44" s="98" t="s">
        <v>297</v>
      </c>
      <c r="Q44" s="98" t="s">
        <v>897</v>
      </c>
      <c r="R44" s="98" t="s">
        <v>142</v>
      </c>
      <c r="S44" s="98" t="s">
        <v>609</v>
      </c>
      <c r="T44" s="98" t="s">
        <v>162</v>
      </c>
      <c r="U44" s="98"/>
      <c r="V44" s="98" t="s">
        <v>146</v>
      </c>
      <c r="W44" s="99">
        <v>1288524</v>
      </c>
      <c r="X44" s="98" t="s">
        <v>146</v>
      </c>
      <c r="Y44" s="97">
        <v>12.81</v>
      </c>
      <c r="Z44" s="97">
        <v>0.59</v>
      </c>
      <c r="AA44" s="97">
        <v>0</v>
      </c>
      <c r="AB44" s="97">
        <v>0</v>
      </c>
      <c r="AC44" s="98" t="s">
        <v>724</v>
      </c>
      <c r="AD44" s="98" t="s">
        <v>147</v>
      </c>
      <c r="AE44" s="99">
        <v>11596.71</v>
      </c>
      <c r="AF44" s="98" t="s">
        <v>146</v>
      </c>
      <c r="AG44" s="99">
        <v>153099766</v>
      </c>
      <c r="AH44" s="99">
        <v>16840974.260000002</v>
      </c>
      <c r="AI44" s="99">
        <v>169940740.25999999</v>
      </c>
    </row>
    <row r="45" spans="1:35">
      <c r="A45" s="98"/>
      <c r="B45" s="98"/>
      <c r="C45" s="98"/>
      <c r="D45" s="98"/>
      <c r="E45" s="98" t="s">
        <v>863</v>
      </c>
      <c r="F45" s="87" t="s">
        <v>795</v>
      </c>
      <c r="G45" s="98"/>
      <c r="H45" s="98" t="s">
        <v>735</v>
      </c>
      <c r="I45" s="98" t="s">
        <v>885</v>
      </c>
      <c r="J45" s="97">
        <v>9145000213</v>
      </c>
      <c r="K45" s="98" t="s">
        <v>910</v>
      </c>
      <c r="L45" s="98" t="s">
        <v>907</v>
      </c>
      <c r="M45" s="97">
        <v>9141001798</v>
      </c>
      <c r="N45" s="97">
        <v>9144101798</v>
      </c>
      <c r="O45" s="98" t="s">
        <v>296</v>
      </c>
      <c r="P45" s="98" t="s">
        <v>297</v>
      </c>
      <c r="Q45" s="98" t="s">
        <v>897</v>
      </c>
      <c r="R45" s="98" t="s">
        <v>142</v>
      </c>
      <c r="S45" s="98" t="s">
        <v>609</v>
      </c>
      <c r="T45" s="98" t="s">
        <v>162</v>
      </c>
      <c r="U45" s="98"/>
      <c r="V45" s="98" t="s">
        <v>146</v>
      </c>
      <c r="W45" s="99">
        <v>498846</v>
      </c>
      <c r="X45" s="98" t="s">
        <v>146</v>
      </c>
      <c r="Y45" s="97">
        <v>12.81</v>
      </c>
      <c r="Z45" s="97">
        <v>0.59</v>
      </c>
      <c r="AA45" s="97">
        <v>0</v>
      </c>
      <c r="AB45" s="97">
        <v>0</v>
      </c>
      <c r="AC45" s="98" t="s">
        <v>724</v>
      </c>
      <c r="AD45" s="98" t="s">
        <v>147</v>
      </c>
      <c r="AE45" s="99">
        <v>4489.6099999999997</v>
      </c>
      <c r="AF45" s="98" t="s">
        <v>146</v>
      </c>
      <c r="AG45" s="99">
        <v>60672590</v>
      </c>
      <c r="AH45" s="99">
        <v>6673984.9000000004</v>
      </c>
      <c r="AI45" s="99">
        <v>67346574.900000006</v>
      </c>
    </row>
    <row r="46" spans="1:35">
      <c r="A46" s="100"/>
      <c r="B46" s="100" t="s">
        <v>149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1">
        <v>16086.32</v>
      </c>
      <c r="AF46" s="100" t="s">
        <v>146</v>
      </c>
      <c r="AG46" s="101">
        <v>213772356</v>
      </c>
      <c r="AH46" s="101">
        <v>23514959.16</v>
      </c>
      <c r="AI46" s="101">
        <v>237287315.16</v>
      </c>
    </row>
    <row r="47" spans="1:35">
      <c r="A47" s="97">
        <v>13</v>
      </c>
      <c r="B47" s="98" t="s">
        <v>820</v>
      </c>
      <c r="C47" s="98" t="s">
        <v>821</v>
      </c>
      <c r="D47" s="98" t="s">
        <v>822</v>
      </c>
      <c r="E47" s="98" t="s">
        <v>863</v>
      </c>
      <c r="F47" s="98" t="s">
        <v>821</v>
      </c>
      <c r="G47" s="98" t="s">
        <v>864</v>
      </c>
      <c r="H47" s="98" t="s">
        <v>732</v>
      </c>
      <c r="I47" s="98" t="s">
        <v>896</v>
      </c>
      <c r="J47" s="97">
        <v>1005002375</v>
      </c>
      <c r="K47" s="98" t="s">
        <v>31</v>
      </c>
      <c r="L47" s="98" t="s">
        <v>906</v>
      </c>
      <c r="M47" s="97">
        <v>1001027029</v>
      </c>
      <c r="N47" s="97">
        <v>1004027029</v>
      </c>
      <c r="O47" s="98" t="s">
        <v>178</v>
      </c>
      <c r="P47" s="98" t="s">
        <v>179</v>
      </c>
      <c r="Q47" s="98" t="s">
        <v>868</v>
      </c>
      <c r="R47" s="98" t="s">
        <v>171</v>
      </c>
      <c r="S47" s="98" t="s">
        <v>609</v>
      </c>
      <c r="T47" s="98" t="s">
        <v>148</v>
      </c>
      <c r="U47" s="127">
        <v>2012930</v>
      </c>
      <c r="V47" s="98" t="s">
        <v>146</v>
      </c>
      <c r="W47" s="99">
        <v>2000000</v>
      </c>
      <c r="X47" s="98" t="s">
        <v>146</v>
      </c>
      <c r="Y47" s="97">
        <v>0</v>
      </c>
      <c r="Z47" s="97">
        <v>20.8</v>
      </c>
      <c r="AA47" s="97">
        <v>0.87</v>
      </c>
      <c r="AB47" s="97">
        <v>0</v>
      </c>
      <c r="AC47" s="98" t="s">
        <v>724</v>
      </c>
      <c r="AD47" s="98" t="s">
        <v>147</v>
      </c>
      <c r="AE47" s="99">
        <v>14139.22</v>
      </c>
      <c r="AF47" s="98" t="s">
        <v>146</v>
      </c>
      <c r="AG47" s="99">
        <v>14280613</v>
      </c>
      <c r="AH47" s="98"/>
      <c r="AI47" s="99">
        <v>14280613</v>
      </c>
    </row>
    <row r="48" spans="1:35">
      <c r="A48" s="98"/>
      <c r="B48" s="98"/>
      <c r="C48" s="98"/>
      <c r="D48" s="98"/>
      <c r="E48" s="98" t="s">
        <v>863</v>
      </c>
      <c r="F48" s="87" t="s">
        <v>821</v>
      </c>
      <c r="G48" s="98"/>
      <c r="H48" s="98" t="s">
        <v>732</v>
      </c>
      <c r="I48" s="98" t="s">
        <v>896</v>
      </c>
      <c r="J48" s="97">
        <v>1005002437</v>
      </c>
      <c r="K48" s="98" t="s">
        <v>6</v>
      </c>
      <c r="L48" s="98" t="s">
        <v>910</v>
      </c>
      <c r="M48" s="97">
        <v>1001027333</v>
      </c>
      <c r="N48" s="97">
        <v>1004027333</v>
      </c>
      <c r="O48" s="98" t="s">
        <v>178</v>
      </c>
      <c r="P48" s="98" t="s">
        <v>179</v>
      </c>
      <c r="Q48" s="98" t="s">
        <v>868</v>
      </c>
      <c r="R48" s="98" t="s">
        <v>171</v>
      </c>
      <c r="S48" s="98" t="s">
        <v>609</v>
      </c>
      <c r="T48" s="98" t="s">
        <v>148</v>
      </c>
      <c r="U48" s="127">
        <v>749200</v>
      </c>
      <c r="V48" s="98" t="s">
        <v>146</v>
      </c>
      <c r="W48" s="99">
        <v>745550</v>
      </c>
      <c r="X48" s="98" t="s">
        <v>146</v>
      </c>
      <c r="Y48" s="97">
        <v>0</v>
      </c>
      <c r="Z48" s="97">
        <v>20.76</v>
      </c>
      <c r="AA48" s="97">
        <v>0.85</v>
      </c>
      <c r="AB48" s="97">
        <v>0</v>
      </c>
      <c r="AC48" s="98" t="s">
        <v>724</v>
      </c>
      <c r="AD48" s="98" t="s">
        <v>147</v>
      </c>
      <c r="AE48" s="99">
        <v>5646.26</v>
      </c>
      <c r="AF48" s="98" t="s">
        <v>146</v>
      </c>
      <c r="AG48" s="99">
        <v>7001360</v>
      </c>
      <c r="AH48" s="98"/>
      <c r="AI48" s="99">
        <v>7001360</v>
      </c>
    </row>
    <row r="49" spans="1:35">
      <c r="A49" s="98"/>
      <c r="B49" s="98"/>
      <c r="C49" s="98"/>
      <c r="D49" s="98"/>
      <c r="E49" s="98" t="s">
        <v>863</v>
      </c>
      <c r="F49" s="87" t="s">
        <v>821</v>
      </c>
      <c r="G49" s="98"/>
      <c r="H49" s="98" t="s">
        <v>732</v>
      </c>
      <c r="I49" s="98" t="s">
        <v>896</v>
      </c>
      <c r="J49" s="97">
        <v>1005002462</v>
      </c>
      <c r="K49" s="98" t="s">
        <v>28</v>
      </c>
      <c r="L49" s="98" t="s">
        <v>910</v>
      </c>
      <c r="M49" s="97">
        <v>1001027836</v>
      </c>
      <c r="N49" s="97">
        <v>1004027836</v>
      </c>
      <c r="O49" s="98" t="s">
        <v>178</v>
      </c>
      <c r="P49" s="98" t="s">
        <v>179</v>
      </c>
      <c r="Q49" s="98" t="s">
        <v>868</v>
      </c>
      <c r="R49" s="98" t="s">
        <v>171</v>
      </c>
      <c r="S49" s="98" t="s">
        <v>609</v>
      </c>
      <c r="T49" s="98" t="s">
        <v>148</v>
      </c>
      <c r="U49" s="127">
        <v>1003830</v>
      </c>
      <c r="V49" s="98" t="s">
        <v>146</v>
      </c>
      <c r="W49" s="99">
        <v>1000000</v>
      </c>
      <c r="X49" s="98" t="s">
        <v>146</v>
      </c>
      <c r="Y49" s="97">
        <v>0</v>
      </c>
      <c r="Z49" s="97">
        <v>20.74</v>
      </c>
      <c r="AA49" s="97">
        <v>0.83</v>
      </c>
      <c r="AB49" s="97">
        <v>0</v>
      </c>
      <c r="AC49" s="98" t="s">
        <v>724</v>
      </c>
      <c r="AD49" s="98" t="s">
        <v>147</v>
      </c>
      <c r="AE49" s="99">
        <v>7361.73</v>
      </c>
      <c r="AF49" s="98" t="s">
        <v>146</v>
      </c>
      <c r="AG49" s="99">
        <v>6993646</v>
      </c>
      <c r="AH49" s="98"/>
      <c r="AI49" s="99">
        <v>6993646</v>
      </c>
    </row>
    <row r="50" spans="1:35">
      <c r="A50" s="100"/>
      <c r="B50" s="100" t="s">
        <v>149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1">
        <v>27147.21</v>
      </c>
      <c r="AF50" s="100" t="s">
        <v>146</v>
      </c>
      <c r="AG50" s="101">
        <v>28275619</v>
      </c>
      <c r="AH50" s="100"/>
      <c r="AI50" s="101">
        <v>28275619</v>
      </c>
    </row>
    <row r="51" spans="1:35">
      <c r="A51" s="97">
        <v>14</v>
      </c>
      <c r="B51" s="98" t="s">
        <v>911</v>
      </c>
      <c r="C51" s="98" t="s">
        <v>912</v>
      </c>
      <c r="D51" s="98" t="s">
        <v>913</v>
      </c>
      <c r="E51" s="98" t="s">
        <v>863</v>
      </c>
      <c r="F51" s="98" t="s">
        <v>912</v>
      </c>
      <c r="G51" s="98" t="s">
        <v>864</v>
      </c>
      <c r="H51" s="98" t="s">
        <v>745</v>
      </c>
      <c r="I51" s="98" t="s">
        <v>896</v>
      </c>
      <c r="J51" s="97">
        <v>1005002463</v>
      </c>
      <c r="K51" s="98" t="s">
        <v>28</v>
      </c>
      <c r="L51" s="98" t="s">
        <v>903</v>
      </c>
      <c r="M51" s="97">
        <v>1001027357</v>
      </c>
      <c r="N51" s="97">
        <v>1004027357</v>
      </c>
      <c r="O51" s="98" t="s">
        <v>178</v>
      </c>
      <c r="P51" s="98" t="s">
        <v>179</v>
      </c>
      <c r="Q51" s="98" t="s">
        <v>868</v>
      </c>
      <c r="R51" s="98" t="s">
        <v>171</v>
      </c>
      <c r="S51" s="98" t="s">
        <v>609</v>
      </c>
      <c r="T51" s="98" t="s">
        <v>148</v>
      </c>
      <c r="U51" s="127">
        <v>200000</v>
      </c>
      <c r="V51" s="98" t="s">
        <v>146</v>
      </c>
      <c r="W51" s="99">
        <v>199980</v>
      </c>
      <c r="X51" s="98" t="s">
        <v>146</v>
      </c>
      <c r="Y51" s="97">
        <v>0</v>
      </c>
      <c r="Z51" s="97">
        <v>20.6</v>
      </c>
      <c r="AA51" s="97">
        <v>0.82</v>
      </c>
      <c r="AB51" s="97">
        <v>0</v>
      </c>
      <c r="AC51" s="98" t="s">
        <v>724</v>
      </c>
      <c r="AD51" s="98" t="s">
        <v>147</v>
      </c>
      <c r="AE51" s="97">
        <v>830.6</v>
      </c>
      <c r="AF51" s="98" t="s">
        <v>146</v>
      </c>
      <c r="AG51" s="99">
        <v>747540</v>
      </c>
      <c r="AH51" s="98"/>
      <c r="AI51" s="99">
        <v>747540</v>
      </c>
    </row>
    <row r="52" spans="1:35">
      <c r="A52" s="100"/>
      <c r="B52" s="100" t="s">
        <v>149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10">
        <v>830.6</v>
      </c>
      <c r="AF52" s="100" t="s">
        <v>146</v>
      </c>
      <c r="AG52" s="101">
        <v>747540</v>
      </c>
      <c r="AH52" s="100"/>
      <c r="AI52" s="101">
        <v>747540</v>
      </c>
    </row>
    <row r="53" spans="1:35">
      <c r="A53" s="97">
        <v>15</v>
      </c>
      <c r="B53" s="98" t="s">
        <v>499</v>
      </c>
      <c r="C53" s="98" t="s">
        <v>500</v>
      </c>
      <c r="D53" s="98" t="s">
        <v>501</v>
      </c>
      <c r="E53" s="98" t="s">
        <v>863</v>
      </c>
      <c r="F53" s="98" t="s">
        <v>500</v>
      </c>
      <c r="G53" s="98" t="s">
        <v>864</v>
      </c>
      <c r="H53" s="98" t="s">
        <v>732</v>
      </c>
      <c r="I53" s="98" t="s">
        <v>896</v>
      </c>
      <c r="J53" s="97">
        <v>1005002390</v>
      </c>
      <c r="K53" s="98" t="s">
        <v>90</v>
      </c>
      <c r="L53" s="98" t="s">
        <v>907</v>
      </c>
      <c r="M53" s="97">
        <v>1001027440</v>
      </c>
      <c r="N53" s="97">
        <v>1004027440</v>
      </c>
      <c r="O53" s="98" t="s">
        <v>178</v>
      </c>
      <c r="P53" s="98" t="s">
        <v>179</v>
      </c>
      <c r="Q53" s="98" t="s">
        <v>868</v>
      </c>
      <c r="R53" s="98" t="s">
        <v>171</v>
      </c>
      <c r="S53" s="98" t="s">
        <v>609</v>
      </c>
      <c r="T53" s="98" t="s">
        <v>148</v>
      </c>
      <c r="U53" s="127">
        <v>500000</v>
      </c>
      <c r="V53" s="98" t="s">
        <v>146</v>
      </c>
      <c r="W53" s="99">
        <v>499010</v>
      </c>
      <c r="X53" s="98" t="s">
        <v>146</v>
      </c>
      <c r="Y53" s="97">
        <v>0</v>
      </c>
      <c r="Z53" s="97">
        <v>20.56</v>
      </c>
      <c r="AA53" s="97">
        <v>0.81</v>
      </c>
      <c r="AB53" s="97">
        <v>0</v>
      </c>
      <c r="AC53" s="98" t="s">
        <v>724</v>
      </c>
      <c r="AD53" s="98" t="s">
        <v>147</v>
      </c>
      <c r="AE53" s="99">
        <v>2630.37</v>
      </c>
      <c r="AF53" s="98" t="s">
        <v>146</v>
      </c>
      <c r="AG53" s="99">
        <v>2419941</v>
      </c>
      <c r="AH53" s="98"/>
      <c r="AI53" s="99">
        <v>2419941</v>
      </c>
    </row>
    <row r="54" spans="1:35">
      <c r="A54" s="100"/>
      <c r="B54" s="100" t="s">
        <v>149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1">
        <v>2630.37</v>
      </c>
      <c r="AF54" s="100" t="s">
        <v>146</v>
      </c>
      <c r="AG54" s="101">
        <v>2419941</v>
      </c>
      <c r="AH54" s="100"/>
      <c r="AI54" s="101">
        <v>2419941</v>
      </c>
    </row>
    <row r="55" spans="1:35">
      <c r="A55" s="97">
        <v>16</v>
      </c>
      <c r="B55" s="98" t="s">
        <v>526</v>
      </c>
      <c r="C55" s="98" t="s">
        <v>527</v>
      </c>
      <c r="D55" s="98" t="s">
        <v>501</v>
      </c>
      <c r="E55" s="98" t="s">
        <v>863</v>
      </c>
      <c r="F55" s="98" t="s">
        <v>527</v>
      </c>
      <c r="G55" s="98" t="s">
        <v>864</v>
      </c>
      <c r="H55" s="98" t="s">
        <v>745</v>
      </c>
      <c r="I55" s="98" t="s">
        <v>896</v>
      </c>
      <c r="J55" s="97">
        <v>1005002442</v>
      </c>
      <c r="K55" s="98" t="s">
        <v>6</v>
      </c>
      <c r="L55" s="98" t="s">
        <v>910</v>
      </c>
      <c r="M55" s="97">
        <v>1001027525</v>
      </c>
      <c r="N55" s="97">
        <v>1004027525</v>
      </c>
      <c r="O55" s="98" t="s">
        <v>178</v>
      </c>
      <c r="P55" s="98" t="s">
        <v>179</v>
      </c>
      <c r="Q55" s="98" t="s">
        <v>868</v>
      </c>
      <c r="R55" s="98" t="s">
        <v>171</v>
      </c>
      <c r="S55" s="98" t="s">
        <v>609</v>
      </c>
      <c r="T55" s="98" t="s">
        <v>148</v>
      </c>
      <c r="U55" s="127">
        <v>500000</v>
      </c>
      <c r="V55" s="98" t="s">
        <v>146</v>
      </c>
      <c r="W55" s="99">
        <v>498700</v>
      </c>
      <c r="X55" s="98" t="s">
        <v>146</v>
      </c>
      <c r="Y55" s="97">
        <v>0</v>
      </c>
      <c r="Z55" s="97">
        <v>20.65</v>
      </c>
      <c r="AA55" s="97">
        <v>0.84</v>
      </c>
      <c r="AB55" s="97">
        <v>0</v>
      </c>
      <c r="AC55" s="98" t="s">
        <v>724</v>
      </c>
      <c r="AD55" s="98" t="s">
        <v>147</v>
      </c>
      <c r="AE55" s="99">
        <v>2859.23</v>
      </c>
      <c r="AF55" s="98" t="s">
        <v>146</v>
      </c>
      <c r="AG55" s="99">
        <v>2630491</v>
      </c>
      <c r="AH55" s="98"/>
      <c r="AI55" s="99">
        <v>2630491</v>
      </c>
    </row>
    <row r="56" spans="1:35">
      <c r="A56" s="100"/>
      <c r="B56" s="100" t="s">
        <v>149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1">
        <v>2859.23</v>
      </c>
      <c r="AF56" s="100" t="s">
        <v>146</v>
      </c>
      <c r="AG56" s="101">
        <v>2630491</v>
      </c>
      <c r="AH56" s="100"/>
      <c r="AI56" s="101">
        <v>2630491</v>
      </c>
    </row>
    <row r="57" spans="1:35">
      <c r="A57" s="97">
        <v>17</v>
      </c>
      <c r="B57" s="98" t="s">
        <v>914</v>
      </c>
      <c r="C57" s="98" t="s">
        <v>548</v>
      </c>
      <c r="D57" s="98"/>
      <c r="E57" s="98" t="s">
        <v>863</v>
      </c>
      <c r="F57" s="98" t="s">
        <v>548</v>
      </c>
      <c r="G57" s="98" t="s">
        <v>864</v>
      </c>
      <c r="H57" s="98" t="s">
        <v>745</v>
      </c>
      <c r="I57" s="98" t="s">
        <v>896</v>
      </c>
      <c r="J57" s="97">
        <v>9085000265</v>
      </c>
      <c r="K57" s="98" t="s">
        <v>60</v>
      </c>
      <c r="L57" s="98" t="s">
        <v>907</v>
      </c>
      <c r="M57" s="97">
        <v>9081001415</v>
      </c>
      <c r="N57" s="97">
        <v>9084101415</v>
      </c>
      <c r="O57" s="98" t="s">
        <v>178</v>
      </c>
      <c r="P57" s="98" t="s">
        <v>179</v>
      </c>
      <c r="Q57" s="98" t="s">
        <v>868</v>
      </c>
      <c r="R57" s="98" t="s">
        <v>171</v>
      </c>
      <c r="S57" s="98" t="s">
        <v>609</v>
      </c>
      <c r="T57" s="98" t="s">
        <v>160</v>
      </c>
      <c r="U57" s="98"/>
      <c r="V57" s="98" t="s">
        <v>146</v>
      </c>
      <c r="W57" s="99">
        <v>299330</v>
      </c>
      <c r="X57" s="98" t="s">
        <v>146</v>
      </c>
      <c r="Y57" s="97">
        <v>0</v>
      </c>
      <c r="Z57" s="97">
        <v>20.56</v>
      </c>
      <c r="AA57" s="97">
        <v>0.84</v>
      </c>
      <c r="AB57" s="97">
        <v>0</v>
      </c>
      <c r="AC57" s="98" t="s">
        <v>724</v>
      </c>
      <c r="AD57" s="98" t="s">
        <v>147</v>
      </c>
      <c r="AE57" s="99">
        <v>1442.64</v>
      </c>
      <c r="AF57" s="98" t="s">
        <v>146</v>
      </c>
      <c r="AG57" s="99">
        <v>1846580</v>
      </c>
      <c r="AH57" s="99">
        <v>203123.8</v>
      </c>
      <c r="AI57" s="99">
        <v>2049703.8</v>
      </c>
    </row>
    <row r="58" spans="1:35">
      <c r="A58" s="100"/>
      <c r="B58" s="100" t="s">
        <v>149</v>
      </c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1">
        <v>1442.64</v>
      </c>
      <c r="AF58" s="100" t="s">
        <v>146</v>
      </c>
      <c r="AG58" s="101">
        <v>1846580</v>
      </c>
      <c r="AH58" s="101">
        <v>203123.8</v>
      </c>
      <c r="AI58" s="101">
        <v>2049703.8</v>
      </c>
    </row>
    <row r="59" spans="1:35">
      <c r="A59" s="97">
        <v>18</v>
      </c>
      <c r="B59" s="98" t="s">
        <v>543</v>
      </c>
      <c r="C59" s="98" t="s">
        <v>544</v>
      </c>
      <c r="D59" s="98" t="s">
        <v>535</v>
      </c>
      <c r="E59" s="98" t="s">
        <v>873</v>
      </c>
      <c r="F59" s="98" t="s">
        <v>544</v>
      </c>
      <c r="G59" s="98" t="s">
        <v>872</v>
      </c>
      <c r="H59" s="98" t="s">
        <v>844</v>
      </c>
      <c r="I59" s="98" t="s">
        <v>888</v>
      </c>
      <c r="J59" s="97">
        <v>1005002276</v>
      </c>
      <c r="K59" s="98" t="s">
        <v>43</v>
      </c>
      <c r="L59" s="98" t="s">
        <v>907</v>
      </c>
      <c r="M59" s="97">
        <v>1001023668</v>
      </c>
      <c r="N59" s="97">
        <v>1004023668</v>
      </c>
      <c r="O59" s="98" t="s">
        <v>144</v>
      </c>
      <c r="P59" s="98" t="s">
        <v>145</v>
      </c>
      <c r="Q59" s="98" t="s">
        <v>867</v>
      </c>
      <c r="R59" s="98" t="s">
        <v>142</v>
      </c>
      <c r="S59" s="98" t="s">
        <v>609</v>
      </c>
      <c r="T59" s="98" t="s">
        <v>148</v>
      </c>
      <c r="U59" s="98"/>
      <c r="V59" s="98" t="s">
        <v>146</v>
      </c>
      <c r="W59" s="99">
        <v>1350000</v>
      </c>
      <c r="X59" s="98" t="s">
        <v>146</v>
      </c>
      <c r="Y59" s="97">
        <v>5.86</v>
      </c>
      <c r="Z59" s="97">
        <v>0.33</v>
      </c>
      <c r="AA59" s="97">
        <v>0</v>
      </c>
      <c r="AB59" s="97">
        <v>0</v>
      </c>
      <c r="AC59" s="98" t="s">
        <v>724</v>
      </c>
      <c r="AD59" s="98" t="s">
        <v>147</v>
      </c>
      <c r="AE59" s="99">
        <v>1350000</v>
      </c>
      <c r="AF59" s="98" t="s">
        <v>146</v>
      </c>
      <c r="AG59" s="99">
        <v>295442000</v>
      </c>
      <c r="AH59" s="98"/>
      <c r="AI59" s="99">
        <v>295442000</v>
      </c>
    </row>
    <row r="60" spans="1:35">
      <c r="A60" s="100"/>
      <c r="B60" s="100" t="s">
        <v>149</v>
      </c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1">
        <v>1350000</v>
      </c>
      <c r="AF60" s="100" t="s">
        <v>146</v>
      </c>
      <c r="AG60" s="101">
        <v>295442000</v>
      </c>
      <c r="AH60" s="100"/>
      <c r="AI60" s="101">
        <v>295442000</v>
      </c>
    </row>
    <row r="61" spans="1:35">
      <c r="A61" s="97">
        <v>19</v>
      </c>
      <c r="B61" s="98" t="s">
        <v>545</v>
      </c>
      <c r="C61" s="98" t="s">
        <v>546</v>
      </c>
      <c r="D61" s="98" t="s">
        <v>535</v>
      </c>
      <c r="E61" s="98" t="s">
        <v>863</v>
      </c>
      <c r="F61" s="98" t="s">
        <v>330</v>
      </c>
      <c r="G61" s="98" t="s">
        <v>872</v>
      </c>
      <c r="H61" s="98" t="s">
        <v>745</v>
      </c>
      <c r="I61" s="98" t="s">
        <v>896</v>
      </c>
      <c r="J61" s="97">
        <v>1005002038</v>
      </c>
      <c r="K61" s="98" t="s">
        <v>88</v>
      </c>
      <c r="L61" s="98" t="s">
        <v>903</v>
      </c>
      <c r="M61" s="97">
        <v>1001026610</v>
      </c>
      <c r="N61" s="97">
        <v>1004026610</v>
      </c>
      <c r="O61" s="98" t="s">
        <v>296</v>
      </c>
      <c r="P61" s="98" t="s">
        <v>297</v>
      </c>
      <c r="Q61" s="98" t="s">
        <v>897</v>
      </c>
      <c r="R61" s="98" t="s">
        <v>171</v>
      </c>
      <c r="S61" s="98" t="s">
        <v>609</v>
      </c>
      <c r="T61" s="98" t="s">
        <v>148</v>
      </c>
      <c r="U61" s="127">
        <v>701450</v>
      </c>
      <c r="V61" s="98" t="s">
        <v>146</v>
      </c>
      <c r="W61" s="99">
        <v>700000</v>
      </c>
      <c r="X61" s="98" t="s">
        <v>146</v>
      </c>
      <c r="Y61" s="97">
        <v>35.25</v>
      </c>
      <c r="Z61" s="97">
        <v>1.71</v>
      </c>
      <c r="AA61" s="97">
        <v>0</v>
      </c>
      <c r="AB61" s="97">
        <v>0</v>
      </c>
      <c r="AC61" s="98" t="s">
        <v>724</v>
      </c>
      <c r="AD61" s="98" t="s">
        <v>147</v>
      </c>
      <c r="AE61" s="99">
        <v>28220</v>
      </c>
      <c r="AF61" s="98" t="s">
        <v>146</v>
      </c>
      <c r="AG61" s="99">
        <v>2822000</v>
      </c>
      <c r="AH61" s="98"/>
      <c r="AI61" s="99">
        <v>2822000</v>
      </c>
    </row>
    <row r="62" spans="1:35">
      <c r="A62" s="98"/>
      <c r="B62" s="98"/>
      <c r="C62" s="98"/>
      <c r="D62" s="98"/>
      <c r="E62" s="98" t="s">
        <v>863</v>
      </c>
      <c r="F62" s="87" t="s">
        <v>330</v>
      </c>
      <c r="G62" s="98"/>
      <c r="H62" s="98" t="s">
        <v>745</v>
      </c>
      <c r="I62" s="98" t="s">
        <v>896</v>
      </c>
      <c r="J62" s="97">
        <v>1005002039</v>
      </c>
      <c r="K62" s="98" t="s">
        <v>88</v>
      </c>
      <c r="L62" s="98" t="s">
        <v>903</v>
      </c>
      <c r="M62" s="97">
        <v>1001026610</v>
      </c>
      <c r="N62" s="97">
        <v>1004026610</v>
      </c>
      <c r="O62" s="98" t="s">
        <v>296</v>
      </c>
      <c r="P62" s="98" t="s">
        <v>297</v>
      </c>
      <c r="Q62" s="98" t="s">
        <v>897</v>
      </c>
      <c r="R62" s="98" t="s">
        <v>171</v>
      </c>
      <c r="S62" s="98" t="s">
        <v>609</v>
      </c>
      <c r="T62" s="98" t="s">
        <v>148</v>
      </c>
      <c r="U62" s="127">
        <v>701450</v>
      </c>
      <c r="V62" s="98" t="s">
        <v>146</v>
      </c>
      <c r="W62" s="99">
        <v>700000</v>
      </c>
      <c r="X62" s="98" t="s">
        <v>146</v>
      </c>
      <c r="Y62" s="97">
        <v>33.53</v>
      </c>
      <c r="Z62" s="97">
        <v>1.82</v>
      </c>
      <c r="AA62" s="97">
        <v>0</v>
      </c>
      <c r="AB62" s="97">
        <v>0</v>
      </c>
      <c r="AC62" s="98" t="s">
        <v>724</v>
      </c>
      <c r="AD62" s="98" t="s">
        <v>147</v>
      </c>
      <c r="AE62" s="97">
        <v>184.17</v>
      </c>
      <c r="AF62" s="98" t="s">
        <v>146</v>
      </c>
      <c r="AG62" s="99">
        <v>2322384</v>
      </c>
      <c r="AH62" s="98"/>
      <c r="AI62" s="99">
        <v>2322384</v>
      </c>
    </row>
    <row r="63" spans="1:35">
      <c r="A63" s="98"/>
      <c r="B63" s="98"/>
      <c r="C63" s="98"/>
      <c r="D63" s="98"/>
      <c r="E63" s="98" t="s">
        <v>863</v>
      </c>
      <c r="F63" s="87" t="s">
        <v>330</v>
      </c>
      <c r="G63" s="98"/>
      <c r="H63" s="98" t="s">
        <v>745</v>
      </c>
      <c r="I63" s="98" t="s">
        <v>896</v>
      </c>
      <c r="J63" s="97">
        <v>1005002231</v>
      </c>
      <c r="K63" s="98" t="s">
        <v>51</v>
      </c>
      <c r="L63" s="98" t="s">
        <v>903</v>
      </c>
      <c r="M63" s="97">
        <v>1001026728</v>
      </c>
      <c r="N63" s="97">
        <v>1004026728</v>
      </c>
      <c r="O63" s="98" t="s">
        <v>296</v>
      </c>
      <c r="P63" s="98" t="s">
        <v>297</v>
      </c>
      <c r="Q63" s="98" t="s">
        <v>897</v>
      </c>
      <c r="R63" s="98" t="s">
        <v>171</v>
      </c>
      <c r="S63" s="98" t="s">
        <v>609</v>
      </c>
      <c r="T63" s="98" t="s">
        <v>148</v>
      </c>
      <c r="U63" s="127">
        <v>1001040</v>
      </c>
      <c r="V63" s="98" t="s">
        <v>146</v>
      </c>
      <c r="W63" s="99">
        <v>999570</v>
      </c>
      <c r="X63" s="98" t="s">
        <v>146</v>
      </c>
      <c r="Y63" s="97">
        <v>36.85</v>
      </c>
      <c r="Z63" s="97">
        <v>1.38</v>
      </c>
      <c r="AA63" s="97">
        <v>0</v>
      </c>
      <c r="AB63" s="97">
        <v>0</v>
      </c>
      <c r="AC63" s="98" t="s">
        <v>724</v>
      </c>
      <c r="AD63" s="98" t="s">
        <v>147</v>
      </c>
      <c r="AE63" s="99">
        <v>120120</v>
      </c>
      <c r="AF63" s="98" t="s">
        <v>146</v>
      </c>
      <c r="AG63" s="99">
        <v>26890000</v>
      </c>
      <c r="AH63" s="98"/>
      <c r="AI63" s="99">
        <v>26890000</v>
      </c>
    </row>
    <row r="64" spans="1:35">
      <c r="A64" s="98"/>
      <c r="B64" s="98"/>
      <c r="C64" s="98"/>
      <c r="D64" s="98"/>
      <c r="E64" s="98" t="s">
        <v>863</v>
      </c>
      <c r="F64" s="87" t="s">
        <v>330</v>
      </c>
      <c r="G64" s="98"/>
      <c r="H64" s="98" t="s">
        <v>745</v>
      </c>
      <c r="I64" s="98" t="s">
        <v>896</v>
      </c>
      <c r="J64" s="97">
        <v>1005002232</v>
      </c>
      <c r="K64" s="98" t="s">
        <v>51</v>
      </c>
      <c r="L64" s="98" t="s">
        <v>903</v>
      </c>
      <c r="M64" s="97">
        <v>1001026728</v>
      </c>
      <c r="N64" s="97">
        <v>1004026728</v>
      </c>
      <c r="O64" s="98" t="s">
        <v>296</v>
      </c>
      <c r="P64" s="98" t="s">
        <v>297</v>
      </c>
      <c r="Q64" s="98" t="s">
        <v>897</v>
      </c>
      <c r="R64" s="98" t="s">
        <v>171</v>
      </c>
      <c r="S64" s="98" t="s">
        <v>609</v>
      </c>
      <c r="T64" s="98" t="s">
        <v>148</v>
      </c>
      <c r="U64" s="127">
        <v>1001040</v>
      </c>
      <c r="V64" s="98" t="s">
        <v>146</v>
      </c>
      <c r="W64" s="99">
        <v>999570</v>
      </c>
      <c r="X64" s="98" t="s">
        <v>146</v>
      </c>
      <c r="Y64" s="97">
        <v>33.43</v>
      </c>
      <c r="Z64" s="97">
        <v>1.65</v>
      </c>
      <c r="AA64" s="97">
        <v>0</v>
      </c>
      <c r="AB64" s="97">
        <v>0</v>
      </c>
      <c r="AC64" s="98" t="s">
        <v>724</v>
      </c>
      <c r="AD64" s="98" t="s">
        <v>147</v>
      </c>
      <c r="AE64" s="97">
        <v>80.63</v>
      </c>
      <c r="AF64" s="98" t="s">
        <v>146</v>
      </c>
      <c r="AG64" s="99">
        <v>1028838</v>
      </c>
      <c r="AH64" s="98"/>
      <c r="AI64" s="99">
        <v>1028838</v>
      </c>
    </row>
    <row r="65" spans="1:35">
      <c r="A65" s="98"/>
      <c r="B65" s="98"/>
      <c r="C65" s="98"/>
      <c r="D65" s="98"/>
      <c r="E65" s="98" t="s">
        <v>863</v>
      </c>
      <c r="F65" s="87" t="s">
        <v>330</v>
      </c>
      <c r="G65" s="98"/>
      <c r="H65" s="98" t="s">
        <v>745</v>
      </c>
      <c r="I65" s="98" t="s">
        <v>896</v>
      </c>
      <c r="J65" s="97">
        <v>1005002183</v>
      </c>
      <c r="K65" s="98" t="s">
        <v>787</v>
      </c>
      <c r="L65" s="98" t="s">
        <v>903</v>
      </c>
      <c r="M65" s="97">
        <v>1001026729</v>
      </c>
      <c r="N65" s="97">
        <v>1004026729</v>
      </c>
      <c r="O65" s="98" t="s">
        <v>334</v>
      </c>
      <c r="P65" s="98" t="s">
        <v>297</v>
      </c>
      <c r="Q65" s="98" t="s">
        <v>870</v>
      </c>
      <c r="R65" s="98" t="s">
        <v>171</v>
      </c>
      <c r="S65" s="98" t="s">
        <v>609</v>
      </c>
      <c r="T65" s="98" t="s">
        <v>148</v>
      </c>
      <c r="U65" s="127">
        <v>400000</v>
      </c>
      <c r="V65" s="98" t="s">
        <v>146</v>
      </c>
      <c r="W65" s="99">
        <v>399190</v>
      </c>
      <c r="X65" s="98" t="s">
        <v>146</v>
      </c>
      <c r="Y65" s="97">
        <v>39.549999999999997</v>
      </c>
      <c r="Z65" s="97">
        <v>2.0099999999999998</v>
      </c>
      <c r="AA65" s="97">
        <v>0</v>
      </c>
      <c r="AB65" s="97">
        <v>0</v>
      </c>
      <c r="AC65" s="98" t="s">
        <v>724</v>
      </c>
      <c r="AD65" s="98" t="s">
        <v>147</v>
      </c>
      <c r="AE65" s="97">
        <v>108.85</v>
      </c>
      <c r="AF65" s="98" t="s">
        <v>146</v>
      </c>
      <c r="AG65" s="99">
        <v>1387838</v>
      </c>
      <c r="AH65" s="98"/>
      <c r="AI65" s="99">
        <v>1387838</v>
      </c>
    </row>
    <row r="66" spans="1:35">
      <c r="A66" s="98"/>
      <c r="B66" s="98"/>
      <c r="C66" s="98"/>
      <c r="D66" s="98"/>
      <c r="E66" s="98" t="s">
        <v>863</v>
      </c>
      <c r="F66" s="87" t="s">
        <v>330</v>
      </c>
      <c r="G66" s="98"/>
      <c r="H66" s="98" t="s">
        <v>745</v>
      </c>
      <c r="I66" s="98" t="s">
        <v>896</v>
      </c>
      <c r="J66" s="97">
        <v>1005002187</v>
      </c>
      <c r="K66" s="98" t="s">
        <v>729</v>
      </c>
      <c r="L66" s="98" t="s">
        <v>903</v>
      </c>
      <c r="M66" s="97">
        <v>1001026729</v>
      </c>
      <c r="N66" s="97">
        <v>1004026729</v>
      </c>
      <c r="O66" s="98" t="s">
        <v>334</v>
      </c>
      <c r="P66" s="98" t="s">
        <v>297</v>
      </c>
      <c r="Q66" s="98" t="s">
        <v>870</v>
      </c>
      <c r="R66" s="98" t="s">
        <v>171</v>
      </c>
      <c r="S66" s="98" t="s">
        <v>609</v>
      </c>
      <c r="T66" s="98" t="s">
        <v>148</v>
      </c>
      <c r="U66" s="127">
        <v>400000</v>
      </c>
      <c r="V66" s="98" t="s">
        <v>146</v>
      </c>
      <c r="W66" s="99">
        <v>399190</v>
      </c>
      <c r="X66" s="98" t="s">
        <v>146</v>
      </c>
      <c r="Y66" s="97">
        <v>39.299999999999997</v>
      </c>
      <c r="Z66" s="97">
        <v>1.49</v>
      </c>
      <c r="AA66" s="97">
        <v>0</v>
      </c>
      <c r="AB66" s="97">
        <v>0</v>
      </c>
      <c r="AC66" s="98" t="s">
        <v>724</v>
      </c>
      <c r="AD66" s="98" t="s">
        <v>147</v>
      </c>
      <c r="AE66" s="99">
        <v>169660</v>
      </c>
      <c r="AF66" s="98" t="s">
        <v>146</v>
      </c>
      <c r="AG66" s="99">
        <v>81919000</v>
      </c>
      <c r="AH66" s="98"/>
      <c r="AI66" s="99">
        <v>81919000</v>
      </c>
    </row>
    <row r="67" spans="1:35">
      <c r="A67" s="98"/>
      <c r="B67" s="98"/>
      <c r="C67" s="98"/>
      <c r="D67" s="98"/>
      <c r="E67" s="98" t="s">
        <v>863</v>
      </c>
      <c r="F67" s="87" t="s">
        <v>330</v>
      </c>
      <c r="G67" s="98"/>
      <c r="H67" s="98" t="s">
        <v>745</v>
      </c>
      <c r="I67" s="98" t="s">
        <v>896</v>
      </c>
      <c r="J67" s="97">
        <v>1005002250</v>
      </c>
      <c r="K67" s="98" t="s">
        <v>51</v>
      </c>
      <c r="L67" s="98" t="s">
        <v>903</v>
      </c>
      <c r="M67" s="97">
        <v>1001026804</v>
      </c>
      <c r="N67" s="97">
        <v>1004026804</v>
      </c>
      <c r="O67" s="98" t="s">
        <v>296</v>
      </c>
      <c r="P67" s="98" t="s">
        <v>297</v>
      </c>
      <c r="Q67" s="98" t="s">
        <v>897</v>
      </c>
      <c r="R67" s="98" t="s">
        <v>171</v>
      </c>
      <c r="S67" s="98" t="s">
        <v>609</v>
      </c>
      <c r="T67" s="98" t="s">
        <v>148</v>
      </c>
      <c r="U67" s="127">
        <v>199550</v>
      </c>
      <c r="V67" s="98" t="s">
        <v>146</v>
      </c>
      <c r="W67" s="99">
        <v>200000</v>
      </c>
      <c r="X67" s="98" t="s">
        <v>146</v>
      </c>
      <c r="Y67" s="97">
        <v>36.65</v>
      </c>
      <c r="Z67" s="97">
        <v>1.31</v>
      </c>
      <c r="AA67" s="97">
        <v>0</v>
      </c>
      <c r="AB67" s="97">
        <v>0</v>
      </c>
      <c r="AC67" s="98" t="s">
        <v>724</v>
      </c>
      <c r="AD67" s="98" t="s">
        <v>147</v>
      </c>
      <c r="AE67" s="99">
        <v>41670</v>
      </c>
      <c r="AF67" s="98" t="s">
        <v>146</v>
      </c>
      <c r="AG67" s="99">
        <v>8359000</v>
      </c>
      <c r="AH67" s="98"/>
      <c r="AI67" s="99">
        <v>8359000</v>
      </c>
    </row>
    <row r="68" spans="1:35">
      <c r="A68" s="98"/>
      <c r="B68" s="98"/>
      <c r="C68" s="98"/>
      <c r="D68" s="98"/>
      <c r="E68" s="98" t="s">
        <v>863</v>
      </c>
      <c r="F68" s="87" t="s">
        <v>330</v>
      </c>
      <c r="G68" s="98"/>
      <c r="H68" s="98" t="s">
        <v>745</v>
      </c>
      <c r="I68" s="98" t="s">
        <v>896</v>
      </c>
      <c r="J68" s="97">
        <v>1005002322</v>
      </c>
      <c r="K68" s="98" t="s">
        <v>10</v>
      </c>
      <c r="L68" s="98" t="s">
        <v>903</v>
      </c>
      <c r="M68" s="97">
        <v>1001026806</v>
      </c>
      <c r="N68" s="97">
        <v>1004026806</v>
      </c>
      <c r="O68" s="98" t="s">
        <v>334</v>
      </c>
      <c r="P68" s="98" t="s">
        <v>297</v>
      </c>
      <c r="Q68" s="98" t="s">
        <v>870</v>
      </c>
      <c r="R68" s="98" t="s">
        <v>171</v>
      </c>
      <c r="S68" s="98" t="s">
        <v>609</v>
      </c>
      <c r="T68" s="98" t="s">
        <v>148</v>
      </c>
      <c r="U68" s="127">
        <v>208510</v>
      </c>
      <c r="V68" s="98" t="s">
        <v>146</v>
      </c>
      <c r="W68" s="99">
        <v>208090</v>
      </c>
      <c r="X68" s="98" t="s">
        <v>146</v>
      </c>
      <c r="Y68" s="97">
        <v>33.51</v>
      </c>
      <c r="Z68" s="97">
        <v>1.74</v>
      </c>
      <c r="AA68" s="97">
        <v>0</v>
      </c>
      <c r="AB68" s="97">
        <v>0</v>
      </c>
      <c r="AC68" s="98" t="s">
        <v>724</v>
      </c>
      <c r="AD68" s="98" t="s">
        <v>147</v>
      </c>
      <c r="AE68" s="97">
        <v>59.69</v>
      </c>
      <c r="AF68" s="98" t="s">
        <v>146</v>
      </c>
      <c r="AG68" s="99">
        <v>752691</v>
      </c>
      <c r="AH68" s="98"/>
      <c r="AI68" s="99">
        <v>752691</v>
      </c>
    </row>
    <row r="69" spans="1:35">
      <c r="A69" s="100"/>
      <c r="B69" s="100" t="s">
        <v>149</v>
      </c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1">
        <v>360103.34</v>
      </c>
      <c r="AF69" s="100" t="s">
        <v>146</v>
      </c>
      <c r="AG69" s="101">
        <v>125481751</v>
      </c>
      <c r="AH69" s="100"/>
      <c r="AI69" s="101">
        <v>125481751</v>
      </c>
    </row>
    <row r="70" spans="1:35">
      <c r="A70" s="97">
        <v>20</v>
      </c>
      <c r="B70" s="98" t="s">
        <v>549</v>
      </c>
      <c r="C70" s="98" t="s">
        <v>550</v>
      </c>
      <c r="D70" s="98" t="s">
        <v>535</v>
      </c>
      <c r="E70" s="98" t="s">
        <v>873</v>
      </c>
      <c r="F70" s="98" t="s">
        <v>550</v>
      </c>
      <c r="G70" s="98" t="s">
        <v>872</v>
      </c>
      <c r="H70" s="98" t="s">
        <v>844</v>
      </c>
      <c r="I70" s="98" t="s">
        <v>874</v>
      </c>
      <c r="J70" s="97">
        <v>1005002345</v>
      </c>
      <c r="K70" s="98" t="s">
        <v>42</v>
      </c>
      <c r="L70" s="98" t="s">
        <v>907</v>
      </c>
      <c r="M70" s="97">
        <v>1001026578</v>
      </c>
      <c r="N70" s="97">
        <v>1004026578</v>
      </c>
      <c r="O70" s="98" t="s">
        <v>178</v>
      </c>
      <c r="P70" s="98" t="s">
        <v>179</v>
      </c>
      <c r="Q70" s="98" t="s">
        <v>868</v>
      </c>
      <c r="R70" s="98" t="s">
        <v>184</v>
      </c>
      <c r="S70" s="98" t="s">
        <v>609</v>
      </c>
      <c r="T70" s="98" t="s">
        <v>148</v>
      </c>
      <c r="U70" s="98"/>
      <c r="V70" s="98" t="s">
        <v>146</v>
      </c>
      <c r="W70" s="99">
        <v>300000</v>
      </c>
      <c r="X70" s="98" t="s">
        <v>146</v>
      </c>
      <c r="Y70" s="97">
        <v>0</v>
      </c>
      <c r="Z70" s="97">
        <v>22.08</v>
      </c>
      <c r="AA70" s="97">
        <v>0</v>
      </c>
      <c r="AB70" s="97">
        <v>0</v>
      </c>
      <c r="AC70" s="98" t="s">
        <v>724</v>
      </c>
      <c r="AD70" s="98" t="s">
        <v>147</v>
      </c>
      <c r="AE70" s="99">
        <v>4974.6400000000003</v>
      </c>
      <c r="AF70" s="98" t="s">
        <v>146</v>
      </c>
      <c r="AG70" s="99">
        <v>4079205</v>
      </c>
      <c r="AH70" s="98"/>
      <c r="AI70" s="99">
        <v>4079205</v>
      </c>
    </row>
    <row r="71" spans="1:35">
      <c r="A71" s="100"/>
      <c r="B71" s="100" t="s">
        <v>149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1">
        <v>4974.6400000000003</v>
      </c>
      <c r="AF71" s="100" t="s">
        <v>146</v>
      </c>
      <c r="AG71" s="101">
        <v>4079205</v>
      </c>
      <c r="AH71" s="100"/>
      <c r="AI71" s="101">
        <v>4079205</v>
      </c>
    </row>
    <row r="72" spans="1:35">
      <c r="A72" s="97">
        <v>21</v>
      </c>
      <c r="B72" s="98" t="s">
        <v>552</v>
      </c>
      <c r="C72" s="98" t="s">
        <v>553</v>
      </c>
      <c r="D72" s="98" t="s">
        <v>535</v>
      </c>
      <c r="E72" s="98" t="s">
        <v>873</v>
      </c>
      <c r="F72" s="98" t="s">
        <v>553</v>
      </c>
      <c r="G72" s="98" t="s">
        <v>872</v>
      </c>
      <c r="H72" s="98" t="s">
        <v>844</v>
      </c>
      <c r="I72" s="98" t="s">
        <v>875</v>
      </c>
      <c r="J72" s="97">
        <v>1005002302</v>
      </c>
      <c r="K72" s="98" t="s">
        <v>65</v>
      </c>
      <c r="L72" s="98" t="s">
        <v>907</v>
      </c>
      <c r="M72" s="97">
        <v>1001027111</v>
      </c>
      <c r="N72" s="97">
        <v>1004027111</v>
      </c>
      <c r="O72" s="98" t="s">
        <v>144</v>
      </c>
      <c r="P72" s="98" t="s">
        <v>145</v>
      </c>
      <c r="Q72" s="98" t="s">
        <v>867</v>
      </c>
      <c r="R72" s="98" t="s">
        <v>184</v>
      </c>
      <c r="S72" s="98" t="s">
        <v>609</v>
      </c>
      <c r="T72" s="98" t="s">
        <v>148</v>
      </c>
      <c r="U72" s="98"/>
      <c r="V72" s="98" t="s">
        <v>146</v>
      </c>
      <c r="W72" s="99">
        <v>250000</v>
      </c>
      <c r="X72" s="98" t="s">
        <v>146</v>
      </c>
      <c r="Y72" s="97">
        <v>5.15</v>
      </c>
      <c r="Z72" s="97">
        <v>0.31</v>
      </c>
      <c r="AA72" s="97">
        <v>0</v>
      </c>
      <c r="AB72" s="97">
        <v>0</v>
      </c>
      <c r="AC72" s="98" t="s">
        <v>724</v>
      </c>
      <c r="AD72" s="98" t="s">
        <v>147</v>
      </c>
      <c r="AE72" s="99">
        <v>228980</v>
      </c>
      <c r="AF72" s="98" t="s">
        <v>146</v>
      </c>
      <c r="AG72" s="99">
        <v>22898000</v>
      </c>
      <c r="AH72" s="98"/>
      <c r="AI72" s="99">
        <v>22898000</v>
      </c>
    </row>
    <row r="73" spans="1:35">
      <c r="A73" s="98"/>
      <c r="B73" s="98"/>
      <c r="C73" s="98"/>
      <c r="D73" s="98"/>
      <c r="E73" s="98" t="s">
        <v>873</v>
      </c>
      <c r="F73" s="87" t="s">
        <v>553</v>
      </c>
      <c r="G73" s="98"/>
      <c r="H73" s="98" t="s">
        <v>844</v>
      </c>
      <c r="I73" s="98" t="s">
        <v>875</v>
      </c>
      <c r="J73" s="97">
        <v>1005002300</v>
      </c>
      <c r="K73" s="98" t="s">
        <v>65</v>
      </c>
      <c r="L73" s="98" t="s">
        <v>907</v>
      </c>
      <c r="M73" s="97">
        <v>1001026907</v>
      </c>
      <c r="N73" s="97">
        <v>1004026907</v>
      </c>
      <c r="O73" s="98" t="s">
        <v>144</v>
      </c>
      <c r="P73" s="98" t="s">
        <v>145</v>
      </c>
      <c r="Q73" s="98" t="s">
        <v>867</v>
      </c>
      <c r="R73" s="98" t="s">
        <v>184</v>
      </c>
      <c r="S73" s="98" t="s">
        <v>609</v>
      </c>
      <c r="T73" s="98" t="s">
        <v>148</v>
      </c>
      <c r="U73" s="98"/>
      <c r="V73" s="98" t="s">
        <v>146</v>
      </c>
      <c r="W73" s="99">
        <v>250000</v>
      </c>
      <c r="X73" s="98" t="s">
        <v>146</v>
      </c>
      <c r="Y73" s="97">
        <v>5.0999999999999996</v>
      </c>
      <c r="Z73" s="97">
        <v>0.3</v>
      </c>
      <c r="AA73" s="97">
        <v>0</v>
      </c>
      <c r="AB73" s="97">
        <v>0</v>
      </c>
      <c r="AC73" s="98" t="s">
        <v>724</v>
      </c>
      <c r="AD73" s="98" t="s">
        <v>147</v>
      </c>
      <c r="AE73" s="99">
        <v>46700</v>
      </c>
      <c r="AF73" s="98" t="s">
        <v>146</v>
      </c>
      <c r="AG73" s="99">
        <v>4670000</v>
      </c>
      <c r="AH73" s="98"/>
      <c r="AI73" s="99">
        <v>4670000</v>
      </c>
    </row>
    <row r="74" spans="1:35">
      <c r="A74" s="98"/>
      <c r="B74" s="98"/>
      <c r="C74" s="98"/>
      <c r="D74" s="98"/>
      <c r="E74" s="98" t="s">
        <v>873</v>
      </c>
      <c r="F74" s="87" t="s">
        <v>553</v>
      </c>
      <c r="G74" s="98"/>
      <c r="H74" s="98" t="s">
        <v>844</v>
      </c>
      <c r="I74" s="98" t="s">
        <v>875</v>
      </c>
      <c r="J74" s="97">
        <v>1005002301</v>
      </c>
      <c r="K74" s="98" t="s">
        <v>65</v>
      </c>
      <c r="L74" s="98" t="s">
        <v>907</v>
      </c>
      <c r="M74" s="97">
        <v>1001027038</v>
      </c>
      <c r="N74" s="97">
        <v>1004027038</v>
      </c>
      <c r="O74" s="98" t="s">
        <v>144</v>
      </c>
      <c r="P74" s="98" t="s">
        <v>145</v>
      </c>
      <c r="Q74" s="98" t="s">
        <v>867</v>
      </c>
      <c r="R74" s="98" t="s">
        <v>184</v>
      </c>
      <c r="S74" s="98" t="s">
        <v>609</v>
      </c>
      <c r="T74" s="98" t="s">
        <v>148</v>
      </c>
      <c r="U74" s="98"/>
      <c r="V74" s="98" t="s">
        <v>146</v>
      </c>
      <c r="W74" s="99">
        <v>350000</v>
      </c>
      <c r="X74" s="98" t="s">
        <v>146</v>
      </c>
      <c r="Y74" s="97">
        <v>5.3</v>
      </c>
      <c r="Z74" s="97">
        <v>0.31</v>
      </c>
      <c r="AA74" s="97">
        <v>0</v>
      </c>
      <c r="AB74" s="97">
        <v>0</v>
      </c>
      <c r="AC74" s="98" t="s">
        <v>724</v>
      </c>
      <c r="AD74" s="98" t="s">
        <v>147</v>
      </c>
      <c r="AE74" s="99">
        <v>350000</v>
      </c>
      <c r="AF74" s="98" t="s">
        <v>146</v>
      </c>
      <c r="AG74" s="99">
        <v>35000000</v>
      </c>
      <c r="AH74" s="98"/>
      <c r="AI74" s="99">
        <v>35000000</v>
      </c>
    </row>
    <row r="75" spans="1:35">
      <c r="A75" s="100"/>
      <c r="B75" s="100" t="s">
        <v>149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1">
        <v>625680</v>
      </c>
      <c r="AF75" s="100" t="s">
        <v>146</v>
      </c>
      <c r="AG75" s="101">
        <v>62568000</v>
      </c>
      <c r="AH75" s="100"/>
      <c r="AI75" s="101">
        <v>62568000</v>
      </c>
    </row>
    <row r="76" spans="1:35">
      <c r="A76" s="97">
        <v>22</v>
      </c>
      <c r="B76" s="98" t="s">
        <v>554</v>
      </c>
      <c r="C76" s="98" t="s">
        <v>555</v>
      </c>
      <c r="D76" s="98" t="s">
        <v>535</v>
      </c>
      <c r="E76" s="98" t="s">
        <v>863</v>
      </c>
      <c r="F76" s="98" t="s">
        <v>330</v>
      </c>
      <c r="G76" s="98" t="s">
        <v>872</v>
      </c>
      <c r="H76" s="98" t="s">
        <v>745</v>
      </c>
      <c r="I76" s="98" t="s">
        <v>896</v>
      </c>
      <c r="J76" s="97">
        <v>1005002346</v>
      </c>
      <c r="K76" s="98" t="s">
        <v>42</v>
      </c>
      <c r="L76" s="98" t="s">
        <v>903</v>
      </c>
      <c r="M76" s="97">
        <v>1001027100</v>
      </c>
      <c r="N76" s="97">
        <v>1004027100</v>
      </c>
      <c r="O76" s="98" t="s">
        <v>296</v>
      </c>
      <c r="P76" s="98" t="s">
        <v>297</v>
      </c>
      <c r="Q76" s="98" t="s">
        <v>897</v>
      </c>
      <c r="R76" s="98" t="s">
        <v>171</v>
      </c>
      <c r="S76" s="98" t="s">
        <v>609</v>
      </c>
      <c r="T76" s="98" t="s">
        <v>148</v>
      </c>
      <c r="U76" s="127">
        <v>1393340</v>
      </c>
      <c r="V76" s="98" t="s">
        <v>146</v>
      </c>
      <c r="W76" s="99">
        <v>1390630</v>
      </c>
      <c r="X76" s="98" t="s">
        <v>146</v>
      </c>
      <c r="Y76" s="97">
        <v>35.799999999999997</v>
      </c>
      <c r="Z76" s="97">
        <v>1.31</v>
      </c>
      <c r="AA76" s="97">
        <v>0</v>
      </c>
      <c r="AB76" s="97">
        <v>0</v>
      </c>
      <c r="AC76" s="98" t="s">
        <v>724</v>
      </c>
      <c r="AD76" s="98" t="s">
        <v>147</v>
      </c>
      <c r="AE76" s="99">
        <v>84490</v>
      </c>
      <c r="AF76" s="98" t="s">
        <v>146</v>
      </c>
      <c r="AG76" s="99">
        <v>11290000</v>
      </c>
      <c r="AH76" s="98"/>
      <c r="AI76" s="99">
        <v>11290000</v>
      </c>
    </row>
    <row r="77" spans="1:35">
      <c r="A77" s="98"/>
      <c r="B77" s="98"/>
      <c r="C77" s="98"/>
      <c r="D77" s="98"/>
      <c r="E77" s="98" t="s">
        <v>863</v>
      </c>
      <c r="F77" s="87" t="s">
        <v>330</v>
      </c>
      <c r="G77" s="98"/>
      <c r="H77" s="98" t="s">
        <v>745</v>
      </c>
      <c r="I77" s="98" t="s">
        <v>896</v>
      </c>
      <c r="J77" s="97">
        <v>1005002347</v>
      </c>
      <c r="K77" s="98" t="s">
        <v>42</v>
      </c>
      <c r="L77" s="98" t="s">
        <v>903</v>
      </c>
      <c r="M77" s="97">
        <v>1001027100</v>
      </c>
      <c r="N77" s="97">
        <v>1004027100</v>
      </c>
      <c r="O77" s="98" t="s">
        <v>296</v>
      </c>
      <c r="P77" s="98" t="s">
        <v>297</v>
      </c>
      <c r="Q77" s="98" t="s">
        <v>897</v>
      </c>
      <c r="R77" s="98" t="s">
        <v>171</v>
      </c>
      <c r="S77" s="98" t="s">
        <v>609</v>
      </c>
      <c r="T77" s="98" t="s">
        <v>148</v>
      </c>
      <c r="U77" s="127">
        <v>1393340</v>
      </c>
      <c r="V77" s="98" t="s">
        <v>146</v>
      </c>
      <c r="W77" s="99">
        <v>1390630</v>
      </c>
      <c r="X77" s="98" t="s">
        <v>146</v>
      </c>
      <c r="Y77" s="97">
        <v>30.38</v>
      </c>
      <c r="Z77" s="97">
        <v>1.8</v>
      </c>
      <c r="AA77" s="97">
        <v>0</v>
      </c>
      <c r="AB77" s="97">
        <v>0</v>
      </c>
      <c r="AC77" s="98" t="s">
        <v>724</v>
      </c>
      <c r="AD77" s="98" t="s">
        <v>147</v>
      </c>
      <c r="AE77" s="97">
        <v>188.78</v>
      </c>
      <c r="AF77" s="98" t="s">
        <v>146</v>
      </c>
      <c r="AG77" s="99">
        <v>2361638</v>
      </c>
      <c r="AH77" s="98"/>
      <c r="AI77" s="99">
        <v>2361638</v>
      </c>
    </row>
    <row r="78" spans="1:35">
      <c r="A78" s="98"/>
      <c r="B78" s="98"/>
      <c r="C78" s="98"/>
      <c r="D78" s="98"/>
      <c r="E78" s="98" t="s">
        <v>863</v>
      </c>
      <c r="F78" s="87" t="s">
        <v>795</v>
      </c>
      <c r="G78" s="98"/>
      <c r="H78" s="98" t="s">
        <v>735</v>
      </c>
      <c r="I78" s="98" t="s">
        <v>885</v>
      </c>
      <c r="J78" s="97">
        <v>1005002498</v>
      </c>
      <c r="K78" s="98" t="s">
        <v>910</v>
      </c>
      <c r="L78" s="98" t="s">
        <v>907</v>
      </c>
      <c r="M78" s="97">
        <v>1001027101</v>
      </c>
      <c r="N78" s="97">
        <v>1004027101</v>
      </c>
      <c r="O78" s="98" t="s">
        <v>296</v>
      </c>
      <c r="P78" s="98" t="s">
        <v>297</v>
      </c>
      <c r="Q78" s="98" t="s">
        <v>897</v>
      </c>
      <c r="R78" s="98" t="s">
        <v>142</v>
      </c>
      <c r="S78" s="98" t="s">
        <v>609</v>
      </c>
      <c r="T78" s="98" t="s">
        <v>148</v>
      </c>
      <c r="U78" s="127">
        <v>1288524</v>
      </c>
      <c r="V78" s="98" t="s">
        <v>146</v>
      </c>
      <c r="W78" s="99">
        <v>1288524</v>
      </c>
      <c r="X78" s="98" t="s">
        <v>146</v>
      </c>
      <c r="Y78" s="97">
        <v>12.81</v>
      </c>
      <c r="Z78" s="97">
        <v>0.59</v>
      </c>
      <c r="AA78" s="97">
        <v>0</v>
      </c>
      <c r="AB78" s="97">
        <v>0</v>
      </c>
      <c r="AC78" s="98" t="s">
        <v>724</v>
      </c>
      <c r="AD78" s="98" t="s">
        <v>147</v>
      </c>
      <c r="AE78" s="99">
        <v>11596.71</v>
      </c>
      <c r="AF78" s="98" t="s">
        <v>146</v>
      </c>
      <c r="AG78" s="99">
        <v>153215733</v>
      </c>
      <c r="AH78" s="98"/>
      <c r="AI78" s="99">
        <v>153215733</v>
      </c>
    </row>
    <row r="79" spans="1:35">
      <c r="A79" s="98"/>
      <c r="B79" s="98"/>
      <c r="C79" s="98"/>
      <c r="D79" s="98"/>
      <c r="E79" s="98" t="s">
        <v>863</v>
      </c>
      <c r="F79" s="87" t="s">
        <v>795</v>
      </c>
      <c r="G79" s="98"/>
      <c r="H79" s="98" t="s">
        <v>735</v>
      </c>
      <c r="I79" s="98" t="s">
        <v>885</v>
      </c>
      <c r="J79" s="97">
        <v>1005002497</v>
      </c>
      <c r="K79" s="98" t="s">
        <v>910</v>
      </c>
      <c r="L79" s="98" t="s">
        <v>907</v>
      </c>
      <c r="M79" s="97">
        <v>1001027159</v>
      </c>
      <c r="N79" s="97">
        <v>1004027159</v>
      </c>
      <c r="O79" s="98" t="s">
        <v>296</v>
      </c>
      <c r="P79" s="98" t="s">
        <v>297</v>
      </c>
      <c r="Q79" s="98" t="s">
        <v>897</v>
      </c>
      <c r="R79" s="98" t="s">
        <v>142</v>
      </c>
      <c r="S79" s="98" t="s">
        <v>609</v>
      </c>
      <c r="T79" s="98" t="s">
        <v>148</v>
      </c>
      <c r="U79" s="127">
        <v>498846</v>
      </c>
      <c r="V79" s="98" t="s">
        <v>146</v>
      </c>
      <c r="W79" s="99">
        <v>498846</v>
      </c>
      <c r="X79" s="98" t="s">
        <v>146</v>
      </c>
      <c r="Y79" s="97">
        <v>12.81</v>
      </c>
      <c r="Z79" s="97">
        <v>0.59</v>
      </c>
      <c r="AA79" s="97">
        <v>0</v>
      </c>
      <c r="AB79" s="97">
        <v>0</v>
      </c>
      <c r="AC79" s="98" t="s">
        <v>724</v>
      </c>
      <c r="AD79" s="98" t="s">
        <v>147</v>
      </c>
      <c r="AE79" s="99">
        <v>4489.6099999999997</v>
      </c>
      <c r="AF79" s="98" t="s">
        <v>146</v>
      </c>
      <c r="AG79" s="99">
        <v>60717486</v>
      </c>
      <c r="AH79" s="98"/>
      <c r="AI79" s="99">
        <v>60717486</v>
      </c>
    </row>
    <row r="80" spans="1:35">
      <c r="A80" s="98"/>
      <c r="B80" s="98"/>
      <c r="C80" s="98"/>
      <c r="D80" s="98"/>
      <c r="E80" s="98" t="s">
        <v>873</v>
      </c>
      <c r="F80" s="87" t="s">
        <v>555</v>
      </c>
      <c r="G80" s="98"/>
      <c r="H80" s="98" t="s">
        <v>844</v>
      </c>
      <c r="I80" s="98" t="s">
        <v>876</v>
      </c>
      <c r="J80" s="97">
        <v>1005002292</v>
      </c>
      <c r="K80" s="98" t="s">
        <v>41</v>
      </c>
      <c r="L80" s="98" t="s">
        <v>907</v>
      </c>
      <c r="M80" s="97">
        <v>1001026905</v>
      </c>
      <c r="N80" s="97">
        <v>1004026905</v>
      </c>
      <c r="O80" s="98" t="s">
        <v>144</v>
      </c>
      <c r="P80" s="98" t="s">
        <v>145</v>
      </c>
      <c r="Q80" s="98" t="s">
        <v>867</v>
      </c>
      <c r="R80" s="98" t="s">
        <v>184</v>
      </c>
      <c r="S80" s="98" t="s">
        <v>609</v>
      </c>
      <c r="T80" s="98" t="s">
        <v>148</v>
      </c>
      <c r="U80" s="98"/>
      <c r="V80" s="98" t="s">
        <v>146</v>
      </c>
      <c r="W80" s="99">
        <v>500000</v>
      </c>
      <c r="X80" s="98" t="s">
        <v>146</v>
      </c>
      <c r="Y80" s="97">
        <v>5.05</v>
      </c>
      <c r="Z80" s="97">
        <v>0.25</v>
      </c>
      <c r="AA80" s="97">
        <v>0</v>
      </c>
      <c r="AB80" s="97">
        <v>0</v>
      </c>
      <c r="AC80" s="98" t="s">
        <v>724</v>
      </c>
      <c r="AD80" s="98" t="s">
        <v>147</v>
      </c>
      <c r="AE80" s="99">
        <v>115320</v>
      </c>
      <c r="AF80" s="98" t="s">
        <v>146</v>
      </c>
      <c r="AG80" s="99">
        <v>11532000</v>
      </c>
      <c r="AH80" s="98"/>
      <c r="AI80" s="99">
        <v>11532000</v>
      </c>
    </row>
    <row r="81" spans="1:35">
      <c r="A81" s="98"/>
      <c r="B81" s="98"/>
      <c r="C81" s="98"/>
      <c r="D81" s="98"/>
      <c r="E81" s="98" t="s">
        <v>873</v>
      </c>
      <c r="F81" s="87" t="s">
        <v>534</v>
      </c>
      <c r="G81" s="98"/>
      <c r="H81" s="98" t="s">
        <v>844</v>
      </c>
      <c r="I81" s="98" t="s">
        <v>886</v>
      </c>
      <c r="J81" s="97">
        <v>1005002338</v>
      </c>
      <c r="K81" s="98" t="s">
        <v>80</v>
      </c>
      <c r="L81" s="98" t="s">
        <v>907</v>
      </c>
      <c r="M81" s="97">
        <v>1001026832</v>
      </c>
      <c r="N81" s="97">
        <v>1004026832</v>
      </c>
      <c r="O81" s="98" t="s">
        <v>144</v>
      </c>
      <c r="P81" s="98" t="s">
        <v>145</v>
      </c>
      <c r="Q81" s="98" t="s">
        <v>867</v>
      </c>
      <c r="R81" s="98" t="s">
        <v>142</v>
      </c>
      <c r="S81" s="98" t="s">
        <v>609</v>
      </c>
      <c r="T81" s="98" t="s">
        <v>148</v>
      </c>
      <c r="U81" s="98"/>
      <c r="V81" s="98" t="s">
        <v>146</v>
      </c>
      <c r="W81" s="99">
        <v>500000</v>
      </c>
      <c r="X81" s="98" t="s">
        <v>146</v>
      </c>
      <c r="Y81" s="97">
        <v>5.81</v>
      </c>
      <c r="Z81" s="97">
        <v>0.33</v>
      </c>
      <c r="AA81" s="97">
        <v>0</v>
      </c>
      <c r="AB81" s="97">
        <v>0</v>
      </c>
      <c r="AC81" s="98" t="s">
        <v>724</v>
      </c>
      <c r="AD81" s="98" t="s">
        <v>147</v>
      </c>
      <c r="AE81" s="99">
        <v>500000</v>
      </c>
      <c r="AF81" s="98" t="s">
        <v>146</v>
      </c>
      <c r="AG81" s="99">
        <v>99126000</v>
      </c>
      <c r="AH81" s="98"/>
      <c r="AI81" s="99">
        <v>99126000</v>
      </c>
    </row>
    <row r="82" spans="1:35">
      <c r="A82" s="98"/>
      <c r="B82" s="98"/>
      <c r="C82" s="98"/>
      <c r="D82" s="98"/>
      <c r="E82" s="98" t="s">
        <v>873</v>
      </c>
      <c r="F82" s="87" t="s">
        <v>534</v>
      </c>
      <c r="G82" s="98"/>
      <c r="H82" s="98" t="s">
        <v>844</v>
      </c>
      <c r="I82" s="98" t="s">
        <v>886</v>
      </c>
      <c r="J82" s="97">
        <v>1005002341</v>
      </c>
      <c r="K82" s="98" t="s">
        <v>42</v>
      </c>
      <c r="L82" s="98" t="s">
        <v>907</v>
      </c>
      <c r="M82" s="97">
        <v>1001026893</v>
      </c>
      <c r="N82" s="97">
        <v>1004026893</v>
      </c>
      <c r="O82" s="98" t="s">
        <v>144</v>
      </c>
      <c r="P82" s="98" t="s">
        <v>145</v>
      </c>
      <c r="Q82" s="98" t="s">
        <v>867</v>
      </c>
      <c r="R82" s="98" t="s">
        <v>142</v>
      </c>
      <c r="S82" s="98" t="s">
        <v>609</v>
      </c>
      <c r="T82" s="98" t="s">
        <v>148</v>
      </c>
      <c r="U82" s="98"/>
      <c r="V82" s="98" t="s">
        <v>146</v>
      </c>
      <c r="W82" s="99">
        <v>600000</v>
      </c>
      <c r="X82" s="98" t="s">
        <v>146</v>
      </c>
      <c r="Y82" s="97">
        <v>5.95</v>
      </c>
      <c r="Z82" s="97">
        <v>0.32</v>
      </c>
      <c r="AA82" s="97">
        <v>0</v>
      </c>
      <c r="AB82" s="97">
        <v>0</v>
      </c>
      <c r="AC82" s="98" t="s">
        <v>724</v>
      </c>
      <c r="AD82" s="98" t="s">
        <v>147</v>
      </c>
      <c r="AE82" s="99">
        <v>600000</v>
      </c>
      <c r="AF82" s="98" t="s">
        <v>146</v>
      </c>
      <c r="AG82" s="99">
        <v>138880000</v>
      </c>
      <c r="AH82" s="98"/>
      <c r="AI82" s="99">
        <v>138880000</v>
      </c>
    </row>
    <row r="83" spans="1:35">
      <c r="A83" s="98"/>
      <c r="B83" s="98"/>
      <c r="C83" s="98"/>
      <c r="D83" s="98"/>
      <c r="E83" s="98" t="s">
        <v>873</v>
      </c>
      <c r="F83" s="87" t="s">
        <v>558</v>
      </c>
      <c r="G83" s="98"/>
      <c r="H83" s="98" t="s">
        <v>844</v>
      </c>
      <c r="I83" s="98" t="s">
        <v>890</v>
      </c>
      <c r="J83" s="97">
        <v>1005002303</v>
      </c>
      <c r="K83" s="98" t="s">
        <v>65</v>
      </c>
      <c r="L83" s="98" t="s">
        <v>907</v>
      </c>
      <c r="M83" s="97">
        <v>1001026537</v>
      </c>
      <c r="N83" s="97">
        <v>1004026537</v>
      </c>
      <c r="O83" s="98" t="s">
        <v>144</v>
      </c>
      <c r="P83" s="98" t="s">
        <v>145</v>
      </c>
      <c r="Q83" s="98" t="s">
        <v>867</v>
      </c>
      <c r="R83" s="98" t="s">
        <v>142</v>
      </c>
      <c r="S83" s="98" t="s">
        <v>609</v>
      </c>
      <c r="T83" s="98" t="s">
        <v>148</v>
      </c>
      <c r="U83" s="98"/>
      <c r="V83" s="98" t="s">
        <v>146</v>
      </c>
      <c r="W83" s="99">
        <v>400000</v>
      </c>
      <c r="X83" s="98" t="s">
        <v>146</v>
      </c>
      <c r="Y83" s="97">
        <v>5.25</v>
      </c>
      <c r="Z83" s="97">
        <v>0.32</v>
      </c>
      <c r="AA83" s="97">
        <v>0</v>
      </c>
      <c r="AB83" s="97">
        <v>0</v>
      </c>
      <c r="AC83" s="98" t="s">
        <v>724</v>
      </c>
      <c r="AD83" s="98" t="s">
        <v>147</v>
      </c>
      <c r="AE83" s="99">
        <v>254600</v>
      </c>
      <c r="AF83" s="98" t="s">
        <v>146</v>
      </c>
      <c r="AG83" s="99">
        <v>27158000</v>
      </c>
      <c r="AH83" s="98"/>
      <c r="AI83" s="99">
        <v>27158000</v>
      </c>
    </row>
    <row r="84" spans="1:35">
      <c r="A84" s="98"/>
      <c r="B84" s="98"/>
      <c r="C84" s="98"/>
      <c r="D84" s="98"/>
      <c r="E84" s="98" t="s">
        <v>873</v>
      </c>
      <c r="F84" s="87" t="s">
        <v>558</v>
      </c>
      <c r="G84" s="98"/>
      <c r="H84" s="98" t="s">
        <v>844</v>
      </c>
      <c r="I84" s="98" t="s">
        <v>890</v>
      </c>
      <c r="J84" s="97">
        <v>1005002339</v>
      </c>
      <c r="K84" s="98" t="s">
        <v>80</v>
      </c>
      <c r="L84" s="98" t="s">
        <v>907</v>
      </c>
      <c r="M84" s="97">
        <v>1001027037</v>
      </c>
      <c r="N84" s="97">
        <v>1004027037</v>
      </c>
      <c r="O84" s="98" t="s">
        <v>144</v>
      </c>
      <c r="P84" s="98" t="s">
        <v>145</v>
      </c>
      <c r="Q84" s="98" t="s">
        <v>867</v>
      </c>
      <c r="R84" s="98" t="s">
        <v>142</v>
      </c>
      <c r="S84" s="98" t="s">
        <v>609</v>
      </c>
      <c r="T84" s="98" t="s">
        <v>148</v>
      </c>
      <c r="U84" s="98"/>
      <c r="V84" s="98" t="s">
        <v>146</v>
      </c>
      <c r="W84" s="99">
        <v>700000</v>
      </c>
      <c r="X84" s="98" t="s">
        <v>146</v>
      </c>
      <c r="Y84" s="97">
        <v>5.6</v>
      </c>
      <c r="Z84" s="97">
        <v>0.33</v>
      </c>
      <c r="AA84" s="97">
        <v>0</v>
      </c>
      <c r="AB84" s="97">
        <v>0</v>
      </c>
      <c r="AC84" s="98" t="s">
        <v>724</v>
      </c>
      <c r="AD84" s="98" t="s">
        <v>147</v>
      </c>
      <c r="AE84" s="99">
        <v>582760</v>
      </c>
      <c r="AF84" s="98" t="s">
        <v>146</v>
      </c>
      <c r="AG84" s="99">
        <v>94831000</v>
      </c>
      <c r="AH84" s="98"/>
      <c r="AI84" s="99">
        <v>94831000</v>
      </c>
    </row>
    <row r="85" spans="1:35">
      <c r="A85" s="100"/>
      <c r="B85" s="100" t="s">
        <v>149</v>
      </c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1">
        <v>2153445.1</v>
      </c>
      <c r="AF85" s="100" t="s">
        <v>146</v>
      </c>
      <c r="AG85" s="101">
        <v>599111857</v>
      </c>
      <c r="AH85" s="100"/>
      <c r="AI85" s="101">
        <v>599111857</v>
      </c>
    </row>
    <row r="86" spans="1:35" s="89" customFormat="1">
      <c r="A86" s="102"/>
      <c r="B86" s="102" t="s">
        <v>880</v>
      </c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3">
        <v>6084385.7999999998</v>
      </c>
      <c r="AF86" s="102" t="s">
        <v>146</v>
      </c>
      <c r="AG86" s="103">
        <v>1721609497</v>
      </c>
      <c r="AH86" s="103">
        <v>48261024.460000001</v>
      </c>
      <c r="AI86" s="103">
        <v>1769870521.46</v>
      </c>
    </row>
    <row r="336" spans="25:26" s="128" customFormat="1">
      <c r="Y336" s="133"/>
      <c r="Z336" s="133"/>
    </row>
  </sheetData>
  <autoFilter ref="A9:AI86" xr:uid="{00000000-0009-0000-0000-000005000000}"/>
  <mergeCells count="6">
    <mergeCell ref="U7:X7"/>
    <mergeCell ref="Y7:AB7"/>
    <mergeCell ref="AE7:AI7"/>
    <mergeCell ref="U6:X6"/>
    <mergeCell ref="Y6:AB6"/>
    <mergeCell ref="AE6:A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I336"/>
  <sheetViews>
    <sheetView workbookViewId="0">
      <pane xSplit="10" ySplit="8" topLeftCell="K108" activePane="bottomRight" state="frozen"/>
      <selection pane="topRight" activeCell="K1" sqref="K1"/>
      <selection pane="bottomLeft" activeCell="A9" sqref="A9"/>
      <selection pane="bottomRight" activeCell="K9" sqref="K9"/>
    </sheetView>
  </sheetViews>
  <sheetFormatPr defaultRowHeight="14.5"/>
  <cols>
    <col min="1" max="1" width="4" bestFit="1" customWidth="1"/>
    <col min="2" max="2" width="14" hidden="1" customWidth="1"/>
    <col min="3" max="3" width="39" bestFit="1" customWidth="1"/>
    <col min="4" max="4" width="12.54296875" bestFit="1" customWidth="1"/>
    <col min="5" max="5" width="13.453125" hidden="1" customWidth="1"/>
    <col min="6" max="6" width="39" hidden="1" customWidth="1"/>
    <col min="7" max="7" width="25.54296875" hidden="1" customWidth="1"/>
    <col min="8" max="8" width="11.1796875" hidden="1" customWidth="1"/>
    <col min="9" max="9" width="18.453125" hidden="1" customWidth="1"/>
    <col min="10" max="10" width="11" hidden="1" customWidth="1"/>
    <col min="11" max="11" width="11.54296875" customWidth="1"/>
    <col min="12" max="12" width="9.90625" bestFit="1" customWidth="1"/>
    <col min="13" max="13" width="11" bestFit="1" customWidth="1"/>
    <col min="14" max="14" width="12.81640625" hidden="1" customWidth="1"/>
    <col min="15" max="15" width="13.453125" hidden="1" customWidth="1"/>
    <col min="16" max="16" width="11.90625" style="111" bestFit="1" customWidth="1"/>
    <col min="17" max="17" width="37.453125" hidden="1" customWidth="1"/>
    <col min="18" max="18" width="5.26953125" hidden="1" customWidth="1"/>
    <col min="19" max="19" width="5.7265625" hidden="1" customWidth="1"/>
    <col min="20" max="20" width="7.81640625" hidden="1" customWidth="1"/>
    <col min="21" max="21" width="12.7265625" hidden="1" customWidth="1"/>
    <col min="22" max="22" width="5.453125" hidden="1" customWidth="1"/>
    <col min="23" max="23" width="11.7265625" hidden="1" customWidth="1"/>
    <col min="24" max="24" width="5.453125" hidden="1" customWidth="1"/>
    <col min="25" max="28" width="9.26953125" style="92" hidden="1" customWidth="1"/>
    <col min="29" max="30" width="0" hidden="1" customWidth="1"/>
    <col min="31" max="31" width="13.81640625" style="82" bestFit="1" customWidth="1"/>
    <col min="32" max="32" width="0" style="82" hidden="1" customWidth="1"/>
    <col min="33" max="33" width="16.36328125" style="82" hidden="1" customWidth="1"/>
    <col min="34" max="34" width="13.81640625" style="82" hidden="1" customWidth="1"/>
    <col min="35" max="35" width="16.36328125" style="82" bestFit="1" customWidth="1"/>
  </cols>
  <sheetData>
    <row r="1" spans="1:35">
      <c r="A1" s="83" t="s">
        <v>625</v>
      </c>
    </row>
    <row r="2" spans="1:35">
      <c r="A2" s="83" t="s">
        <v>881</v>
      </c>
    </row>
    <row r="3" spans="1:35">
      <c r="A3" s="83" t="s">
        <v>644</v>
      </c>
    </row>
    <row r="5" spans="1:35" s="89" customForma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136"/>
      <c r="Q5" s="88"/>
      <c r="R5" s="88"/>
      <c r="S5" s="88" t="s">
        <v>0</v>
      </c>
      <c r="T5" s="88" t="s">
        <v>699</v>
      </c>
      <c r="U5" s="185" t="s">
        <v>850</v>
      </c>
      <c r="V5" s="185"/>
      <c r="W5" s="185"/>
      <c r="X5" s="185"/>
      <c r="Y5" s="186" t="s">
        <v>851</v>
      </c>
      <c r="Z5" s="186"/>
      <c r="AA5" s="186"/>
      <c r="AB5" s="186"/>
      <c r="AC5" s="88"/>
      <c r="AD5" s="88"/>
      <c r="AE5" s="187" t="s">
        <v>700</v>
      </c>
      <c r="AF5" s="188"/>
      <c r="AG5" s="188"/>
      <c r="AH5" s="188"/>
      <c r="AI5" s="189"/>
    </row>
    <row r="6" spans="1:35" s="89" customFormat="1">
      <c r="A6" s="88" t="s">
        <v>124</v>
      </c>
      <c r="B6" s="88" t="s">
        <v>125</v>
      </c>
      <c r="C6" s="88" t="s">
        <v>701</v>
      </c>
      <c r="D6" s="88" t="s">
        <v>702</v>
      </c>
      <c r="E6" s="88" t="s">
        <v>852</v>
      </c>
      <c r="F6" s="88" t="s">
        <v>128</v>
      </c>
      <c r="G6" s="88" t="s">
        <v>853</v>
      </c>
      <c r="H6" s="88" t="s">
        <v>703</v>
      </c>
      <c r="I6" s="88" t="s">
        <v>854</v>
      </c>
      <c r="J6" s="88" t="s">
        <v>704</v>
      </c>
      <c r="K6" s="88" t="s">
        <v>705</v>
      </c>
      <c r="L6" s="88" t="s">
        <v>706</v>
      </c>
      <c r="M6" s="88" t="s">
        <v>707</v>
      </c>
      <c r="N6" s="88" t="s">
        <v>133</v>
      </c>
      <c r="O6" s="88" t="s">
        <v>134</v>
      </c>
      <c r="P6" s="136" t="s">
        <v>708</v>
      </c>
      <c r="Q6" s="88" t="s">
        <v>855</v>
      </c>
      <c r="R6" s="88" t="s">
        <v>132</v>
      </c>
      <c r="S6" s="88" t="s">
        <v>709</v>
      </c>
      <c r="T6" s="88" t="s">
        <v>710</v>
      </c>
      <c r="U6" s="185" t="s">
        <v>856</v>
      </c>
      <c r="V6" s="185"/>
      <c r="W6" s="185"/>
      <c r="X6" s="185"/>
      <c r="Y6" s="186" t="s">
        <v>856</v>
      </c>
      <c r="Z6" s="186"/>
      <c r="AA6" s="186"/>
      <c r="AB6" s="186"/>
      <c r="AC6" s="88" t="s">
        <v>711</v>
      </c>
      <c r="AD6" s="88" t="s">
        <v>2</v>
      </c>
      <c r="AE6" s="190"/>
      <c r="AF6" s="191"/>
      <c r="AG6" s="191"/>
      <c r="AH6" s="191"/>
      <c r="AI6" s="192"/>
    </row>
    <row r="7" spans="1:35" s="89" customFormat="1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136"/>
      <c r="Q7" s="88"/>
      <c r="R7" s="88"/>
      <c r="S7" s="88"/>
      <c r="T7" s="88"/>
      <c r="U7" s="88" t="s">
        <v>857</v>
      </c>
      <c r="V7" s="88" t="s">
        <v>858</v>
      </c>
      <c r="W7" s="88" t="s">
        <v>859</v>
      </c>
      <c r="X7" s="88" t="s">
        <v>858</v>
      </c>
      <c r="Y7" s="93" t="s">
        <v>860</v>
      </c>
      <c r="Z7" s="93" t="s">
        <v>861</v>
      </c>
      <c r="AA7" s="93" t="s">
        <v>862</v>
      </c>
      <c r="AB7" s="93" t="s">
        <v>135</v>
      </c>
      <c r="AC7" s="88" t="s">
        <v>713</v>
      </c>
      <c r="AD7" s="88"/>
      <c r="AE7" s="142" t="s">
        <v>714</v>
      </c>
      <c r="AF7" s="142" t="s">
        <v>1</v>
      </c>
      <c r="AG7" s="142" t="s">
        <v>715</v>
      </c>
      <c r="AH7" s="142" t="s">
        <v>716</v>
      </c>
      <c r="AI7" s="142" t="s">
        <v>717</v>
      </c>
    </row>
    <row r="8" spans="1:35" s="89" customFormat="1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136"/>
      <c r="Q8" s="88"/>
      <c r="R8" s="88"/>
      <c r="S8" s="88"/>
      <c r="T8" s="88"/>
      <c r="U8" s="88"/>
      <c r="V8" s="88"/>
      <c r="W8" s="88"/>
      <c r="X8" s="88"/>
      <c r="Y8" s="93"/>
      <c r="Z8" s="93"/>
      <c r="AA8" s="93"/>
      <c r="AB8" s="93"/>
      <c r="AC8" s="88"/>
      <c r="AD8" s="88"/>
      <c r="AE8" s="142"/>
      <c r="AF8" s="142"/>
      <c r="AG8" s="142" t="s">
        <v>642</v>
      </c>
      <c r="AH8" s="142" t="s">
        <v>718</v>
      </c>
      <c r="AI8" s="142" t="s">
        <v>642</v>
      </c>
    </row>
    <row r="9" spans="1:35">
      <c r="A9" s="84">
        <v>1</v>
      </c>
      <c r="B9" s="85" t="s">
        <v>738</v>
      </c>
      <c r="C9" s="85" t="s">
        <v>739</v>
      </c>
      <c r="D9" s="85" t="s">
        <v>740</v>
      </c>
      <c r="E9" s="85" t="s">
        <v>863</v>
      </c>
      <c r="F9" s="85" t="s">
        <v>739</v>
      </c>
      <c r="G9" s="85" t="s">
        <v>864</v>
      </c>
      <c r="H9" s="85" t="s">
        <v>726</v>
      </c>
      <c r="I9" s="85" t="s">
        <v>865</v>
      </c>
      <c r="J9" s="84">
        <v>1005001990</v>
      </c>
      <c r="K9" s="85" t="s">
        <v>741</v>
      </c>
      <c r="L9" s="85" t="s">
        <v>742</v>
      </c>
      <c r="M9" s="84">
        <v>1001026081</v>
      </c>
      <c r="N9" s="84">
        <v>1004026081</v>
      </c>
      <c r="O9" s="85" t="s">
        <v>351</v>
      </c>
      <c r="P9" s="113" t="s">
        <v>352</v>
      </c>
      <c r="Q9" s="85" t="s">
        <v>866</v>
      </c>
      <c r="R9" s="85" t="s">
        <v>184</v>
      </c>
      <c r="S9" s="85" t="s">
        <v>609</v>
      </c>
      <c r="T9" s="85" t="s">
        <v>148</v>
      </c>
      <c r="U9" s="86">
        <v>1000000</v>
      </c>
      <c r="V9" s="85" t="s">
        <v>146</v>
      </c>
      <c r="W9" s="86">
        <v>1012300</v>
      </c>
      <c r="X9" s="85" t="s">
        <v>146</v>
      </c>
      <c r="Y9" s="94">
        <v>6.65</v>
      </c>
      <c r="Z9" s="94">
        <v>8.84</v>
      </c>
      <c r="AA9" s="94">
        <v>5.92</v>
      </c>
      <c r="AB9" s="94">
        <v>0</v>
      </c>
      <c r="AC9" s="85" t="s">
        <v>724</v>
      </c>
      <c r="AD9" s="85" t="s">
        <v>147</v>
      </c>
      <c r="AE9" s="150">
        <v>25206.27</v>
      </c>
      <c r="AF9" s="151" t="s">
        <v>146</v>
      </c>
      <c r="AG9" s="150">
        <v>277268970</v>
      </c>
      <c r="AH9" s="151"/>
      <c r="AI9" s="150">
        <v>277268970</v>
      </c>
    </row>
    <row r="10" spans="1:35">
      <c r="A10" s="90"/>
      <c r="B10" s="90" t="s">
        <v>149</v>
      </c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116"/>
      <c r="Q10" s="90"/>
      <c r="R10" s="90"/>
      <c r="S10" s="90"/>
      <c r="T10" s="90"/>
      <c r="U10" s="90"/>
      <c r="V10" s="90"/>
      <c r="W10" s="90"/>
      <c r="X10" s="90"/>
      <c r="Y10" s="95"/>
      <c r="Z10" s="95"/>
      <c r="AA10" s="95"/>
      <c r="AB10" s="95"/>
      <c r="AC10" s="90"/>
      <c r="AD10" s="90"/>
      <c r="AE10" s="145">
        <v>25206.27</v>
      </c>
      <c r="AF10" s="146" t="s">
        <v>146</v>
      </c>
      <c r="AG10" s="145">
        <v>277268970</v>
      </c>
      <c r="AH10" s="146"/>
      <c r="AI10" s="145">
        <v>277268970</v>
      </c>
    </row>
    <row r="11" spans="1:35">
      <c r="A11" s="84">
        <v>2</v>
      </c>
      <c r="B11" s="85" t="s">
        <v>239</v>
      </c>
      <c r="C11" s="85" t="s">
        <v>240</v>
      </c>
      <c r="D11" s="85" t="s">
        <v>241</v>
      </c>
      <c r="E11" s="85" t="s">
        <v>863</v>
      </c>
      <c r="F11" s="85" t="s">
        <v>240</v>
      </c>
      <c r="G11" s="85" t="s">
        <v>864</v>
      </c>
      <c r="H11" s="85" t="s">
        <v>746</v>
      </c>
      <c r="I11" s="85" t="s">
        <v>865</v>
      </c>
      <c r="J11" s="84">
        <v>1005001392</v>
      </c>
      <c r="K11" s="85" t="s">
        <v>747</v>
      </c>
      <c r="L11" s="85" t="s">
        <v>42</v>
      </c>
      <c r="M11" s="84">
        <v>1001021337</v>
      </c>
      <c r="N11" s="84">
        <v>1004021337</v>
      </c>
      <c r="O11" s="85" t="s">
        <v>351</v>
      </c>
      <c r="P11" s="113" t="s">
        <v>352</v>
      </c>
      <c r="Q11" s="85" t="s">
        <v>866</v>
      </c>
      <c r="R11" s="85" t="s">
        <v>184</v>
      </c>
      <c r="S11" s="85" t="s">
        <v>609</v>
      </c>
      <c r="T11" s="85" t="s">
        <v>148</v>
      </c>
      <c r="U11" s="86">
        <v>1017180</v>
      </c>
      <c r="V11" s="85" t="s">
        <v>146</v>
      </c>
      <c r="W11" s="86">
        <v>1012780</v>
      </c>
      <c r="X11" s="85" t="s">
        <v>146</v>
      </c>
      <c r="Y11" s="94">
        <v>0</v>
      </c>
      <c r="Z11" s="94">
        <v>6.35</v>
      </c>
      <c r="AA11" s="94">
        <v>6.75</v>
      </c>
      <c r="AB11" s="94">
        <v>0</v>
      </c>
      <c r="AC11" s="85" t="s">
        <v>724</v>
      </c>
      <c r="AD11" s="85" t="s">
        <v>147</v>
      </c>
      <c r="AE11" s="150">
        <v>1231.72</v>
      </c>
      <c r="AF11" s="151" t="s">
        <v>146</v>
      </c>
      <c r="AG11" s="150">
        <v>14657468</v>
      </c>
      <c r="AH11" s="151"/>
      <c r="AI11" s="150">
        <v>14657468</v>
      </c>
    </row>
    <row r="12" spans="1:35">
      <c r="A12" s="85"/>
      <c r="B12" s="85"/>
      <c r="C12" s="85"/>
      <c r="D12" s="85"/>
      <c r="E12" s="85" t="s">
        <v>863</v>
      </c>
      <c r="F12" s="87" t="s">
        <v>240</v>
      </c>
      <c r="G12" s="85"/>
      <c r="H12" s="85" t="s">
        <v>746</v>
      </c>
      <c r="I12" s="85" t="s">
        <v>865</v>
      </c>
      <c r="J12" s="84">
        <v>1005001403</v>
      </c>
      <c r="K12" s="85" t="s">
        <v>748</v>
      </c>
      <c r="L12" s="85" t="s">
        <v>42</v>
      </c>
      <c r="M12" s="84">
        <v>1001021337</v>
      </c>
      <c r="N12" s="84">
        <v>1004021337</v>
      </c>
      <c r="O12" s="85" t="s">
        <v>351</v>
      </c>
      <c r="P12" s="113" t="s">
        <v>352</v>
      </c>
      <c r="Q12" s="85" t="s">
        <v>866</v>
      </c>
      <c r="R12" s="85" t="s">
        <v>184</v>
      </c>
      <c r="S12" s="85" t="s">
        <v>609</v>
      </c>
      <c r="T12" s="85" t="s">
        <v>148</v>
      </c>
      <c r="U12" s="86">
        <v>1017180</v>
      </c>
      <c r="V12" s="85" t="s">
        <v>146</v>
      </c>
      <c r="W12" s="86">
        <v>1012780</v>
      </c>
      <c r="X12" s="85" t="s">
        <v>146</v>
      </c>
      <c r="Y12" s="94">
        <v>0</v>
      </c>
      <c r="Z12" s="94">
        <v>6.82</v>
      </c>
      <c r="AA12" s="94">
        <v>10.62</v>
      </c>
      <c r="AB12" s="94">
        <v>0</v>
      </c>
      <c r="AC12" s="85" t="s">
        <v>724</v>
      </c>
      <c r="AD12" s="85" t="s">
        <v>147</v>
      </c>
      <c r="AE12" s="150">
        <v>1359.2</v>
      </c>
      <c r="AF12" s="151" t="s">
        <v>146</v>
      </c>
      <c r="AG12" s="150">
        <v>16174480</v>
      </c>
      <c r="AH12" s="151"/>
      <c r="AI12" s="150">
        <v>16174480</v>
      </c>
    </row>
    <row r="13" spans="1:35">
      <c r="A13" s="85"/>
      <c r="B13" s="85"/>
      <c r="C13" s="85"/>
      <c r="D13" s="85"/>
      <c r="E13" s="85" t="s">
        <v>863</v>
      </c>
      <c r="F13" s="87" t="s">
        <v>240</v>
      </c>
      <c r="G13" s="85"/>
      <c r="H13" s="85" t="s">
        <v>746</v>
      </c>
      <c r="I13" s="85" t="s">
        <v>865</v>
      </c>
      <c r="J13" s="84">
        <v>1005001393</v>
      </c>
      <c r="K13" s="85" t="s">
        <v>747</v>
      </c>
      <c r="L13" s="85" t="s">
        <v>42</v>
      </c>
      <c r="M13" s="84">
        <v>1001021338</v>
      </c>
      <c r="N13" s="84">
        <v>1004021338</v>
      </c>
      <c r="O13" s="85" t="s">
        <v>351</v>
      </c>
      <c r="P13" s="113" t="s">
        <v>352</v>
      </c>
      <c r="Q13" s="85" t="s">
        <v>866</v>
      </c>
      <c r="R13" s="85" t="s">
        <v>184</v>
      </c>
      <c r="S13" s="85" t="s">
        <v>609</v>
      </c>
      <c r="T13" s="85" t="s">
        <v>148</v>
      </c>
      <c r="U13" s="86">
        <v>1018220</v>
      </c>
      <c r="V13" s="85" t="s">
        <v>146</v>
      </c>
      <c r="W13" s="86">
        <v>1015570</v>
      </c>
      <c r="X13" s="85" t="s">
        <v>146</v>
      </c>
      <c r="Y13" s="94">
        <v>0</v>
      </c>
      <c r="Z13" s="94">
        <v>6.18</v>
      </c>
      <c r="AA13" s="94">
        <v>4.9800000000000004</v>
      </c>
      <c r="AB13" s="94">
        <v>0</v>
      </c>
      <c r="AC13" s="85" t="s">
        <v>724</v>
      </c>
      <c r="AD13" s="85" t="s">
        <v>147</v>
      </c>
      <c r="AE13" s="150">
        <v>1761.69</v>
      </c>
      <c r="AF13" s="151" t="s">
        <v>146</v>
      </c>
      <c r="AG13" s="150">
        <v>20964111</v>
      </c>
      <c r="AH13" s="151"/>
      <c r="AI13" s="150">
        <v>20964111</v>
      </c>
    </row>
    <row r="14" spans="1:35">
      <c r="A14" s="85"/>
      <c r="B14" s="85"/>
      <c r="C14" s="85"/>
      <c r="D14" s="85"/>
      <c r="E14" s="85" t="s">
        <v>863</v>
      </c>
      <c r="F14" s="87" t="s">
        <v>240</v>
      </c>
      <c r="G14" s="85"/>
      <c r="H14" s="85" t="s">
        <v>746</v>
      </c>
      <c r="I14" s="85" t="s">
        <v>865</v>
      </c>
      <c r="J14" s="84">
        <v>1005001402</v>
      </c>
      <c r="K14" s="85" t="s">
        <v>748</v>
      </c>
      <c r="L14" s="85" t="s">
        <v>42</v>
      </c>
      <c r="M14" s="84">
        <v>1001021338</v>
      </c>
      <c r="N14" s="84">
        <v>1004021338</v>
      </c>
      <c r="O14" s="85" t="s">
        <v>351</v>
      </c>
      <c r="P14" s="113" t="s">
        <v>352</v>
      </c>
      <c r="Q14" s="85" t="s">
        <v>866</v>
      </c>
      <c r="R14" s="85" t="s">
        <v>184</v>
      </c>
      <c r="S14" s="85" t="s">
        <v>609</v>
      </c>
      <c r="T14" s="85" t="s">
        <v>148</v>
      </c>
      <c r="U14" s="86">
        <v>1018220</v>
      </c>
      <c r="V14" s="85" t="s">
        <v>146</v>
      </c>
      <c r="W14" s="86">
        <v>1015570</v>
      </c>
      <c r="X14" s="85" t="s">
        <v>146</v>
      </c>
      <c r="Y14" s="94">
        <v>0</v>
      </c>
      <c r="Z14" s="94">
        <v>7.01</v>
      </c>
      <c r="AA14" s="94">
        <v>8.15</v>
      </c>
      <c r="AB14" s="94">
        <v>0</v>
      </c>
      <c r="AC14" s="85" t="s">
        <v>724</v>
      </c>
      <c r="AD14" s="85" t="s">
        <v>147</v>
      </c>
      <c r="AE14" s="150">
        <v>40.71</v>
      </c>
      <c r="AF14" s="151" t="s">
        <v>146</v>
      </c>
      <c r="AG14" s="150">
        <v>484449</v>
      </c>
      <c r="AH14" s="151"/>
      <c r="AI14" s="150">
        <v>484449</v>
      </c>
    </row>
    <row r="15" spans="1:35">
      <c r="A15" s="85"/>
      <c r="B15" s="85"/>
      <c r="C15" s="85"/>
      <c r="D15" s="85"/>
      <c r="E15" s="85" t="s">
        <v>863</v>
      </c>
      <c r="F15" s="87" t="s">
        <v>240</v>
      </c>
      <c r="G15" s="85"/>
      <c r="H15" s="85" t="s">
        <v>746</v>
      </c>
      <c r="I15" s="85" t="s">
        <v>865</v>
      </c>
      <c r="J15" s="84">
        <v>1005001131</v>
      </c>
      <c r="K15" s="85" t="s">
        <v>37</v>
      </c>
      <c r="L15" s="85" t="s">
        <v>80</v>
      </c>
      <c r="M15" s="84">
        <v>1001021459</v>
      </c>
      <c r="N15" s="84">
        <v>1004021459</v>
      </c>
      <c r="O15" s="85" t="s">
        <v>144</v>
      </c>
      <c r="P15" s="113" t="s">
        <v>145</v>
      </c>
      <c r="Q15" s="85" t="s">
        <v>867</v>
      </c>
      <c r="R15" s="85" t="s">
        <v>184</v>
      </c>
      <c r="S15" s="85" t="s">
        <v>609</v>
      </c>
      <c r="T15" s="85" t="s">
        <v>148</v>
      </c>
      <c r="U15" s="86">
        <v>1005390</v>
      </c>
      <c r="V15" s="85" t="s">
        <v>146</v>
      </c>
      <c r="W15" s="86">
        <v>1005630</v>
      </c>
      <c r="X15" s="85" t="s">
        <v>146</v>
      </c>
      <c r="Y15" s="94">
        <v>5.7</v>
      </c>
      <c r="Z15" s="94">
        <v>0.28999999999999998</v>
      </c>
      <c r="AA15" s="94">
        <v>0</v>
      </c>
      <c r="AB15" s="94">
        <v>0</v>
      </c>
      <c r="AC15" s="85" t="s">
        <v>724</v>
      </c>
      <c r="AD15" s="85" t="s">
        <v>147</v>
      </c>
      <c r="AE15" s="150">
        <v>1005630</v>
      </c>
      <c r="AF15" s="151" t="s">
        <v>146</v>
      </c>
      <c r="AG15" s="150">
        <v>201126000</v>
      </c>
      <c r="AH15" s="151"/>
      <c r="AI15" s="150">
        <v>201126000</v>
      </c>
    </row>
    <row r="16" spans="1:35">
      <c r="A16" s="85"/>
      <c r="B16" s="85"/>
      <c r="C16" s="85"/>
      <c r="D16" s="85"/>
      <c r="E16" s="85" t="s">
        <v>863</v>
      </c>
      <c r="F16" s="87" t="s">
        <v>240</v>
      </c>
      <c r="G16" s="85"/>
      <c r="H16" s="85" t="s">
        <v>746</v>
      </c>
      <c r="I16" s="85" t="s">
        <v>865</v>
      </c>
      <c r="J16" s="84">
        <v>1005001132</v>
      </c>
      <c r="K16" s="85" t="s">
        <v>37</v>
      </c>
      <c r="L16" s="85" t="s">
        <v>80</v>
      </c>
      <c r="M16" s="84">
        <v>1001021460</v>
      </c>
      <c r="N16" s="84">
        <v>1004021460</v>
      </c>
      <c r="O16" s="85" t="s">
        <v>144</v>
      </c>
      <c r="P16" s="113" t="s">
        <v>145</v>
      </c>
      <c r="Q16" s="85" t="s">
        <v>867</v>
      </c>
      <c r="R16" s="85" t="s">
        <v>184</v>
      </c>
      <c r="S16" s="85" t="s">
        <v>609</v>
      </c>
      <c r="T16" s="85" t="s">
        <v>148</v>
      </c>
      <c r="U16" s="86">
        <v>1010670</v>
      </c>
      <c r="V16" s="85" t="s">
        <v>146</v>
      </c>
      <c r="W16" s="86">
        <v>1013700</v>
      </c>
      <c r="X16" s="85" t="s">
        <v>146</v>
      </c>
      <c r="Y16" s="94">
        <v>5.54</v>
      </c>
      <c r="Z16" s="94">
        <v>0.24</v>
      </c>
      <c r="AA16" s="94">
        <v>0</v>
      </c>
      <c r="AB16" s="94">
        <v>0</v>
      </c>
      <c r="AC16" s="85" t="s">
        <v>724</v>
      </c>
      <c r="AD16" s="85" t="s">
        <v>147</v>
      </c>
      <c r="AE16" s="150">
        <v>1013700</v>
      </c>
      <c r="AF16" s="151" t="s">
        <v>146</v>
      </c>
      <c r="AG16" s="150">
        <v>202740000</v>
      </c>
      <c r="AH16" s="151"/>
      <c r="AI16" s="150">
        <v>202740000</v>
      </c>
    </row>
    <row r="17" spans="1:35">
      <c r="A17" s="85"/>
      <c r="B17" s="85"/>
      <c r="C17" s="85"/>
      <c r="D17" s="85"/>
      <c r="E17" s="85" t="s">
        <v>863</v>
      </c>
      <c r="F17" s="87" t="s">
        <v>240</v>
      </c>
      <c r="G17" s="85"/>
      <c r="H17" s="85" t="s">
        <v>746</v>
      </c>
      <c r="I17" s="85" t="s">
        <v>865</v>
      </c>
      <c r="J17" s="84">
        <v>1005001133</v>
      </c>
      <c r="K17" s="85" t="s">
        <v>37</v>
      </c>
      <c r="L17" s="85" t="s">
        <v>80</v>
      </c>
      <c r="M17" s="84">
        <v>1001021594</v>
      </c>
      <c r="N17" s="84">
        <v>1004021594</v>
      </c>
      <c r="O17" s="85" t="s">
        <v>144</v>
      </c>
      <c r="P17" s="113" t="s">
        <v>145</v>
      </c>
      <c r="Q17" s="85" t="s">
        <v>867</v>
      </c>
      <c r="R17" s="85" t="s">
        <v>184</v>
      </c>
      <c r="S17" s="85" t="s">
        <v>609</v>
      </c>
      <c r="T17" s="85" t="s">
        <v>148</v>
      </c>
      <c r="U17" s="86">
        <v>1009450</v>
      </c>
      <c r="V17" s="85" t="s">
        <v>146</v>
      </c>
      <c r="W17" s="86">
        <v>1007820</v>
      </c>
      <c r="X17" s="85" t="s">
        <v>146</v>
      </c>
      <c r="Y17" s="94">
        <v>5.5</v>
      </c>
      <c r="Z17" s="94">
        <v>0.26</v>
      </c>
      <c r="AA17" s="94">
        <v>0</v>
      </c>
      <c r="AB17" s="94">
        <v>0</v>
      </c>
      <c r="AC17" s="85" t="s">
        <v>724</v>
      </c>
      <c r="AD17" s="85" t="s">
        <v>147</v>
      </c>
      <c r="AE17" s="150">
        <v>1007820</v>
      </c>
      <c r="AF17" s="151" t="s">
        <v>146</v>
      </c>
      <c r="AG17" s="150">
        <v>100782000</v>
      </c>
      <c r="AH17" s="151"/>
      <c r="AI17" s="150">
        <v>100782000</v>
      </c>
    </row>
    <row r="18" spans="1:35">
      <c r="A18" s="85"/>
      <c r="B18" s="85"/>
      <c r="C18" s="85"/>
      <c r="D18" s="85"/>
      <c r="E18" s="85" t="s">
        <v>863</v>
      </c>
      <c r="F18" s="87" t="s">
        <v>240</v>
      </c>
      <c r="G18" s="85"/>
      <c r="H18" s="85" t="s">
        <v>746</v>
      </c>
      <c r="I18" s="85" t="s">
        <v>865</v>
      </c>
      <c r="J18" s="84">
        <v>1005001134</v>
      </c>
      <c r="K18" s="85" t="s">
        <v>37</v>
      </c>
      <c r="L18" s="85" t="s">
        <v>80</v>
      </c>
      <c r="M18" s="84">
        <v>1001021595</v>
      </c>
      <c r="N18" s="84">
        <v>1004021595</v>
      </c>
      <c r="O18" s="85" t="s">
        <v>144</v>
      </c>
      <c r="P18" s="113" t="s">
        <v>145</v>
      </c>
      <c r="Q18" s="85" t="s">
        <v>867</v>
      </c>
      <c r="R18" s="85" t="s">
        <v>184</v>
      </c>
      <c r="S18" s="85" t="s">
        <v>609</v>
      </c>
      <c r="T18" s="85" t="s">
        <v>148</v>
      </c>
      <c r="U18" s="86">
        <v>1012040</v>
      </c>
      <c r="V18" s="85" t="s">
        <v>146</v>
      </c>
      <c r="W18" s="86">
        <v>1011240</v>
      </c>
      <c r="X18" s="85" t="s">
        <v>146</v>
      </c>
      <c r="Y18" s="94">
        <v>5.88</v>
      </c>
      <c r="Z18" s="94">
        <v>0.25</v>
      </c>
      <c r="AA18" s="94">
        <v>0</v>
      </c>
      <c r="AB18" s="94">
        <v>0</v>
      </c>
      <c r="AC18" s="85" t="s">
        <v>724</v>
      </c>
      <c r="AD18" s="85" t="s">
        <v>147</v>
      </c>
      <c r="AE18" s="150">
        <v>1011240</v>
      </c>
      <c r="AF18" s="151" t="s">
        <v>146</v>
      </c>
      <c r="AG18" s="150">
        <v>202248000</v>
      </c>
      <c r="AH18" s="151"/>
      <c r="AI18" s="150">
        <v>202248000</v>
      </c>
    </row>
    <row r="19" spans="1:35">
      <c r="A19" s="85"/>
      <c r="B19" s="85"/>
      <c r="C19" s="85"/>
      <c r="D19" s="85"/>
      <c r="E19" s="85" t="s">
        <v>863</v>
      </c>
      <c r="F19" s="87" t="s">
        <v>240</v>
      </c>
      <c r="G19" s="85"/>
      <c r="H19" s="85" t="s">
        <v>746</v>
      </c>
      <c r="I19" s="85" t="s">
        <v>865</v>
      </c>
      <c r="J19" s="84">
        <v>1005001385</v>
      </c>
      <c r="K19" s="85" t="s">
        <v>114</v>
      </c>
      <c r="L19" s="85" t="s">
        <v>42</v>
      </c>
      <c r="M19" s="84">
        <v>1001022057</v>
      </c>
      <c r="N19" s="84">
        <v>1004022057</v>
      </c>
      <c r="O19" s="85" t="s">
        <v>351</v>
      </c>
      <c r="P19" s="113" t="s">
        <v>352</v>
      </c>
      <c r="Q19" s="85" t="s">
        <v>866</v>
      </c>
      <c r="R19" s="85" t="s">
        <v>184</v>
      </c>
      <c r="S19" s="85" t="s">
        <v>609</v>
      </c>
      <c r="T19" s="85" t="s">
        <v>148</v>
      </c>
      <c r="U19" s="86">
        <v>499650</v>
      </c>
      <c r="V19" s="85" t="s">
        <v>146</v>
      </c>
      <c r="W19" s="86">
        <v>499250</v>
      </c>
      <c r="X19" s="85" t="s">
        <v>146</v>
      </c>
      <c r="Y19" s="94">
        <v>0</v>
      </c>
      <c r="Z19" s="94">
        <v>5.07</v>
      </c>
      <c r="AA19" s="94">
        <v>3.63</v>
      </c>
      <c r="AB19" s="94">
        <v>0</v>
      </c>
      <c r="AC19" s="85" t="s">
        <v>724</v>
      </c>
      <c r="AD19" s="85" t="s">
        <v>147</v>
      </c>
      <c r="AE19" s="150">
        <v>121.8</v>
      </c>
      <c r="AF19" s="151" t="s">
        <v>146</v>
      </c>
      <c r="AG19" s="150">
        <v>1674750</v>
      </c>
      <c r="AH19" s="151"/>
      <c r="AI19" s="150">
        <v>1674750</v>
      </c>
    </row>
    <row r="20" spans="1:35">
      <c r="A20" s="85"/>
      <c r="B20" s="85"/>
      <c r="C20" s="85"/>
      <c r="D20" s="85"/>
      <c r="E20" s="85" t="s">
        <v>863</v>
      </c>
      <c r="F20" s="87" t="s">
        <v>240</v>
      </c>
      <c r="G20" s="85"/>
      <c r="H20" s="85" t="s">
        <v>746</v>
      </c>
      <c r="I20" s="85" t="s">
        <v>865</v>
      </c>
      <c r="J20" s="84">
        <v>1005001135</v>
      </c>
      <c r="K20" s="85" t="s">
        <v>37</v>
      </c>
      <c r="L20" s="85" t="s">
        <v>80</v>
      </c>
      <c r="M20" s="84">
        <v>1001022446</v>
      </c>
      <c r="N20" s="84">
        <v>1004022446</v>
      </c>
      <c r="O20" s="85" t="s">
        <v>144</v>
      </c>
      <c r="P20" s="113" t="s">
        <v>145</v>
      </c>
      <c r="Q20" s="85" t="s">
        <v>867</v>
      </c>
      <c r="R20" s="85" t="s">
        <v>184</v>
      </c>
      <c r="S20" s="85" t="s">
        <v>609</v>
      </c>
      <c r="T20" s="85" t="s">
        <v>148</v>
      </c>
      <c r="U20" s="86">
        <v>1001100</v>
      </c>
      <c r="V20" s="85" t="s">
        <v>146</v>
      </c>
      <c r="W20" s="86">
        <v>1000730</v>
      </c>
      <c r="X20" s="85" t="s">
        <v>146</v>
      </c>
      <c r="Y20" s="94">
        <v>5.88</v>
      </c>
      <c r="Z20" s="94">
        <v>0.23</v>
      </c>
      <c r="AA20" s="94">
        <v>0</v>
      </c>
      <c r="AB20" s="94">
        <v>0</v>
      </c>
      <c r="AC20" s="85" t="s">
        <v>724</v>
      </c>
      <c r="AD20" s="85" t="s">
        <v>147</v>
      </c>
      <c r="AE20" s="150">
        <v>1000730</v>
      </c>
      <c r="AF20" s="151" t="s">
        <v>146</v>
      </c>
      <c r="AG20" s="150">
        <v>200146000</v>
      </c>
      <c r="AH20" s="151"/>
      <c r="AI20" s="150">
        <v>200146000</v>
      </c>
    </row>
    <row r="21" spans="1:35">
      <c r="A21" s="85"/>
      <c r="B21" s="85"/>
      <c r="C21" s="85"/>
      <c r="D21" s="85"/>
      <c r="E21" s="85" t="s">
        <v>863</v>
      </c>
      <c r="F21" s="87" t="s">
        <v>240</v>
      </c>
      <c r="G21" s="85"/>
      <c r="H21" s="85" t="s">
        <v>746</v>
      </c>
      <c r="I21" s="85" t="s">
        <v>865</v>
      </c>
      <c r="J21" s="84">
        <v>1005001136</v>
      </c>
      <c r="K21" s="85" t="s">
        <v>37</v>
      </c>
      <c r="L21" s="85" t="s">
        <v>80</v>
      </c>
      <c r="M21" s="84">
        <v>1001022447</v>
      </c>
      <c r="N21" s="84">
        <v>1004022447</v>
      </c>
      <c r="O21" s="85" t="s">
        <v>144</v>
      </c>
      <c r="P21" s="113" t="s">
        <v>145</v>
      </c>
      <c r="Q21" s="85" t="s">
        <v>867</v>
      </c>
      <c r="R21" s="85" t="s">
        <v>184</v>
      </c>
      <c r="S21" s="85" t="s">
        <v>609</v>
      </c>
      <c r="T21" s="85" t="s">
        <v>148</v>
      </c>
      <c r="U21" s="86">
        <v>992060</v>
      </c>
      <c r="V21" s="85" t="s">
        <v>146</v>
      </c>
      <c r="W21" s="86">
        <v>992680</v>
      </c>
      <c r="X21" s="85" t="s">
        <v>146</v>
      </c>
      <c r="Y21" s="94">
        <v>6.12</v>
      </c>
      <c r="Z21" s="94">
        <v>0.22</v>
      </c>
      <c r="AA21" s="94">
        <v>0</v>
      </c>
      <c r="AB21" s="94">
        <v>0</v>
      </c>
      <c r="AC21" s="85" t="s">
        <v>724</v>
      </c>
      <c r="AD21" s="85" t="s">
        <v>147</v>
      </c>
      <c r="AE21" s="150">
        <v>992680</v>
      </c>
      <c r="AF21" s="151" t="s">
        <v>146</v>
      </c>
      <c r="AG21" s="150">
        <v>397072000</v>
      </c>
      <c r="AH21" s="151"/>
      <c r="AI21" s="150">
        <v>397072000</v>
      </c>
    </row>
    <row r="22" spans="1:35">
      <c r="A22" s="85"/>
      <c r="B22" s="85"/>
      <c r="C22" s="85"/>
      <c r="D22" s="85"/>
      <c r="E22" s="85" t="s">
        <v>863</v>
      </c>
      <c r="F22" s="87" t="s">
        <v>240</v>
      </c>
      <c r="G22" s="85"/>
      <c r="H22" s="85" t="s">
        <v>746</v>
      </c>
      <c r="I22" s="85" t="s">
        <v>865</v>
      </c>
      <c r="J22" s="84">
        <v>1005001137</v>
      </c>
      <c r="K22" s="85" t="s">
        <v>37</v>
      </c>
      <c r="L22" s="85" t="s">
        <v>80</v>
      </c>
      <c r="M22" s="84">
        <v>1001022795</v>
      </c>
      <c r="N22" s="84">
        <v>1004022795</v>
      </c>
      <c r="O22" s="85" t="s">
        <v>144</v>
      </c>
      <c r="P22" s="113" t="s">
        <v>145</v>
      </c>
      <c r="Q22" s="85" t="s">
        <v>867</v>
      </c>
      <c r="R22" s="85" t="s">
        <v>184</v>
      </c>
      <c r="S22" s="85" t="s">
        <v>609</v>
      </c>
      <c r="T22" s="85" t="s">
        <v>148</v>
      </c>
      <c r="U22" s="86">
        <v>1008240</v>
      </c>
      <c r="V22" s="85" t="s">
        <v>146</v>
      </c>
      <c r="W22" s="86">
        <v>1008430</v>
      </c>
      <c r="X22" s="85" t="s">
        <v>146</v>
      </c>
      <c r="Y22" s="94">
        <v>5.75</v>
      </c>
      <c r="Z22" s="94">
        <v>0.25</v>
      </c>
      <c r="AA22" s="94">
        <v>0</v>
      </c>
      <c r="AB22" s="94">
        <v>0</v>
      </c>
      <c r="AC22" s="85" t="s">
        <v>724</v>
      </c>
      <c r="AD22" s="85" t="s">
        <v>147</v>
      </c>
      <c r="AE22" s="150">
        <v>1008430</v>
      </c>
      <c r="AF22" s="151" t="s">
        <v>146</v>
      </c>
      <c r="AG22" s="150">
        <v>201686000</v>
      </c>
      <c r="AH22" s="151"/>
      <c r="AI22" s="150">
        <v>201686000</v>
      </c>
    </row>
    <row r="23" spans="1:35">
      <c r="A23" s="85"/>
      <c r="B23" s="85"/>
      <c r="C23" s="85"/>
      <c r="D23" s="85"/>
      <c r="E23" s="85" t="s">
        <v>863</v>
      </c>
      <c r="F23" s="87" t="s">
        <v>240</v>
      </c>
      <c r="G23" s="85"/>
      <c r="H23" s="85" t="s">
        <v>746</v>
      </c>
      <c r="I23" s="85" t="s">
        <v>865</v>
      </c>
      <c r="J23" s="84">
        <v>1005001473</v>
      </c>
      <c r="K23" s="85" t="s">
        <v>38</v>
      </c>
      <c r="L23" s="85" t="s">
        <v>80</v>
      </c>
      <c r="M23" s="84">
        <v>1001022796</v>
      </c>
      <c r="N23" s="84">
        <v>1004022796</v>
      </c>
      <c r="O23" s="85" t="s">
        <v>144</v>
      </c>
      <c r="P23" s="113" t="s">
        <v>145</v>
      </c>
      <c r="Q23" s="85" t="s">
        <v>867</v>
      </c>
      <c r="R23" s="85" t="s">
        <v>184</v>
      </c>
      <c r="S23" s="85" t="s">
        <v>609</v>
      </c>
      <c r="T23" s="85" t="s">
        <v>148</v>
      </c>
      <c r="U23" s="86">
        <v>1006890</v>
      </c>
      <c r="V23" s="85" t="s">
        <v>146</v>
      </c>
      <c r="W23" s="86">
        <v>1005920</v>
      </c>
      <c r="X23" s="85" t="s">
        <v>146</v>
      </c>
      <c r="Y23" s="94">
        <v>6.27</v>
      </c>
      <c r="Z23" s="94">
        <v>0.24</v>
      </c>
      <c r="AA23" s="94">
        <v>0</v>
      </c>
      <c r="AB23" s="94">
        <v>0</v>
      </c>
      <c r="AC23" s="85" t="s">
        <v>724</v>
      </c>
      <c r="AD23" s="85" t="s">
        <v>147</v>
      </c>
      <c r="AE23" s="150">
        <v>992120</v>
      </c>
      <c r="AF23" s="151" t="s">
        <v>146</v>
      </c>
      <c r="AG23" s="150">
        <v>402368000</v>
      </c>
      <c r="AH23" s="151"/>
      <c r="AI23" s="150">
        <v>402368000</v>
      </c>
    </row>
    <row r="24" spans="1:35">
      <c r="A24" s="85"/>
      <c r="B24" s="85"/>
      <c r="C24" s="85"/>
      <c r="D24" s="85"/>
      <c r="E24" s="85" t="s">
        <v>863</v>
      </c>
      <c r="F24" s="87" t="s">
        <v>240</v>
      </c>
      <c r="G24" s="85"/>
      <c r="H24" s="85" t="s">
        <v>749</v>
      </c>
      <c r="I24" s="85" t="s">
        <v>865</v>
      </c>
      <c r="J24" s="84">
        <v>1005001767</v>
      </c>
      <c r="K24" s="85" t="s">
        <v>109</v>
      </c>
      <c r="L24" s="85" t="s">
        <v>42</v>
      </c>
      <c r="M24" s="84">
        <v>1001024812</v>
      </c>
      <c r="N24" s="84">
        <v>1004024812</v>
      </c>
      <c r="O24" s="85" t="s">
        <v>178</v>
      </c>
      <c r="P24" s="113" t="s">
        <v>179</v>
      </c>
      <c r="Q24" s="85" t="s">
        <v>868</v>
      </c>
      <c r="R24" s="85" t="s">
        <v>184</v>
      </c>
      <c r="S24" s="85" t="s">
        <v>609</v>
      </c>
      <c r="T24" s="85" t="s">
        <v>148</v>
      </c>
      <c r="U24" s="86">
        <v>2000620</v>
      </c>
      <c r="V24" s="85" t="s">
        <v>146</v>
      </c>
      <c r="W24" s="86">
        <v>1925390</v>
      </c>
      <c r="X24" s="85" t="s">
        <v>146</v>
      </c>
      <c r="Y24" s="94">
        <v>0</v>
      </c>
      <c r="Z24" s="94">
        <v>27.13</v>
      </c>
      <c r="AA24" s="94">
        <v>0.48</v>
      </c>
      <c r="AB24" s="94">
        <v>0</v>
      </c>
      <c r="AC24" s="85" t="s">
        <v>724</v>
      </c>
      <c r="AD24" s="85" t="s">
        <v>147</v>
      </c>
      <c r="AE24" s="150">
        <v>1925390</v>
      </c>
      <c r="AF24" s="151" t="s">
        <v>146</v>
      </c>
      <c r="AG24" s="150">
        <v>164736372</v>
      </c>
      <c r="AH24" s="151"/>
      <c r="AI24" s="150">
        <v>164736372</v>
      </c>
    </row>
    <row r="25" spans="1:35">
      <c r="A25" s="85"/>
      <c r="B25" s="85"/>
      <c r="C25" s="85"/>
      <c r="D25" s="85"/>
      <c r="E25" s="85" t="s">
        <v>863</v>
      </c>
      <c r="F25" s="87" t="s">
        <v>240</v>
      </c>
      <c r="G25" s="85"/>
      <c r="H25" s="85" t="s">
        <v>746</v>
      </c>
      <c r="I25" s="85" t="s">
        <v>865</v>
      </c>
      <c r="J25" s="84">
        <v>9145000170</v>
      </c>
      <c r="K25" s="85" t="s">
        <v>39</v>
      </c>
      <c r="L25" s="85" t="s">
        <v>42</v>
      </c>
      <c r="M25" s="84">
        <v>9141001618</v>
      </c>
      <c r="N25" s="84">
        <v>9144101618</v>
      </c>
      <c r="O25" s="85" t="s">
        <v>144</v>
      </c>
      <c r="P25" s="113" t="s">
        <v>145</v>
      </c>
      <c r="Q25" s="85" t="s">
        <v>867</v>
      </c>
      <c r="R25" s="85" t="s">
        <v>184</v>
      </c>
      <c r="S25" s="85" t="s">
        <v>609</v>
      </c>
      <c r="T25" s="85" t="s">
        <v>162</v>
      </c>
      <c r="U25" s="86">
        <v>1005010</v>
      </c>
      <c r="V25" s="85" t="s">
        <v>146</v>
      </c>
      <c r="W25" s="86">
        <v>1005010</v>
      </c>
      <c r="X25" s="85" t="s">
        <v>146</v>
      </c>
      <c r="Y25" s="94">
        <v>5.15</v>
      </c>
      <c r="Z25" s="94">
        <v>0.31</v>
      </c>
      <c r="AA25" s="94">
        <v>0</v>
      </c>
      <c r="AB25" s="94">
        <v>0</v>
      </c>
      <c r="AC25" s="85" t="s">
        <v>724</v>
      </c>
      <c r="AD25" s="85" t="s">
        <v>147</v>
      </c>
      <c r="AE25" s="150">
        <v>207220</v>
      </c>
      <c r="AF25" s="151" t="s">
        <v>146</v>
      </c>
      <c r="AG25" s="150">
        <v>20722000</v>
      </c>
      <c r="AH25" s="150">
        <v>2279420</v>
      </c>
      <c r="AI25" s="150">
        <v>23001420</v>
      </c>
    </row>
    <row r="26" spans="1:35">
      <c r="A26" s="85"/>
      <c r="B26" s="85"/>
      <c r="C26" s="85"/>
      <c r="D26" s="85"/>
      <c r="E26" s="85" t="s">
        <v>863</v>
      </c>
      <c r="F26" s="87" t="s">
        <v>240</v>
      </c>
      <c r="G26" s="85"/>
      <c r="H26" s="85" t="s">
        <v>746</v>
      </c>
      <c r="I26" s="85" t="s">
        <v>865</v>
      </c>
      <c r="J26" s="84">
        <v>9145000171</v>
      </c>
      <c r="K26" s="85" t="s">
        <v>39</v>
      </c>
      <c r="L26" s="85" t="s">
        <v>42</v>
      </c>
      <c r="M26" s="84">
        <v>9141001647</v>
      </c>
      <c r="N26" s="84">
        <v>9144101647</v>
      </c>
      <c r="O26" s="85" t="s">
        <v>144</v>
      </c>
      <c r="P26" s="113" t="s">
        <v>145</v>
      </c>
      <c r="Q26" s="85" t="s">
        <v>867</v>
      </c>
      <c r="R26" s="85" t="s">
        <v>184</v>
      </c>
      <c r="S26" s="85" t="s">
        <v>609</v>
      </c>
      <c r="T26" s="85" t="s">
        <v>162</v>
      </c>
      <c r="U26" s="86">
        <v>991900</v>
      </c>
      <c r="V26" s="85" t="s">
        <v>146</v>
      </c>
      <c r="W26" s="86">
        <v>991900</v>
      </c>
      <c r="X26" s="85" t="s">
        <v>146</v>
      </c>
      <c r="Y26" s="94">
        <v>5.21</v>
      </c>
      <c r="Z26" s="94">
        <v>0.31</v>
      </c>
      <c r="AA26" s="94">
        <v>0</v>
      </c>
      <c r="AB26" s="94">
        <v>0</v>
      </c>
      <c r="AC26" s="85" t="s">
        <v>724</v>
      </c>
      <c r="AD26" s="85" t="s">
        <v>147</v>
      </c>
      <c r="AE26" s="150">
        <v>206950</v>
      </c>
      <c r="AF26" s="151" t="s">
        <v>146</v>
      </c>
      <c r="AG26" s="150">
        <v>20695000</v>
      </c>
      <c r="AH26" s="150">
        <v>2276450</v>
      </c>
      <c r="AI26" s="150">
        <v>22971450</v>
      </c>
    </row>
    <row r="27" spans="1:35">
      <c r="A27" s="85"/>
      <c r="B27" s="85"/>
      <c r="C27" s="85"/>
      <c r="D27" s="85"/>
      <c r="E27" s="85" t="s">
        <v>863</v>
      </c>
      <c r="F27" s="87" t="s">
        <v>240</v>
      </c>
      <c r="G27" s="85"/>
      <c r="H27" s="85" t="s">
        <v>746</v>
      </c>
      <c r="I27" s="85" t="s">
        <v>865</v>
      </c>
      <c r="J27" s="84">
        <v>9145000172</v>
      </c>
      <c r="K27" s="85" t="s">
        <v>39</v>
      </c>
      <c r="L27" s="85" t="s">
        <v>42</v>
      </c>
      <c r="M27" s="84">
        <v>9141001657</v>
      </c>
      <c r="N27" s="84">
        <v>9144101657</v>
      </c>
      <c r="O27" s="85" t="s">
        <v>144</v>
      </c>
      <c r="P27" s="113" t="s">
        <v>145</v>
      </c>
      <c r="Q27" s="85" t="s">
        <v>867</v>
      </c>
      <c r="R27" s="85" t="s">
        <v>184</v>
      </c>
      <c r="S27" s="85" t="s">
        <v>609</v>
      </c>
      <c r="T27" s="85" t="s">
        <v>162</v>
      </c>
      <c r="U27" s="86">
        <v>1008840</v>
      </c>
      <c r="V27" s="85" t="s">
        <v>146</v>
      </c>
      <c r="W27" s="86">
        <v>1008840</v>
      </c>
      <c r="X27" s="85" t="s">
        <v>146</v>
      </c>
      <c r="Y27" s="94">
        <v>5.39</v>
      </c>
      <c r="Z27" s="94">
        <v>0.32</v>
      </c>
      <c r="AA27" s="94">
        <v>0</v>
      </c>
      <c r="AB27" s="94">
        <v>0</v>
      </c>
      <c r="AC27" s="85" t="s">
        <v>724</v>
      </c>
      <c r="AD27" s="85" t="s">
        <v>147</v>
      </c>
      <c r="AE27" s="150">
        <v>158530</v>
      </c>
      <c r="AF27" s="151" t="s">
        <v>146</v>
      </c>
      <c r="AG27" s="150">
        <v>17311000</v>
      </c>
      <c r="AH27" s="150">
        <v>1904210</v>
      </c>
      <c r="AI27" s="150">
        <v>19215210</v>
      </c>
    </row>
    <row r="28" spans="1:35">
      <c r="A28" s="90"/>
      <c r="B28" s="90" t="s">
        <v>149</v>
      </c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116"/>
      <c r="Q28" s="90"/>
      <c r="R28" s="90"/>
      <c r="S28" s="90"/>
      <c r="T28" s="90"/>
      <c r="U28" s="90"/>
      <c r="V28" s="90"/>
      <c r="W28" s="90"/>
      <c r="X28" s="90"/>
      <c r="Y28" s="95"/>
      <c r="Z28" s="95"/>
      <c r="AA28" s="95"/>
      <c r="AB28" s="95"/>
      <c r="AC28" s="90"/>
      <c r="AD28" s="90"/>
      <c r="AE28" s="145">
        <v>10534955.119999999</v>
      </c>
      <c r="AF28" s="146" t="s">
        <v>146</v>
      </c>
      <c r="AG28" s="145">
        <v>2185587630</v>
      </c>
      <c r="AH28" s="145">
        <v>6460080</v>
      </c>
      <c r="AI28" s="145">
        <v>2192047710</v>
      </c>
    </row>
    <row r="29" spans="1:35">
      <c r="A29" s="84">
        <v>3</v>
      </c>
      <c r="B29" s="85" t="s">
        <v>261</v>
      </c>
      <c r="C29" s="85" t="s">
        <v>262</v>
      </c>
      <c r="D29" s="85" t="s">
        <v>263</v>
      </c>
      <c r="E29" s="85" t="s">
        <v>863</v>
      </c>
      <c r="F29" s="85" t="s">
        <v>262</v>
      </c>
      <c r="G29" s="85" t="s">
        <v>864</v>
      </c>
      <c r="H29" s="85" t="s">
        <v>746</v>
      </c>
      <c r="I29" s="85" t="s">
        <v>865</v>
      </c>
      <c r="J29" s="84">
        <v>9145000197</v>
      </c>
      <c r="K29" s="85" t="s">
        <v>90</v>
      </c>
      <c r="L29" s="85" t="s">
        <v>48</v>
      </c>
      <c r="M29" s="84">
        <v>9141001873</v>
      </c>
      <c r="N29" s="84">
        <v>9144101873</v>
      </c>
      <c r="O29" s="85" t="s">
        <v>144</v>
      </c>
      <c r="P29" s="113" t="s">
        <v>145</v>
      </c>
      <c r="Q29" s="85" t="s">
        <v>867</v>
      </c>
      <c r="R29" s="85" t="s">
        <v>184</v>
      </c>
      <c r="S29" s="85" t="s">
        <v>609</v>
      </c>
      <c r="T29" s="85" t="s">
        <v>162</v>
      </c>
      <c r="U29" s="86">
        <v>496250</v>
      </c>
      <c r="V29" s="85" t="s">
        <v>146</v>
      </c>
      <c r="W29" s="86">
        <v>496250</v>
      </c>
      <c r="X29" s="85" t="s">
        <v>146</v>
      </c>
      <c r="Y29" s="94">
        <v>5.2</v>
      </c>
      <c r="Z29" s="94">
        <v>0.36</v>
      </c>
      <c r="AA29" s="94">
        <v>0</v>
      </c>
      <c r="AB29" s="94">
        <v>0</v>
      </c>
      <c r="AC29" s="85" t="s">
        <v>724</v>
      </c>
      <c r="AD29" s="85" t="s">
        <v>147</v>
      </c>
      <c r="AE29" s="150">
        <v>472090</v>
      </c>
      <c r="AF29" s="151" t="s">
        <v>146</v>
      </c>
      <c r="AG29" s="150">
        <v>23604500</v>
      </c>
      <c r="AH29" s="150">
        <v>2596495</v>
      </c>
      <c r="AI29" s="150">
        <v>26200995</v>
      </c>
    </row>
    <row r="30" spans="1:35">
      <c r="A30" s="85"/>
      <c r="B30" s="85"/>
      <c r="C30" s="85"/>
      <c r="D30" s="85"/>
      <c r="E30" s="85" t="s">
        <v>863</v>
      </c>
      <c r="F30" s="87" t="s">
        <v>262</v>
      </c>
      <c r="G30" s="85"/>
      <c r="H30" s="85" t="s">
        <v>746</v>
      </c>
      <c r="I30" s="85" t="s">
        <v>865</v>
      </c>
      <c r="J30" s="84">
        <v>9145000198</v>
      </c>
      <c r="K30" s="85" t="s">
        <v>90</v>
      </c>
      <c r="L30" s="85" t="s">
        <v>48</v>
      </c>
      <c r="M30" s="84">
        <v>9141001880</v>
      </c>
      <c r="N30" s="84">
        <v>9144101880</v>
      </c>
      <c r="O30" s="85" t="s">
        <v>144</v>
      </c>
      <c r="P30" s="113" t="s">
        <v>145</v>
      </c>
      <c r="Q30" s="85" t="s">
        <v>867</v>
      </c>
      <c r="R30" s="85" t="s">
        <v>184</v>
      </c>
      <c r="S30" s="85" t="s">
        <v>609</v>
      </c>
      <c r="T30" s="85" t="s">
        <v>162</v>
      </c>
      <c r="U30" s="86">
        <v>501150</v>
      </c>
      <c r="V30" s="85" t="s">
        <v>146</v>
      </c>
      <c r="W30" s="86">
        <v>501150</v>
      </c>
      <c r="X30" s="85" t="s">
        <v>146</v>
      </c>
      <c r="Y30" s="94">
        <v>5.28</v>
      </c>
      <c r="Z30" s="94">
        <v>0.28000000000000003</v>
      </c>
      <c r="AA30" s="94">
        <v>0</v>
      </c>
      <c r="AB30" s="94">
        <v>0</v>
      </c>
      <c r="AC30" s="85" t="s">
        <v>724</v>
      </c>
      <c r="AD30" s="85" t="s">
        <v>147</v>
      </c>
      <c r="AE30" s="150">
        <v>501150</v>
      </c>
      <c r="AF30" s="151" t="s">
        <v>146</v>
      </c>
      <c r="AG30" s="150">
        <v>25057500</v>
      </c>
      <c r="AH30" s="150">
        <v>2756325</v>
      </c>
      <c r="AI30" s="150">
        <v>27813825</v>
      </c>
    </row>
    <row r="31" spans="1:35">
      <c r="A31" s="85"/>
      <c r="B31" s="85"/>
      <c r="C31" s="85"/>
      <c r="D31" s="85"/>
      <c r="E31" s="85" t="s">
        <v>863</v>
      </c>
      <c r="F31" s="87" t="s">
        <v>262</v>
      </c>
      <c r="G31" s="85"/>
      <c r="H31" s="85" t="s">
        <v>746</v>
      </c>
      <c r="I31" s="85" t="s">
        <v>865</v>
      </c>
      <c r="J31" s="84">
        <v>9145000199</v>
      </c>
      <c r="K31" s="85" t="s">
        <v>90</v>
      </c>
      <c r="L31" s="85" t="s">
        <v>48</v>
      </c>
      <c r="M31" s="84">
        <v>9141001884</v>
      </c>
      <c r="N31" s="84">
        <v>9144101884</v>
      </c>
      <c r="O31" s="85" t="s">
        <v>144</v>
      </c>
      <c r="P31" s="113" t="s">
        <v>145</v>
      </c>
      <c r="Q31" s="85" t="s">
        <v>867</v>
      </c>
      <c r="R31" s="85" t="s">
        <v>184</v>
      </c>
      <c r="S31" s="85" t="s">
        <v>609</v>
      </c>
      <c r="T31" s="85" t="s">
        <v>162</v>
      </c>
      <c r="U31" s="86">
        <v>304980</v>
      </c>
      <c r="V31" s="85" t="s">
        <v>146</v>
      </c>
      <c r="W31" s="86">
        <v>304980</v>
      </c>
      <c r="X31" s="85" t="s">
        <v>146</v>
      </c>
      <c r="Y31" s="94">
        <v>5.29</v>
      </c>
      <c r="Z31" s="94">
        <v>0.28000000000000003</v>
      </c>
      <c r="AA31" s="94">
        <v>0</v>
      </c>
      <c r="AB31" s="94">
        <v>0</v>
      </c>
      <c r="AC31" s="85" t="s">
        <v>724</v>
      </c>
      <c r="AD31" s="85" t="s">
        <v>147</v>
      </c>
      <c r="AE31" s="150">
        <v>304980</v>
      </c>
      <c r="AF31" s="151" t="s">
        <v>146</v>
      </c>
      <c r="AG31" s="150">
        <v>15249000</v>
      </c>
      <c r="AH31" s="150">
        <v>1677390</v>
      </c>
      <c r="AI31" s="150">
        <v>16926390</v>
      </c>
    </row>
    <row r="32" spans="1:35">
      <c r="A32" s="90"/>
      <c r="B32" s="90" t="s">
        <v>149</v>
      </c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116"/>
      <c r="Q32" s="90"/>
      <c r="R32" s="90"/>
      <c r="S32" s="90"/>
      <c r="T32" s="90"/>
      <c r="U32" s="90"/>
      <c r="V32" s="90"/>
      <c r="W32" s="90"/>
      <c r="X32" s="90"/>
      <c r="Y32" s="95"/>
      <c r="Z32" s="95"/>
      <c r="AA32" s="95"/>
      <c r="AB32" s="95"/>
      <c r="AC32" s="90"/>
      <c r="AD32" s="90"/>
      <c r="AE32" s="145">
        <v>1278220</v>
      </c>
      <c r="AF32" s="146" t="s">
        <v>146</v>
      </c>
      <c r="AG32" s="145">
        <v>63911000</v>
      </c>
      <c r="AH32" s="145">
        <v>7030210</v>
      </c>
      <c r="AI32" s="145">
        <v>70941210</v>
      </c>
    </row>
    <row r="33" spans="1:35">
      <c r="A33" s="84">
        <v>4</v>
      </c>
      <c r="B33" s="85" t="s">
        <v>750</v>
      </c>
      <c r="C33" s="85" t="s">
        <v>751</v>
      </c>
      <c r="D33" s="85" t="s">
        <v>752</v>
      </c>
      <c r="E33" s="85" t="s">
        <v>863</v>
      </c>
      <c r="F33" s="85" t="s">
        <v>751</v>
      </c>
      <c r="G33" s="85" t="s">
        <v>864</v>
      </c>
      <c r="H33" s="85" t="s">
        <v>746</v>
      </c>
      <c r="I33" s="85" t="s">
        <v>865</v>
      </c>
      <c r="J33" s="84">
        <v>1005001991</v>
      </c>
      <c r="K33" s="85" t="s">
        <v>741</v>
      </c>
      <c r="L33" s="85" t="s">
        <v>742</v>
      </c>
      <c r="M33" s="84">
        <v>1001026232</v>
      </c>
      <c r="N33" s="84">
        <v>1004026232</v>
      </c>
      <c r="O33" s="85" t="s">
        <v>144</v>
      </c>
      <c r="P33" s="113" t="s">
        <v>145</v>
      </c>
      <c r="Q33" s="85" t="s">
        <v>867</v>
      </c>
      <c r="R33" s="85" t="s">
        <v>184</v>
      </c>
      <c r="S33" s="85" t="s">
        <v>609</v>
      </c>
      <c r="T33" s="85" t="s">
        <v>148</v>
      </c>
      <c r="U33" s="86">
        <v>498840</v>
      </c>
      <c r="V33" s="85" t="s">
        <v>146</v>
      </c>
      <c r="W33" s="86">
        <v>498540</v>
      </c>
      <c r="X33" s="85" t="s">
        <v>146</v>
      </c>
      <c r="Y33" s="94">
        <v>5.35</v>
      </c>
      <c r="Z33" s="94">
        <v>0.35</v>
      </c>
      <c r="AA33" s="94">
        <v>0</v>
      </c>
      <c r="AB33" s="94">
        <v>0</v>
      </c>
      <c r="AC33" s="85" t="s">
        <v>724</v>
      </c>
      <c r="AD33" s="85" t="s">
        <v>147</v>
      </c>
      <c r="AE33" s="150">
        <v>498540</v>
      </c>
      <c r="AF33" s="151" t="s">
        <v>146</v>
      </c>
      <c r="AG33" s="150">
        <v>49854000</v>
      </c>
      <c r="AH33" s="151"/>
      <c r="AI33" s="150">
        <v>49854000</v>
      </c>
    </row>
    <row r="34" spans="1:35">
      <c r="A34" s="85"/>
      <c r="B34" s="85"/>
      <c r="C34" s="85"/>
      <c r="D34" s="85"/>
      <c r="E34" s="85" t="s">
        <v>863</v>
      </c>
      <c r="F34" s="87" t="s">
        <v>751</v>
      </c>
      <c r="G34" s="85"/>
      <c r="H34" s="85" t="s">
        <v>746</v>
      </c>
      <c r="I34" s="85" t="s">
        <v>865</v>
      </c>
      <c r="J34" s="84">
        <v>1005002179</v>
      </c>
      <c r="K34" s="85" t="s">
        <v>64</v>
      </c>
      <c r="L34" s="85" t="s">
        <v>742</v>
      </c>
      <c r="M34" s="84">
        <v>1001026510</v>
      </c>
      <c r="N34" s="84">
        <v>1004026510</v>
      </c>
      <c r="O34" s="85" t="s">
        <v>144</v>
      </c>
      <c r="P34" s="113" t="s">
        <v>145</v>
      </c>
      <c r="Q34" s="85" t="s">
        <v>867</v>
      </c>
      <c r="R34" s="85" t="s">
        <v>184</v>
      </c>
      <c r="S34" s="85" t="s">
        <v>609</v>
      </c>
      <c r="T34" s="85" t="s">
        <v>148</v>
      </c>
      <c r="U34" s="86">
        <v>499870</v>
      </c>
      <c r="V34" s="85" t="s">
        <v>146</v>
      </c>
      <c r="W34" s="86">
        <v>499290</v>
      </c>
      <c r="X34" s="85" t="s">
        <v>146</v>
      </c>
      <c r="Y34" s="94">
        <v>5.47</v>
      </c>
      <c r="Z34" s="94">
        <v>0.36</v>
      </c>
      <c r="AA34" s="94">
        <v>0</v>
      </c>
      <c r="AB34" s="94">
        <v>0</v>
      </c>
      <c r="AC34" s="85" t="s">
        <v>724</v>
      </c>
      <c r="AD34" s="85" t="s">
        <v>147</v>
      </c>
      <c r="AE34" s="150">
        <v>499290</v>
      </c>
      <c r="AF34" s="151" t="s">
        <v>146</v>
      </c>
      <c r="AG34" s="150">
        <v>51551000</v>
      </c>
      <c r="AH34" s="151"/>
      <c r="AI34" s="150">
        <v>51551000</v>
      </c>
    </row>
    <row r="35" spans="1:35">
      <c r="A35" s="85"/>
      <c r="B35" s="85"/>
      <c r="C35" s="85"/>
      <c r="D35" s="85"/>
      <c r="E35" s="85" t="s">
        <v>863</v>
      </c>
      <c r="F35" s="87" t="s">
        <v>751</v>
      </c>
      <c r="G35" s="85"/>
      <c r="H35" s="85" t="s">
        <v>746</v>
      </c>
      <c r="I35" s="85" t="s">
        <v>865</v>
      </c>
      <c r="J35" s="84">
        <v>1005002260</v>
      </c>
      <c r="K35" s="85" t="s">
        <v>753</v>
      </c>
      <c r="L35" s="85" t="s">
        <v>742</v>
      </c>
      <c r="M35" s="84">
        <v>1001026562</v>
      </c>
      <c r="N35" s="84">
        <v>1004026562</v>
      </c>
      <c r="O35" s="85" t="s">
        <v>144</v>
      </c>
      <c r="P35" s="113" t="s">
        <v>145</v>
      </c>
      <c r="Q35" s="85" t="s">
        <v>867</v>
      </c>
      <c r="R35" s="85" t="s">
        <v>184</v>
      </c>
      <c r="S35" s="85" t="s">
        <v>609</v>
      </c>
      <c r="T35" s="85" t="s">
        <v>148</v>
      </c>
      <c r="U35" s="86">
        <v>499950</v>
      </c>
      <c r="V35" s="85" t="s">
        <v>146</v>
      </c>
      <c r="W35" s="86">
        <v>499670</v>
      </c>
      <c r="X35" s="85" t="s">
        <v>146</v>
      </c>
      <c r="Y35" s="94">
        <v>5.36</v>
      </c>
      <c r="Z35" s="94">
        <v>0.31</v>
      </c>
      <c r="AA35" s="94">
        <v>0</v>
      </c>
      <c r="AB35" s="94">
        <v>0</v>
      </c>
      <c r="AC35" s="85" t="s">
        <v>724</v>
      </c>
      <c r="AD35" s="85" t="s">
        <v>147</v>
      </c>
      <c r="AE35" s="150">
        <v>499670</v>
      </c>
      <c r="AF35" s="151" t="s">
        <v>146</v>
      </c>
      <c r="AG35" s="150">
        <v>49967000</v>
      </c>
      <c r="AH35" s="151"/>
      <c r="AI35" s="150">
        <v>49967000</v>
      </c>
    </row>
    <row r="36" spans="1:35">
      <c r="A36" s="85"/>
      <c r="B36" s="85"/>
      <c r="C36" s="85"/>
      <c r="D36" s="85"/>
      <c r="E36" s="85" t="s">
        <v>863</v>
      </c>
      <c r="F36" s="87" t="s">
        <v>751</v>
      </c>
      <c r="G36" s="85"/>
      <c r="H36" s="85" t="s">
        <v>746</v>
      </c>
      <c r="I36" s="85" t="s">
        <v>865</v>
      </c>
      <c r="J36" s="84">
        <v>1005002261</v>
      </c>
      <c r="K36" s="85" t="s">
        <v>753</v>
      </c>
      <c r="L36" s="85" t="s">
        <v>742</v>
      </c>
      <c r="M36" s="84">
        <v>1001026662</v>
      </c>
      <c r="N36" s="84">
        <v>1004026662</v>
      </c>
      <c r="O36" s="85" t="s">
        <v>144</v>
      </c>
      <c r="P36" s="113" t="s">
        <v>145</v>
      </c>
      <c r="Q36" s="85" t="s">
        <v>867</v>
      </c>
      <c r="R36" s="85" t="s">
        <v>184</v>
      </c>
      <c r="S36" s="85" t="s">
        <v>609</v>
      </c>
      <c r="T36" s="85" t="s">
        <v>148</v>
      </c>
      <c r="U36" s="86">
        <v>508490</v>
      </c>
      <c r="V36" s="85" t="s">
        <v>146</v>
      </c>
      <c r="W36" s="86">
        <v>507820</v>
      </c>
      <c r="X36" s="85" t="s">
        <v>146</v>
      </c>
      <c r="Y36" s="94">
        <v>5.4</v>
      </c>
      <c r="Z36" s="94">
        <v>0.33</v>
      </c>
      <c r="AA36" s="94">
        <v>0</v>
      </c>
      <c r="AB36" s="94">
        <v>0</v>
      </c>
      <c r="AC36" s="85" t="s">
        <v>724</v>
      </c>
      <c r="AD36" s="85" t="s">
        <v>147</v>
      </c>
      <c r="AE36" s="150">
        <v>507820</v>
      </c>
      <c r="AF36" s="151" t="s">
        <v>146</v>
      </c>
      <c r="AG36" s="150">
        <v>63609000</v>
      </c>
      <c r="AH36" s="151"/>
      <c r="AI36" s="150">
        <v>63609000</v>
      </c>
    </row>
    <row r="37" spans="1:35">
      <c r="A37" s="85"/>
      <c r="B37" s="85"/>
      <c r="C37" s="85"/>
      <c r="D37" s="85"/>
      <c r="E37" s="85" t="s">
        <v>863</v>
      </c>
      <c r="F37" s="87" t="s">
        <v>751</v>
      </c>
      <c r="G37" s="85"/>
      <c r="H37" s="85" t="s">
        <v>746</v>
      </c>
      <c r="I37" s="85" t="s">
        <v>865</v>
      </c>
      <c r="J37" s="84">
        <v>1005002359</v>
      </c>
      <c r="K37" s="85" t="s">
        <v>97</v>
      </c>
      <c r="L37" s="85" t="s">
        <v>6</v>
      </c>
      <c r="M37" s="84">
        <v>1001027177</v>
      </c>
      <c r="N37" s="84">
        <v>1004027177</v>
      </c>
      <c r="O37" s="85" t="s">
        <v>144</v>
      </c>
      <c r="P37" s="113" t="s">
        <v>145</v>
      </c>
      <c r="Q37" s="85" t="s">
        <v>867</v>
      </c>
      <c r="R37" s="85" t="s">
        <v>184</v>
      </c>
      <c r="S37" s="85" t="s">
        <v>609</v>
      </c>
      <c r="T37" s="85" t="s">
        <v>148</v>
      </c>
      <c r="U37" s="86">
        <v>507730</v>
      </c>
      <c r="V37" s="85" t="s">
        <v>146</v>
      </c>
      <c r="W37" s="86">
        <v>507200</v>
      </c>
      <c r="X37" s="85" t="s">
        <v>146</v>
      </c>
      <c r="Y37" s="94">
        <v>5.42</v>
      </c>
      <c r="Z37" s="94">
        <v>0.32</v>
      </c>
      <c r="AA37" s="94">
        <v>0</v>
      </c>
      <c r="AB37" s="94">
        <v>0</v>
      </c>
      <c r="AC37" s="85" t="s">
        <v>724</v>
      </c>
      <c r="AD37" s="85" t="s">
        <v>147</v>
      </c>
      <c r="AE37" s="150">
        <v>507200</v>
      </c>
      <c r="AF37" s="151" t="s">
        <v>146</v>
      </c>
      <c r="AG37" s="150">
        <v>51523000</v>
      </c>
      <c r="AH37" s="151"/>
      <c r="AI37" s="150">
        <v>51523000</v>
      </c>
    </row>
    <row r="38" spans="1:35">
      <c r="A38" s="90"/>
      <c r="B38" s="90" t="s">
        <v>149</v>
      </c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116"/>
      <c r="Q38" s="90"/>
      <c r="R38" s="90"/>
      <c r="S38" s="90"/>
      <c r="T38" s="90"/>
      <c r="U38" s="90"/>
      <c r="V38" s="90"/>
      <c r="W38" s="90"/>
      <c r="X38" s="90"/>
      <c r="Y38" s="95"/>
      <c r="Z38" s="95"/>
      <c r="AA38" s="95"/>
      <c r="AB38" s="95"/>
      <c r="AC38" s="90"/>
      <c r="AD38" s="90"/>
      <c r="AE38" s="145">
        <v>2512520</v>
      </c>
      <c r="AF38" s="146" t="s">
        <v>146</v>
      </c>
      <c r="AG38" s="145">
        <v>266504000</v>
      </c>
      <c r="AH38" s="146"/>
      <c r="AI38" s="145">
        <v>266504000</v>
      </c>
    </row>
    <row r="39" spans="1:35">
      <c r="A39" s="84">
        <v>5</v>
      </c>
      <c r="B39" s="85" t="s">
        <v>764</v>
      </c>
      <c r="C39" s="85" t="s">
        <v>556</v>
      </c>
      <c r="D39" s="85" t="s">
        <v>765</v>
      </c>
      <c r="E39" s="85" t="s">
        <v>863</v>
      </c>
      <c r="F39" s="85" t="s">
        <v>556</v>
      </c>
      <c r="G39" s="85" t="s">
        <v>864</v>
      </c>
      <c r="H39" s="85" t="s">
        <v>746</v>
      </c>
      <c r="I39" s="85" t="s">
        <v>865</v>
      </c>
      <c r="J39" s="84">
        <v>9145000178</v>
      </c>
      <c r="K39" s="85" t="s">
        <v>51</v>
      </c>
      <c r="L39" s="85" t="s">
        <v>742</v>
      </c>
      <c r="M39" s="84">
        <v>9141001749</v>
      </c>
      <c r="N39" s="84">
        <v>9144101749</v>
      </c>
      <c r="O39" s="85" t="s">
        <v>144</v>
      </c>
      <c r="P39" s="113" t="s">
        <v>145</v>
      </c>
      <c r="Q39" s="85" t="s">
        <v>867</v>
      </c>
      <c r="R39" s="85" t="s">
        <v>184</v>
      </c>
      <c r="S39" s="85" t="s">
        <v>609</v>
      </c>
      <c r="T39" s="85" t="s">
        <v>162</v>
      </c>
      <c r="U39" s="86">
        <v>607580</v>
      </c>
      <c r="V39" s="85" t="s">
        <v>146</v>
      </c>
      <c r="W39" s="86">
        <v>607580</v>
      </c>
      <c r="X39" s="85" t="s">
        <v>146</v>
      </c>
      <c r="Y39" s="94">
        <v>5.64</v>
      </c>
      <c r="Z39" s="94">
        <v>0.27</v>
      </c>
      <c r="AA39" s="94">
        <v>0</v>
      </c>
      <c r="AB39" s="94">
        <v>0</v>
      </c>
      <c r="AC39" s="85" t="s">
        <v>724</v>
      </c>
      <c r="AD39" s="85" t="s">
        <v>147</v>
      </c>
      <c r="AE39" s="150">
        <v>607580</v>
      </c>
      <c r="AF39" s="151" t="s">
        <v>146</v>
      </c>
      <c r="AG39" s="150">
        <v>109712000</v>
      </c>
      <c r="AH39" s="150">
        <v>12068320</v>
      </c>
      <c r="AI39" s="150">
        <v>121780320</v>
      </c>
    </row>
    <row r="40" spans="1:35">
      <c r="A40" s="90"/>
      <c r="B40" s="90" t="s">
        <v>149</v>
      </c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116"/>
      <c r="Q40" s="90"/>
      <c r="R40" s="90"/>
      <c r="S40" s="90"/>
      <c r="T40" s="90"/>
      <c r="U40" s="90"/>
      <c r="V40" s="90"/>
      <c r="W40" s="90"/>
      <c r="X40" s="90"/>
      <c r="Y40" s="95"/>
      <c r="Z40" s="95"/>
      <c r="AA40" s="95"/>
      <c r="AB40" s="95"/>
      <c r="AC40" s="90"/>
      <c r="AD40" s="90"/>
      <c r="AE40" s="145">
        <v>607580</v>
      </c>
      <c r="AF40" s="146" t="s">
        <v>146</v>
      </c>
      <c r="AG40" s="145">
        <v>109712000</v>
      </c>
      <c r="AH40" s="145">
        <v>12068320</v>
      </c>
      <c r="AI40" s="145">
        <v>121780320</v>
      </c>
    </row>
    <row r="41" spans="1:35">
      <c r="A41" s="84">
        <v>6</v>
      </c>
      <c r="B41" s="85" t="s">
        <v>779</v>
      </c>
      <c r="C41" s="85" t="s">
        <v>780</v>
      </c>
      <c r="D41" s="85" t="s">
        <v>781</v>
      </c>
      <c r="E41" s="85" t="s">
        <v>863</v>
      </c>
      <c r="F41" s="85" t="s">
        <v>780</v>
      </c>
      <c r="G41" s="85" t="s">
        <v>864</v>
      </c>
      <c r="H41" s="85" t="s">
        <v>746</v>
      </c>
      <c r="I41" s="85" t="s">
        <v>865</v>
      </c>
      <c r="J41" s="84">
        <v>1005001960</v>
      </c>
      <c r="K41" s="85" t="s">
        <v>782</v>
      </c>
      <c r="L41" s="85" t="s">
        <v>742</v>
      </c>
      <c r="M41" s="84">
        <v>1001025749</v>
      </c>
      <c r="N41" s="84">
        <v>1004025749</v>
      </c>
      <c r="O41" s="85" t="s">
        <v>351</v>
      </c>
      <c r="P41" s="113" t="s">
        <v>352</v>
      </c>
      <c r="Q41" s="85" t="s">
        <v>866</v>
      </c>
      <c r="R41" s="85" t="s">
        <v>184</v>
      </c>
      <c r="S41" s="85" t="s">
        <v>609</v>
      </c>
      <c r="T41" s="85" t="s">
        <v>148</v>
      </c>
      <c r="U41" s="86">
        <v>752760</v>
      </c>
      <c r="V41" s="85" t="s">
        <v>146</v>
      </c>
      <c r="W41" s="86">
        <v>737514</v>
      </c>
      <c r="X41" s="85" t="s">
        <v>146</v>
      </c>
      <c r="Y41" s="94">
        <v>7.72</v>
      </c>
      <c r="Z41" s="94">
        <v>7.47</v>
      </c>
      <c r="AA41" s="94">
        <v>6.04</v>
      </c>
      <c r="AB41" s="94">
        <v>0</v>
      </c>
      <c r="AC41" s="85" t="s">
        <v>724</v>
      </c>
      <c r="AD41" s="85" t="s">
        <v>147</v>
      </c>
      <c r="AE41" s="150">
        <v>590.01</v>
      </c>
      <c r="AF41" s="151" t="s">
        <v>146</v>
      </c>
      <c r="AG41" s="150">
        <v>6962118</v>
      </c>
      <c r="AH41" s="151"/>
      <c r="AI41" s="150">
        <v>6962118</v>
      </c>
    </row>
    <row r="42" spans="1:35">
      <c r="A42" s="85"/>
      <c r="B42" s="85"/>
      <c r="C42" s="85"/>
      <c r="D42" s="85"/>
      <c r="E42" s="85" t="s">
        <v>863</v>
      </c>
      <c r="F42" s="87" t="s">
        <v>780</v>
      </c>
      <c r="G42" s="85"/>
      <c r="H42" s="85" t="s">
        <v>726</v>
      </c>
      <c r="I42" s="85" t="s">
        <v>865</v>
      </c>
      <c r="J42" s="84">
        <v>1005001961</v>
      </c>
      <c r="K42" s="85" t="s">
        <v>782</v>
      </c>
      <c r="L42" s="85" t="s">
        <v>742</v>
      </c>
      <c r="M42" s="84">
        <v>1001025920</v>
      </c>
      <c r="N42" s="84">
        <v>1004025920</v>
      </c>
      <c r="O42" s="85" t="s">
        <v>351</v>
      </c>
      <c r="P42" s="113" t="s">
        <v>352</v>
      </c>
      <c r="Q42" s="85" t="s">
        <v>866</v>
      </c>
      <c r="R42" s="85" t="s">
        <v>184</v>
      </c>
      <c r="S42" s="85" t="s">
        <v>609</v>
      </c>
      <c r="T42" s="85" t="s">
        <v>148</v>
      </c>
      <c r="U42" s="86">
        <v>250000</v>
      </c>
      <c r="V42" s="85" t="s">
        <v>146</v>
      </c>
      <c r="W42" s="86">
        <v>244936</v>
      </c>
      <c r="X42" s="85" t="s">
        <v>146</v>
      </c>
      <c r="Y42" s="94">
        <v>7.72</v>
      </c>
      <c r="Z42" s="94">
        <v>7.47</v>
      </c>
      <c r="AA42" s="94">
        <v>6.04</v>
      </c>
      <c r="AB42" s="94">
        <v>0</v>
      </c>
      <c r="AC42" s="85" t="s">
        <v>724</v>
      </c>
      <c r="AD42" s="85" t="s">
        <v>147</v>
      </c>
      <c r="AE42" s="150">
        <v>195.95</v>
      </c>
      <c r="AF42" s="151" t="s">
        <v>146</v>
      </c>
      <c r="AG42" s="150">
        <v>2269101</v>
      </c>
      <c r="AH42" s="151"/>
      <c r="AI42" s="150">
        <v>2269101</v>
      </c>
    </row>
    <row r="43" spans="1:35">
      <c r="A43" s="85"/>
      <c r="B43" s="85"/>
      <c r="C43" s="85"/>
      <c r="D43" s="85"/>
      <c r="E43" s="85" t="s">
        <v>863</v>
      </c>
      <c r="F43" s="87" t="s">
        <v>780</v>
      </c>
      <c r="G43" s="85"/>
      <c r="H43" s="85" t="s">
        <v>726</v>
      </c>
      <c r="I43" s="85" t="s">
        <v>865</v>
      </c>
      <c r="J43" s="84">
        <v>1005002209</v>
      </c>
      <c r="K43" s="85" t="s">
        <v>89</v>
      </c>
      <c r="L43" s="85" t="s">
        <v>742</v>
      </c>
      <c r="M43" s="84">
        <v>1001026508</v>
      </c>
      <c r="N43" s="84">
        <v>1004026508</v>
      </c>
      <c r="O43" s="85" t="s">
        <v>351</v>
      </c>
      <c r="P43" s="113" t="s">
        <v>352</v>
      </c>
      <c r="Q43" s="85" t="s">
        <v>866</v>
      </c>
      <c r="R43" s="85" t="s">
        <v>184</v>
      </c>
      <c r="S43" s="85" t="s">
        <v>609</v>
      </c>
      <c r="T43" s="85" t="s">
        <v>148</v>
      </c>
      <c r="U43" s="86">
        <v>700000</v>
      </c>
      <c r="V43" s="85" t="s">
        <v>146</v>
      </c>
      <c r="W43" s="86">
        <v>682174</v>
      </c>
      <c r="X43" s="85" t="s">
        <v>146</v>
      </c>
      <c r="Y43" s="94">
        <v>7.49</v>
      </c>
      <c r="Z43" s="94">
        <v>7.25</v>
      </c>
      <c r="AA43" s="94">
        <v>6.51</v>
      </c>
      <c r="AB43" s="94">
        <v>0</v>
      </c>
      <c r="AC43" s="85" t="s">
        <v>724</v>
      </c>
      <c r="AD43" s="85" t="s">
        <v>147</v>
      </c>
      <c r="AE43" s="150">
        <v>204.65</v>
      </c>
      <c r="AF43" s="151" t="s">
        <v>146</v>
      </c>
      <c r="AG43" s="150">
        <v>2162946</v>
      </c>
      <c r="AH43" s="151"/>
      <c r="AI43" s="150">
        <v>2162946</v>
      </c>
    </row>
    <row r="44" spans="1:35">
      <c r="A44" s="85"/>
      <c r="B44" s="85"/>
      <c r="C44" s="85"/>
      <c r="D44" s="85"/>
      <c r="E44" s="85" t="s">
        <v>863</v>
      </c>
      <c r="F44" s="87" t="s">
        <v>780</v>
      </c>
      <c r="G44" s="85"/>
      <c r="H44" s="85" t="s">
        <v>726</v>
      </c>
      <c r="I44" s="85" t="s">
        <v>869</v>
      </c>
      <c r="J44" s="84">
        <v>1005002210</v>
      </c>
      <c r="K44" s="85" t="s">
        <v>89</v>
      </c>
      <c r="L44" s="85" t="s">
        <v>742</v>
      </c>
      <c r="M44" s="84">
        <v>1001026836</v>
      </c>
      <c r="N44" s="84">
        <v>1004026836</v>
      </c>
      <c r="O44" s="85" t="s">
        <v>351</v>
      </c>
      <c r="P44" s="113" t="s">
        <v>352</v>
      </c>
      <c r="Q44" s="85" t="s">
        <v>866</v>
      </c>
      <c r="R44" s="85" t="s">
        <v>184</v>
      </c>
      <c r="S44" s="85" t="s">
        <v>609</v>
      </c>
      <c r="T44" s="85" t="s">
        <v>148</v>
      </c>
      <c r="U44" s="86">
        <v>76340</v>
      </c>
      <c r="V44" s="85" t="s">
        <v>146</v>
      </c>
      <c r="W44" s="86">
        <v>74396</v>
      </c>
      <c r="X44" s="85" t="s">
        <v>146</v>
      </c>
      <c r="Y44" s="94">
        <v>7.49</v>
      </c>
      <c r="Z44" s="94">
        <v>7.25</v>
      </c>
      <c r="AA44" s="94">
        <v>6.51</v>
      </c>
      <c r="AB44" s="94">
        <v>0</v>
      </c>
      <c r="AC44" s="85" t="s">
        <v>724</v>
      </c>
      <c r="AD44" s="85" t="s">
        <v>147</v>
      </c>
      <c r="AE44" s="150">
        <v>22.32</v>
      </c>
      <c r="AF44" s="151" t="s">
        <v>146</v>
      </c>
      <c r="AG44" s="150">
        <v>240498</v>
      </c>
      <c r="AH44" s="151"/>
      <c r="AI44" s="150">
        <v>240498</v>
      </c>
    </row>
    <row r="45" spans="1:35">
      <c r="A45" s="90"/>
      <c r="B45" s="90" t="s">
        <v>149</v>
      </c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116"/>
      <c r="Q45" s="90"/>
      <c r="R45" s="90"/>
      <c r="S45" s="90"/>
      <c r="T45" s="90"/>
      <c r="U45" s="90"/>
      <c r="V45" s="90"/>
      <c r="W45" s="90"/>
      <c r="X45" s="90"/>
      <c r="Y45" s="95"/>
      <c r="Z45" s="95"/>
      <c r="AA45" s="95"/>
      <c r="AB45" s="95"/>
      <c r="AC45" s="90"/>
      <c r="AD45" s="90"/>
      <c r="AE45" s="145">
        <v>1012.93</v>
      </c>
      <c r="AF45" s="146" t="s">
        <v>146</v>
      </c>
      <c r="AG45" s="145">
        <v>11634663</v>
      </c>
      <c r="AH45" s="146"/>
      <c r="AI45" s="145">
        <v>11634663</v>
      </c>
    </row>
    <row r="46" spans="1:35">
      <c r="A46" s="84">
        <v>7</v>
      </c>
      <c r="B46" s="85" t="s">
        <v>794</v>
      </c>
      <c r="C46" s="85" t="s">
        <v>795</v>
      </c>
      <c r="D46" s="85" t="s">
        <v>796</v>
      </c>
      <c r="E46" s="85" t="s">
        <v>863</v>
      </c>
      <c r="F46" s="85" t="s">
        <v>795</v>
      </c>
      <c r="G46" s="85" t="s">
        <v>864</v>
      </c>
      <c r="H46" s="85" t="s">
        <v>735</v>
      </c>
      <c r="I46" s="85" t="s">
        <v>865</v>
      </c>
      <c r="J46" s="84">
        <v>9085000259</v>
      </c>
      <c r="K46" s="85" t="s">
        <v>66</v>
      </c>
      <c r="L46" s="85" t="s">
        <v>742</v>
      </c>
      <c r="M46" s="84">
        <v>9081001524</v>
      </c>
      <c r="N46" s="84">
        <v>9084101524</v>
      </c>
      <c r="O46" s="85" t="s">
        <v>334</v>
      </c>
      <c r="P46" s="113" t="s">
        <v>297</v>
      </c>
      <c r="Q46" s="85" t="s">
        <v>870</v>
      </c>
      <c r="R46" s="85" t="s">
        <v>184</v>
      </c>
      <c r="S46" s="85" t="s">
        <v>609</v>
      </c>
      <c r="T46" s="85" t="s">
        <v>160</v>
      </c>
      <c r="U46" s="85"/>
      <c r="V46" s="85" t="s">
        <v>146</v>
      </c>
      <c r="W46" s="86">
        <v>509570</v>
      </c>
      <c r="X46" s="85" t="s">
        <v>146</v>
      </c>
      <c r="Y46" s="94">
        <v>26.08</v>
      </c>
      <c r="Z46" s="94">
        <v>0.87</v>
      </c>
      <c r="AA46" s="94">
        <v>0</v>
      </c>
      <c r="AB46" s="94">
        <v>0</v>
      </c>
      <c r="AC46" s="85" t="s">
        <v>724</v>
      </c>
      <c r="AD46" s="85" t="s">
        <v>147</v>
      </c>
      <c r="AE46" s="150">
        <v>668.44</v>
      </c>
      <c r="AF46" s="151" t="s">
        <v>146</v>
      </c>
      <c r="AG46" s="150">
        <v>8489188</v>
      </c>
      <c r="AH46" s="150">
        <v>933810.68</v>
      </c>
      <c r="AI46" s="150">
        <v>9422998.6799999997</v>
      </c>
    </row>
    <row r="47" spans="1:35">
      <c r="A47" s="90"/>
      <c r="B47" s="90" t="s">
        <v>149</v>
      </c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116"/>
      <c r="Q47" s="90"/>
      <c r="R47" s="90"/>
      <c r="S47" s="90"/>
      <c r="T47" s="90"/>
      <c r="U47" s="90"/>
      <c r="V47" s="90"/>
      <c r="W47" s="90"/>
      <c r="X47" s="90"/>
      <c r="Y47" s="95"/>
      <c r="Z47" s="95"/>
      <c r="AA47" s="95"/>
      <c r="AB47" s="95"/>
      <c r="AC47" s="90"/>
      <c r="AD47" s="90"/>
      <c r="AE47" s="145">
        <v>668.44</v>
      </c>
      <c r="AF47" s="146" t="s">
        <v>146</v>
      </c>
      <c r="AG47" s="145">
        <v>8489188</v>
      </c>
      <c r="AH47" s="145">
        <v>933810.68</v>
      </c>
      <c r="AI47" s="145">
        <v>9422998.6799999997</v>
      </c>
    </row>
    <row r="48" spans="1:35">
      <c r="A48" s="84">
        <v>8</v>
      </c>
      <c r="B48" s="85" t="s">
        <v>797</v>
      </c>
      <c r="C48" s="85" t="s">
        <v>798</v>
      </c>
      <c r="D48" s="85" t="s">
        <v>799</v>
      </c>
      <c r="E48" s="85" t="s">
        <v>863</v>
      </c>
      <c r="F48" s="85" t="s">
        <v>798</v>
      </c>
      <c r="G48" s="85" t="s">
        <v>864</v>
      </c>
      <c r="H48" s="85" t="s">
        <v>746</v>
      </c>
      <c r="I48" s="85" t="s">
        <v>869</v>
      </c>
      <c r="J48" s="84">
        <v>1005002127</v>
      </c>
      <c r="K48" s="85" t="s">
        <v>771</v>
      </c>
      <c r="L48" s="85" t="s">
        <v>742</v>
      </c>
      <c r="M48" s="84">
        <v>1001026467</v>
      </c>
      <c r="N48" s="84">
        <v>1004026467</v>
      </c>
      <c r="O48" s="85" t="s">
        <v>351</v>
      </c>
      <c r="P48" s="113" t="s">
        <v>352</v>
      </c>
      <c r="Q48" s="85" t="s">
        <v>866</v>
      </c>
      <c r="R48" s="85" t="s">
        <v>184</v>
      </c>
      <c r="S48" s="85" t="s">
        <v>609</v>
      </c>
      <c r="T48" s="85" t="s">
        <v>148</v>
      </c>
      <c r="U48" s="86">
        <v>401500</v>
      </c>
      <c r="V48" s="85" t="s">
        <v>146</v>
      </c>
      <c r="W48" s="86">
        <v>396968</v>
      </c>
      <c r="X48" s="85" t="s">
        <v>146</v>
      </c>
      <c r="Y48" s="94">
        <v>4.62</v>
      </c>
      <c r="Z48" s="94">
        <v>6.36</v>
      </c>
      <c r="AA48" s="94">
        <v>6.4</v>
      </c>
      <c r="AB48" s="94">
        <v>0</v>
      </c>
      <c r="AC48" s="85" t="s">
        <v>724</v>
      </c>
      <c r="AD48" s="85" t="s">
        <v>147</v>
      </c>
      <c r="AE48" s="150">
        <v>79.39</v>
      </c>
      <c r="AF48" s="151" t="s">
        <v>146</v>
      </c>
      <c r="AG48" s="150">
        <v>837565</v>
      </c>
      <c r="AH48" s="151"/>
      <c r="AI48" s="150">
        <v>837565</v>
      </c>
    </row>
    <row r="49" spans="1:35">
      <c r="A49" s="85"/>
      <c r="B49" s="85"/>
      <c r="C49" s="85"/>
      <c r="D49" s="85"/>
      <c r="E49" s="85" t="s">
        <v>863</v>
      </c>
      <c r="F49" s="87" t="s">
        <v>798</v>
      </c>
      <c r="G49" s="85"/>
      <c r="H49" s="85" t="s">
        <v>746</v>
      </c>
      <c r="I49" s="85" t="s">
        <v>869</v>
      </c>
      <c r="J49" s="84">
        <v>1005002128</v>
      </c>
      <c r="K49" s="85" t="s">
        <v>771</v>
      </c>
      <c r="L49" s="85" t="s">
        <v>742</v>
      </c>
      <c r="M49" s="84">
        <v>1001026627</v>
      </c>
      <c r="N49" s="84">
        <v>1004026627</v>
      </c>
      <c r="O49" s="85" t="s">
        <v>351</v>
      </c>
      <c r="P49" s="113" t="s">
        <v>352</v>
      </c>
      <c r="Q49" s="85" t="s">
        <v>866</v>
      </c>
      <c r="R49" s="85" t="s">
        <v>184</v>
      </c>
      <c r="S49" s="85" t="s">
        <v>609</v>
      </c>
      <c r="T49" s="85" t="s">
        <v>148</v>
      </c>
      <c r="U49" s="86">
        <v>602250</v>
      </c>
      <c r="V49" s="85" t="s">
        <v>146</v>
      </c>
      <c r="W49" s="86">
        <v>595452</v>
      </c>
      <c r="X49" s="85" t="s">
        <v>146</v>
      </c>
      <c r="Y49" s="94">
        <v>4.62</v>
      </c>
      <c r="Z49" s="94">
        <v>6.36</v>
      </c>
      <c r="AA49" s="94">
        <v>6.4</v>
      </c>
      <c r="AB49" s="94">
        <v>0</v>
      </c>
      <c r="AC49" s="85" t="s">
        <v>724</v>
      </c>
      <c r="AD49" s="85" t="s">
        <v>147</v>
      </c>
      <c r="AE49" s="150">
        <v>119.09</v>
      </c>
      <c r="AF49" s="151" t="s">
        <v>146</v>
      </c>
      <c r="AG49" s="150">
        <v>1262354</v>
      </c>
      <c r="AH49" s="151"/>
      <c r="AI49" s="150">
        <v>1262354</v>
      </c>
    </row>
    <row r="50" spans="1:35">
      <c r="A50" s="90"/>
      <c r="B50" s="90" t="s">
        <v>149</v>
      </c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116"/>
      <c r="Q50" s="90"/>
      <c r="R50" s="90"/>
      <c r="S50" s="90"/>
      <c r="T50" s="90"/>
      <c r="U50" s="90"/>
      <c r="V50" s="90"/>
      <c r="W50" s="90"/>
      <c r="X50" s="90"/>
      <c r="Y50" s="95"/>
      <c r="Z50" s="95"/>
      <c r="AA50" s="95"/>
      <c r="AB50" s="95"/>
      <c r="AC50" s="90"/>
      <c r="AD50" s="90"/>
      <c r="AE50" s="145">
        <v>198.48</v>
      </c>
      <c r="AF50" s="146" t="s">
        <v>146</v>
      </c>
      <c r="AG50" s="145">
        <v>2099919</v>
      </c>
      <c r="AH50" s="146"/>
      <c r="AI50" s="145">
        <v>2099919</v>
      </c>
    </row>
    <row r="51" spans="1:35">
      <c r="A51" s="84">
        <v>9</v>
      </c>
      <c r="B51" s="85" t="s">
        <v>805</v>
      </c>
      <c r="C51" s="85" t="s">
        <v>806</v>
      </c>
      <c r="D51" s="85" t="s">
        <v>807</v>
      </c>
      <c r="E51" s="85" t="s">
        <v>863</v>
      </c>
      <c r="F51" s="85" t="s">
        <v>806</v>
      </c>
      <c r="G51" s="85" t="s">
        <v>864</v>
      </c>
      <c r="H51" s="85" t="s">
        <v>746</v>
      </c>
      <c r="I51" s="85" t="s">
        <v>865</v>
      </c>
      <c r="J51" s="84">
        <v>1005002067</v>
      </c>
      <c r="K51" s="85" t="s">
        <v>8</v>
      </c>
      <c r="L51" s="85" t="s">
        <v>80</v>
      </c>
      <c r="M51" s="84">
        <v>1001025747</v>
      </c>
      <c r="N51" s="84">
        <v>1004025747</v>
      </c>
      <c r="O51" s="85" t="s">
        <v>144</v>
      </c>
      <c r="P51" s="113" t="s">
        <v>145</v>
      </c>
      <c r="Q51" s="85" t="s">
        <v>867</v>
      </c>
      <c r="R51" s="85" t="s">
        <v>184</v>
      </c>
      <c r="S51" s="85" t="s">
        <v>609</v>
      </c>
      <c r="T51" s="85" t="s">
        <v>148</v>
      </c>
      <c r="U51" s="86">
        <v>1000020</v>
      </c>
      <c r="V51" s="85" t="s">
        <v>146</v>
      </c>
      <c r="W51" s="86">
        <v>1001650</v>
      </c>
      <c r="X51" s="85" t="s">
        <v>146</v>
      </c>
      <c r="Y51" s="94">
        <v>3.33</v>
      </c>
      <c r="Z51" s="94">
        <v>0.76</v>
      </c>
      <c r="AA51" s="94">
        <v>0</v>
      </c>
      <c r="AB51" s="94">
        <v>0</v>
      </c>
      <c r="AC51" s="85" t="s">
        <v>724</v>
      </c>
      <c r="AD51" s="85" t="s">
        <v>147</v>
      </c>
      <c r="AE51" s="150">
        <v>99.27</v>
      </c>
      <c r="AF51" s="151"/>
      <c r="AG51" s="150">
        <v>1411718</v>
      </c>
      <c r="AH51" s="151"/>
      <c r="AI51" s="150">
        <v>1411718</v>
      </c>
    </row>
    <row r="52" spans="1:35">
      <c r="A52" s="90"/>
      <c r="B52" s="90" t="s">
        <v>149</v>
      </c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116"/>
      <c r="Q52" s="90"/>
      <c r="R52" s="90"/>
      <c r="S52" s="90"/>
      <c r="T52" s="90"/>
      <c r="U52" s="90"/>
      <c r="V52" s="90"/>
      <c r="W52" s="90"/>
      <c r="X52" s="90"/>
      <c r="Y52" s="95"/>
      <c r="Z52" s="95"/>
      <c r="AA52" s="95"/>
      <c r="AB52" s="95"/>
      <c r="AC52" s="90"/>
      <c r="AD52" s="90"/>
      <c r="AE52" s="145">
        <v>99.27</v>
      </c>
      <c r="AF52" s="146" t="s">
        <v>146</v>
      </c>
      <c r="AG52" s="145">
        <v>1411718</v>
      </c>
      <c r="AH52" s="146"/>
      <c r="AI52" s="145">
        <v>1411718</v>
      </c>
    </row>
    <row r="53" spans="1:35">
      <c r="A53" s="84">
        <v>10</v>
      </c>
      <c r="B53" s="85" t="s">
        <v>454</v>
      </c>
      <c r="C53" s="85" t="s">
        <v>455</v>
      </c>
      <c r="D53" s="85" t="s">
        <v>456</v>
      </c>
      <c r="E53" s="85" t="s">
        <v>863</v>
      </c>
      <c r="F53" s="85" t="s">
        <v>455</v>
      </c>
      <c r="G53" s="85" t="s">
        <v>864</v>
      </c>
      <c r="H53" s="85" t="s">
        <v>722</v>
      </c>
      <c r="I53" s="85" t="s">
        <v>865</v>
      </c>
      <c r="J53" s="84">
        <v>1005002233</v>
      </c>
      <c r="K53" s="85" t="s">
        <v>51</v>
      </c>
      <c r="L53" s="85" t="s">
        <v>60</v>
      </c>
      <c r="M53" s="84">
        <v>1001026007</v>
      </c>
      <c r="N53" s="84">
        <v>1004026007</v>
      </c>
      <c r="O53" s="85" t="s">
        <v>144</v>
      </c>
      <c r="P53" s="113" t="s">
        <v>145</v>
      </c>
      <c r="Q53" s="85" t="s">
        <v>867</v>
      </c>
      <c r="R53" s="85" t="s">
        <v>184</v>
      </c>
      <c r="S53" s="85" t="s">
        <v>609</v>
      </c>
      <c r="T53" s="85" t="s">
        <v>148</v>
      </c>
      <c r="U53" s="86">
        <v>75000</v>
      </c>
      <c r="V53" s="85" t="s">
        <v>146</v>
      </c>
      <c r="W53" s="86">
        <v>74990</v>
      </c>
      <c r="X53" s="85" t="s">
        <v>146</v>
      </c>
      <c r="Y53" s="94">
        <v>5.48</v>
      </c>
      <c r="Z53" s="94">
        <v>0.34</v>
      </c>
      <c r="AA53" s="94">
        <v>0</v>
      </c>
      <c r="AB53" s="94">
        <v>0</v>
      </c>
      <c r="AC53" s="85" t="s">
        <v>724</v>
      </c>
      <c r="AD53" s="85" t="s">
        <v>147</v>
      </c>
      <c r="AE53" s="150">
        <v>15220</v>
      </c>
      <c r="AF53" s="151" t="s">
        <v>146</v>
      </c>
      <c r="AG53" s="150">
        <v>761000</v>
      </c>
      <c r="AH53" s="151"/>
      <c r="AI53" s="150">
        <v>761000</v>
      </c>
    </row>
    <row r="54" spans="1:35">
      <c r="A54" s="85"/>
      <c r="B54" s="85"/>
      <c r="C54" s="85"/>
      <c r="D54" s="85"/>
      <c r="E54" s="85" t="s">
        <v>863</v>
      </c>
      <c r="F54" s="87" t="s">
        <v>455</v>
      </c>
      <c r="G54" s="85"/>
      <c r="H54" s="85" t="s">
        <v>722</v>
      </c>
      <c r="I54" s="85" t="s">
        <v>865</v>
      </c>
      <c r="J54" s="84">
        <v>1005002234</v>
      </c>
      <c r="K54" s="85" t="s">
        <v>51</v>
      </c>
      <c r="L54" s="85" t="s">
        <v>60</v>
      </c>
      <c r="M54" s="84">
        <v>1001026043</v>
      </c>
      <c r="N54" s="84">
        <v>1004026043</v>
      </c>
      <c r="O54" s="85" t="s">
        <v>144</v>
      </c>
      <c r="P54" s="113" t="s">
        <v>145</v>
      </c>
      <c r="Q54" s="85" t="s">
        <v>867</v>
      </c>
      <c r="R54" s="85" t="s">
        <v>184</v>
      </c>
      <c r="S54" s="85" t="s">
        <v>609</v>
      </c>
      <c r="T54" s="85" t="s">
        <v>148</v>
      </c>
      <c r="U54" s="86">
        <v>50000</v>
      </c>
      <c r="V54" s="85" t="s">
        <v>146</v>
      </c>
      <c r="W54" s="86">
        <v>50030</v>
      </c>
      <c r="X54" s="85" t="s">
        <v>146</v>
      </c>
      <c r="Y54" s="94">
        <v>5.47</v>
      </c>
      <c r="Z54" s="94">
        <v>0.34</v>
      </c>
      <c r="AA54" s="94">
        <v>0</v>
      </c>
      <c r="AB54" s="94">
        <v>0</v>
      </c>
      <c r="AC54" s="85" t="s">
        <v>724</v>
      </c>
      <c r="AD54" s="85" t="s">
        <v>147</v>
      </c>
      <c r="AE54" s="150">
        <v>36270</v>
      </c>
      <c r="AF54" s="151" t="s">
        <v>146</v>
      </c>
      <c r="AG54" s="150">
        <v>1813500</v>
      </c>
      <c r="AH54" s="151"/>
      <c r="AI54" s="150">
        <v>1813500</v>
      </c>
    </row>
    <row r="55" spans="1:35">
      <c r="A55" s="85"/>
      <c r="B55" s="85"/>
      <c r="C55" s="85"/>
      <c r="D55" s="85"/>
      <c r="E55" s="85" t="s">
        <v>863</v>
      </c>
      <c r="F55" s="87" t="s">
        <v>455</v>
      </c>
      <c r="G55" s="85"/>
      <c r="H55" s="85" t="s">
        <v>722</v>
      </c>
      <c r="I55" s="85" t="s">
        <v>865</v>
      </c>
      <c r="J55" s="84">
        <v>1005002235</v>
      </c>
      <c r="K55" s="85" t="s">
        <v>51</v>
      </c>
      <c r="L55" s="85" t="s">
        <v>60</v>
      </c>
      <c r="M55" s="84">
        <v>1001026070</v>
      </c>
      <c r="N55" s="84">
        <v>1004026070</v>
      </c>
      <c r="O55" s="85" t="s">
        <v>144</v>
      </c>
      <c r="P55" s="113" t="s">
        <v>145</v>
      </c>
      <c r="Q55" s="85" t="s">
        <v>867</v>
      </c>
      <c r="R55" s="85" t="s">
        <v>184</v>
      </c>
      <c r="S55" s="85" t="s">
        <v>609</v>
      </c>
      <c r="T55" s="85" t="s">
        <v>148</v>
      </c>
      <c r="U55" s="86">
        <v>50000</v>
      </c>
      <c r="V55" s="85" t="s">
        <v>146</v>
      </c>
      <c r="W55" s="86">
        <v>50020</v>
      </c>
      <c r="X55" s="85" t="s">
        <v>146</v>
      </c>
      <c r="Y55" s="94">
        <v>5.4</v>
      </c>
      <c r="Z55" s="94">
        <v>0.34</v>
      </c>
      <c r="AA55" s="94">
        <v>0</v>
      </c>
      <c r="AB55" s="94">
        <v>0</v>
      </c>
      <c r="AC55" s="85" t="s">
        <v>724</v>
      </c>
      <c r="AD55" s="85" t="s">
        <v>147</v>
      </c>
      <c r="AE55" s="150">
        <v>46710</v>
      </c>
      <c r="AF55" s="151" t="s">
        <v>146</v>
      </c>
      <c r="AG55" s="150">
        <v>2335500</v>
      </c>
      <c r="AH55" s="151"/>
      <c r="AI55" s="150">
        <v>2335500</v>
      </c>
    </row>
    <row r="56" spans="1:35">
      <c r="A56" s="85"/>
      <c r="B56" s="85"/>
      <c r="C56" s="85"/>
      <c r="D56" s="85"/>
      <c r="E56" s="85" t="s">
        <v>863</v>
      </c>
      <c r="F56" s="87" t="s">
        <v>455</v>
      </c>
      <c r="G56" s="85"/>
      <c r="H56" s="85" t="s">
        <v>722</v>
      </c>
      <c r="I56" s="85" t="s">
        <v>865</v>
      </c>
      <c r="J56" s="84">
        <v>1005002236</v>
      </c>
      <c r="K56" s="85" t="s">
        <v>51</v>
      </c>
      <c r="L56" s="85" t="s">
        <v>60</v>
      </c>
      <c r="M56" s="84">
        <v>1001026111</v>
      </c>
      <c r="N56" s="84">
        <v>1004026111</v>
      </c>
      <c r="O56" s="85" t="s">
        <v>144</v>
      </c>
      <c r="P56" s="113" t="s">
        <v>145</v>
      </c>
      <c r="Q56" s="85" t="s">
        <v>867</v>
      </c>
      <c r="R56" s="85" t="s">
        <v>184</v>
      </c>
      <c r="S56" s="85" t="s">
        <v>609</v>
      </c>
      <c r="T56" s="85" t="s">
        <v>148</v>
      </c>
      <c r="U56" s="86">
        <v>150000</v>
      </c>
      <c r="V56" s="85" t="s">
        <v>146</v>
      </c>
      <c r="W56" s="86">
        <v>149925</v>
      </c>
      <c r="X56" s="85" t="s">
        <v>146</v>
      </c>
      <c r="Y56" s="94">
        <v>5.3</v>
      </c>
      <c r="Z56" s="94">
        <v>0.35</v>
      </c>
      <c r="AA56" s="94">
        <v>0</v>
      </c>
      <c r="AB56" s="94">
        <v>0</v>
      </c>
      <c r="AC56" s="85" t="s">
        <v>724</v>
      </c>
      <c r="AD56" s="85" t="s">
        <v>147</v>
      </c>
      <c r="AE56" s="150">
        <v>4960</v>
      </c>
      <c r="AF56" s="151" t="s">
        <v>146</v>
      </c>
      <c r="AG56" s="150">
        <v>248000</v>
      </c>
      <c r="AH56" s="151"/>
      <c r="AI56" s="150">
        <v>248000</v>
      </c>
    </row>
    <row r="57" spans="1:35">
      <c r="A57" s="85"/>
      <c r="B57" s="85"/>
      <c r="C57" s="85"/>
      <c r="D57" s="85"/>
      <c r="E57" s="85" t="s">
        <v>863</v>
      </c>
      <c r="F57" s="87" t="s">
        <v>455</v>
      </c>
      <c r="G57" s="85"/>
      <c r="H57" s="85" t="s">
        <v>722</v>
      </c>
      <c r="I57" s="85" t="s">
        <v>865</v>
      </c>
      <c r="J57" s="84">
        <v>1005002237</v>
      </c>
      <c r="K57" s="85" t="s">
        <v>51</v>
      </c>
      <c r="L57" s="85" t="s">
        <v>60</v>
      </c>
      <c r="M57" s="84">
        <v>1001026215</v>
      </c>
      <c r="N57" s="84">
        <v>1004026215</v>
      </c>
      <c r="O57" s="85" t="s">
        <v>144</v>
      </c>
      <c r="P57" s="113" t="s">
        <v>145</v>
      </c>
      <c r="Q57" s="85" t="s">
        <v>867</v>
      </c>
      <c r="R57" s="85" t="s">
        <v>184</v>
      </c>
      <c r="S57" s="85" t="s">
        <v>609</v>
      </c>
      <c r="T57" s="85" t="s">
        <v>148</v>
      </c>
      <c r="U57" s="86">
        <v>150000</v>
      </c>
      <c r="V57" s="85" t="s">
        <v>146</v>
      </c>
      <c r="W57" s="86">
        <v>149835</v>
      </c>
      <c r="X57" s="85" t="s">
        <v>146</v>
      </c>
      <c r="Y57" s="94">
        <v>5.45</v>
      </c>
      <c r="Z57" s="94">
        <v>0.36</v>
      </c>
      <c r="AA57" s="94">
        <v>0</v>
      </c>
      <c r="AB57" s="94">
        <v>0</v>
      </c>
      <c r="AC57" s="85" t="s">
        <v>724</v>
      </c>
      <c r="AD57" s="85" t="s">
        <v>147</v>
      </c>
      <c r="AE57" s="150">
        <v>54810</v>
      </c>
      <c r="AF57" s="151" t="s">
        <v>146</v>
      </c>
      <c r="AG57" s="150">
        <v>3169750</v>
      </c>
      <c r="AH57" s="151"/>
      <c r="AI57" s="150">
        <v>3169750</v>
      </c>
    </row>
    <row r="58" spans="1:35">
      <c r="A58" s="85"/>
      <c r="B58" s="85"/>
      <c r="C58" s="85"/>
      <c r="D58" s="85"/>
      <c r="E58" s="85" t="s">
        <v>863</v>
      </c>
      <c r="F58" s="87" t="s">
        <v>455</v>
      </c>
      <c r="G58" s="85"/>
      <c r="H58" s="85" t="s">
        <v>722</v>
      </c>
      <c r="I58" s="85" t="s">
        <v>865</v>
      </c>
      <c r="J58" s="84">
        <v>1005002238</v>
      </c>
      <c r="K58" s="85" t="s">
        <v>51</v>
      </c>
      <c r="L58" s="85" t="s">
        <v>60</v>
      </c>
      <c r="M58" s="84">
        <v>1001026230</v>
      </c>
      <c r="N58" s="84">
        <v>1004026230</v>
      </c>
      <c r="O58" s="85" t="s">
        <v>144</v>
      </c>
      <c r="P58" s="113" t="s">
        <v>145</v>
      </c>
      <c r="Q58" s="85" t="s">
        <v>867</v>
      </c>
      <c r="R58" s="85" t="s">
        <v>184</v>
      </c>
      <c r="S58" s="85" t="s">
        <v>609</v>
      </c>
      <c r="T58" s="85" t="s">
        <v>148</v>
      </c>
      <c r="U58" s="86">
        <v>75000</v>
      </c>
      <c r="V58" s="85" t="s">
        <v>146</v>
      </c>
      <c r="W58" s="86">
        <v>74880</v>
      </c>
      <c r="X58" s="85" t="s">
        <v>146</v>
      </c>
      <c r="Y58" s="94">
        <v>5.4</v>
      </c>
      <c r="Z58" s="94">
        <v>0.36</v>
      </c>
      <c r="AA58" s="94">
        <v>0</v>
      </c>
      <c r="AB58" s="94">
        <v>0</v>
      </c>
      <c r="AC58" s="85" t="s">
        <v>724</v>
      </c>
      <c r="AD58" s="85" t="s">
        <v>147</v>
      </c>
      <c r="AE58" s="150">
        <v>74880</v>
      </c>
      <c r="AF58" s="151" t="s">
        <v>146</v>
      </c>
      <c r="AG58" s="150">
        <v>3744000</v>
      </c>
      <c r="AH58" s="151"/>
      <c r="AI58" s="150">
        <v>3744000</v>
      </c>
    </row>
    <row r="59" spans="1:35">
      <c r="A59" s="85"/>
      <c r="B59" s="85"/>
      <c r="C59" s="85"/>
      <c r="D59" s="85"/>
      <c r="E59" s="85" t="s">
        <v>863</v>
      </c>
      <c r="F59" s="87" t="s">
        <v>455</v>
      </c>
      <c r="G59" s="85"/>
      <c r="H59" s="85" t="s">
        <v>722</v>
      </c>
      <c r="I59" s="85" t="s">
        <v>865</v>
      </c>
      <c r="J59" s="84">
        <v>1005002239</v>
      </c>
      <c r="K59" s="85" t="s">
        <v>51</v>
      </c>
      <c r="L59" s="85" t="s">
        <v>60</v>
      </c>
      <c r="M59" s="84">
        <v>1001026291</v>
      </c>
      <c r="N59" s="84">
        <v>1004026291</v>
      </c>
      <c r="O59" s="85" t="s">
        <v>144</v>
      </c>
      <c r="P59" s="113" t="s">
        <v>145</v>
      </c>
      <c r="Q59" s="85" t="s">
        <v>867</v>
      </c>
      <c r="R59" s="85" t="s">
        <v>184</v>
      </c>
      <c r="S59" s="85" t="s">
        <v>609</v>
      </c>
      <c r="T59" s="85" t="s">
        <v>148</v>
      </c>
      <c r="U59" s="86">
        <v>75000</v>
      </c>
      <c r="V59" s="85" t="s">
        <v>146</v>
      </c>
      <c r="W59" s="86">
        <v>74960</v>
      </c>
      <c r="X59" s="85" t="s">
        <v>146</v>
      </c>
      <c r="Y59" s="94">
        <v>5.44</v>
      </c>
      <c r="Z59" s="94">
        <v>0.36</v>
      </c>
      <c r="AA59" s="94">
        <v>0</v>
      </c>
      <c r="AB59" s="94">
        <v>0</v>
      </c>
      <c r="AC59" s="85" t="s">
        <v>724</v>
      </c>
      <c r="AD59" s="85" t="s">
        <v>147</v>
      </c>
      <c r="AE59" s="150">
        <v>74960</v>
      </c>
      <c r="AF59" s="151" t="s">
        <v>146</v>
      </c>
      <c r="AG59" s="150">
        <v>4373250</v>
      </c>
      <c r="AH59" s="151"/>
      <c r="AI59" s="150">
        <v>4373250</v>
      </c>
    </row>
    <row r="60" spans="1:35">
      <c r="A60" s="85"/>
      <c r="B60" s="85"/>
      <c r="C60" s="85"/>
      <c r="D60" s="85"/>
      <c r="E60" s="85" t="s">
        <v>863</v>
      </c>
      <c r="F60" s="87" t="s">
        <v>455</v>
      </c>
      <c r="G60" s="85"/>
      <c r="H60" s="85" t="s">
        <v>722</v>
      </c>
      <c r="I60" s="85" t="s">
        <v>865</v>
      </c>
      <c r="J60" s="84">
        <v>1005002240</v>
      </c>
      <c r="K60" s="85" t="s">
        <v>51</v>
      </c>
      <c r="L60" s="85" t="s">
        <v>60</v>
      </c>
      <c r="M60" s="84">
        <v>1001026321</v>
      </c>
      <c r="N60" s="84">
        <v>1004026321</v>
      </c>
      <c r="O60" s="85" t="s">
        <v>144</v>
      </c>
      <c r="P60" s="113" t="s">
        <v>145</v>
      </c>
      <c r="Q60" s="85" t="s">
        <v>867</v>
      </c>
      <c r="R60" s="85" t="s">
        <v>184</v>
      </c>
      <c r="S60" s="85" t="s">
        <v>609</v>
      </c>
      <c r="T60" s="85" t="s">
        <v>148</v>
      </c>
      <c r="U60" s="86">
        <v>75000</v>
      </c>
      <c r="V60" s="85" t="s">
        <v>146</v>
      </c>
      <c r="W60" s="86">
        <v>74970</v>
      </c>
      <c r="X60" s="85" t="s">
        <v>146</v>
      </c>
      <c r="Y60" s="94">
        <v>5.35</v>
      </c>
      <c r="Z60" s="94">
        <v>0.36</v>
      </c>
      <c r="AA60" s="94">
        <v>0</v>
      </c>
      <c r="AB60" s="94">
        <v>0</v>
      </c>
      <c r="AC60" s="85" t="s">
        <v>724</v>
      </c>
      <c r="AD60" s="85" t="s">
        <v>147</v>
      </c>
      <c r="AE60" s="150">
        <v>74970</v>
      </c>
      <c r="AF60" s="151" t="s">
        <v>146</v>
      </c>
      <c r="AG60" s="150">
        <v>3380000</v>
      </c>
      <c r="AH60" s="151"/>
      <c r="AI60" s="150">
        <v>3380000</v>
      </c>
    </row>
    <row r="61" spans="1:35">
      <c r="A61" s="85"/>
      <c r="B61" s="85"/>
      <c r="C61" s="85"/>
      <c r="D61" s="85"/>
      <c r="E61" s="85" t="s">
        <v>863</v>
      </c>
      <c r="F61" s="87" t="s">
        <v>455</v>
      </c>
      <c r="G61" s="85"/>
      <c r="H61" s="85" t="s">
        <v>722</v>
      </c>
      <c r="I61" s="85" t="s">
        <v>865</v>
      </c>
      <c r="J61" s="84">
        <v>1005002241</v>
      </c>
      <c r="K61" s="85" t="s">
        <v>51</v>
      </c>
      <c r="L61" s="85" t="s">
        <v>60</v>
      </c>
      <c r="M61" s="84">
        <v>1001026392</v>
      </c>
      <c r="N61" s="84">
        <v>1004026392</v>
      </c>
      <c r="O61" s="85" t="s">
        <v>144</v>
      </c>
      <c r="P61" s="113" t="s">
        <v>145</v>
      </c>
      <c r="Q61" s="85" t="s">
        <v>867</v>
      </c>
      <c r="R61" s="85" t="s">
        <v>184</v>
      </c>
      <c r="S61" s="85" t="s">
        <v>609</v>
      </c>
      <c r="T61" s="85" t="s">
        <v>148</v>
      </c>
      <c r="U61" s="86">
        <v>75000</v>
      </c>
      <c r="V61" s="85" t="s">
        <v>146</v>
      </c>
      <c r="W61" s="86">
        <v>75010</v>
      </c>
      <c r="X61" s="85" t="s">
        <v>146</v>
      </c>
      <c r="Y61" s="94">
        <v>5.42</v>
      </c>
      <c r="Z61" s="94">
        <v>0.37</v>
      </c>
      <c r="AA61" s="94">
        <v>0</v>
      </c>
      <c r="AB61" s="94">
        <v>0</v>
      </c>
      <c r="AC61" s="85" t="s">
        <v>724</v>
      </c>
      <c r="AD61" s="85" t="s">
        <v>147</v>
      </c>
      <c r="AE61" s="150">
        <v>75010</v>
      </c>
      <c r="AF61" s="151" t="s">
        <v>146</v>
      </c>
      <c r="AG61" s="150">
        <v>4656750</v>
      </c>
      <c r="AH61" s="151"/>
      <c r="AI61" s="150">
        <v>4656750</v>
      </c>
    </row>
    <row r="62" spans="1:35">
      <c r="A62" s="85"/>
      <c r="B62" s="85"/>
      <c r="C62" s="85"/>
      <c r="D62" s="85"/>
      <c r="E62" s="85" t="s">
        <v>863</v>
      </c>
      <c r="F62" s="87" t="s">
        <v>455</v>
      </c>
      <c r="G62" s="85"/>
      <c r="H62" s="85" t="s">
        <v>722</v>
      </c>
      <c r="I62" s="85" t="s">
        <v>865</v>
      </c>
      <c r="J62" s="84">
        <v>1005002242</v>
      </c>
      <c r="K62" s="85" t="s">
        <v>51</v>
      </c>
      <c r="L62" s="85" t="s">
        <v>60</v>
      </c>
      <c r="M62" s="84">
        <v>1001026408</v>
      </c>
      <c r="N62" s="84">
        <v>1004026408</v>
      </c>
      <c r="O62" s="85" t="s">
        <v>144</v>
      </c>
      <c r="P62" s="113" t="s">
        <v>145</v>
      </c>
      <c r="Q62" s="85" t="s">
        <v>867</v>
      </c>
      <c r="R62" s="85" t="s">
        <v>184</v>
      </c>
      <c r="S62" s="85" t="s">
        <v>609</v>
      </c>
      <c r="T62" s="85" t="s">
        <v>148</v>
      </c>
      <c r="U62" s="86">
        <v>100000</v>
      </c>
      <c r="V62" s="85" t="s">
        <v>146</v>
      </c>
      <c r="W62" s="86">
        <v>99830</v>
      </c>
      <c r="X62" s="85" t="s">
        <v>146</v>
      </c>
      <c r="Y62" s="94">
        <v>5.55</v>
      </c>
      <c r="Z62" s="94">
        <v>0.35</v>
      </c>
      <c r="AA62" s="94">
        <v>0</v>
      </c>
      <c r="AB62" s="94">
        <v>0</v>
      </c>
      <c r="AC62" s="85" t="s">
        <v>724</v>
      </c>
      <c r="AD62" s="85" t="s">
        <v>147</v>
      </c>
      <c r="AE62" s="150">
        <v>99830</v>
      </c>
      <c r="AF62" s="151" t="s">
        <v>146</v>
      </c>
      <c r="AG62" s="150">
        <v>6640250</v>
      </c>
      <c r="AH62" s="151"/>
      <c r="AI62" s="150">
        <v>6640250</v>
      </c>
    </row>
    <row r="63" spans="1:35">
      <c r="A63" s="85"/>
      <c r="B63" s="85"/>
      <c r="C63" s="85"/>
      <c r="D63" s="85"/>
      <c r="E63" s="85" t="s">
        <v>863</v>
      </c>
      <c r="F63" s="87" t="s">
        <v>455</v>
      </c>
      <c r="G63" s="85"/>
      <c r="H63" s="85" t="s">
        <v>722</v>
      </c>
      <c r="I63" s="85" t="s">
        <v>865</v>
      </c>
      <c r="J63" s="84">
        <v>1005002243</v>
      </c>
      <c r="K63" s="85" t="s">
        <v>51</v>
      </c>
      <c r="L63" s="85" t="s">
        <v>60</v>
      </c>
      <c r="M63" s="84">
        <v>1001026432</v>
      </c>
      <c r="N63" s="84">
        <v>1004026432</v>
      </c>
      <c r="O63" s="85" t="s">
        <v>144</v>
      </c>
      <c r="P63" s="113" t="s">
        <v>145</v>
      </c>
      <c r="Q63" s="85" t="s">
        <v>867</v>
      </c>
      <c r="R63" s="85" t="s">
        <v>184</v>
      </c>
      <c r="S63" s="85" t="s">
        <v>609</v>
      </c>
      <c r="T63" s="85" t="s">
        <v>148</v>
      </c>
      <c r="U63" s="86">
        <v>150000</v>
      </c>
      <c r="V63" s="85" t="s">
        <v>146</v>
      </c>
      <c r="W63" s="86">
        <v>150100</v>
      </c>
      <c r="X63" s="85" t="s">
        <v>146</v>
      </c>
      <c r="Y63" s="94">
        <v>5.71</v>
      </c>
      <c r="Z63" s="94">
        <v>0.35</v>
      </c>
      <c r="AA63" s="94">
        <v>0</v>
      </c>
      <c r="AB63" s="94">
        <v>0</v>
      </c>
      <c r="AC63" s="85" t="s">
        <v>724</v>
      </c>
      <c r="AD63" s="85" t="s">
        <v>147</v>
      </c>
      <c r="AE63" s="150">
        <v>150100</v>
      </c>
      <c r="AF63" s="151" t="s">
        <v>146</v>
      </c>
      <c r="AG63" s="150">
        <v>13544500</v>
      </c>
      <c r="AH63" s="151"/>
      <c r="AI63" s="150">
        <v>13544500</v>
      </c>
    </row>
    <row r="64" spans="1:35">
      <c r="A64" s="85"/>
      <c r="B64" s="85"/>
      <c r="C64" s="85"/>
      <c r="D64" s="85"/>
      <c r="E64" s="85" t="s">
        <v>863</v>
      </c>
      <c r="F64" s="87" t="s">
        <v>455</v>
      </c>
      <c r="G64" s="85"/>
      <c r="H64" s="85" t="s">
        <v>722</v>
      </c>
      <c r="I64" s="85" t="s">
        <v>865</v>
      </c>
      <c r="J64" s="84">
        <v>1005002244</v>
      </c>
      <c r="K64" s="85" t="s">
        <v>51</v>
      </c>
      <c r="L64" s="85" t="s">
        <v>60</v>
      </c>
      <c r="M64" s="84">
        <v>1001026528</v>
      </c>
      <c r="N64" s="84">
        <v>1004026528</v>
      </c>
      <c r="O64" s="85" t="s">
        <v>144</v>
      </c>
      <c r="P64" s="113" t="s">
        <v>145</v>
      </c>
      <c r="Q64" s="85" t="s">
        <v>867</v>
      </c>
      <c r="R64" s="85" t="s">
        <v>184</v>
      </c>
      <c r="S64" s="85" t="s">
        <v>609</v>
      </c>
      <c r="T64" s="85" t="s">
        <v>148</v>
      </c>
      <c r="U64" s="86">
        <v>125000</v>
      </c>
      <c r="V64" s="85" t="s">
        <v>146</v>
      </c>
      <c r="W64" s="86">
        <v>124880</v>
      </c>
      <c r="X64" s="85" t="s">
        <v>146</v>
      </c>
      <c r="Y64" s="94">
        <v>5.44</v>
      </c>
      <c r="Z64" s="94">
        <v>0.35</v>
      </c>
      <c r="AA64" s="94">
        <v>0</v>
      </c>
      <c r="AB64" s="94">
        <v>0</v>
      </c>
      <c r="AC64" s="85" t="s">
        <v>724</v>
      </c>
      <c r="AD64" s="85" t="s">
        <v>147</v>
      </c>
      <c r="AE64" s="150">
        <v>124880</v>
      </c>
      <c r="AF64" s="151" t="s">
        <v>146</v>
      </c>
      <c r="AG64" s="150">
        <v>7658500</v>
      </c>
      <c r="AH64" s="151"/>
      <c r="AI64" s="150">
        <v>7658500</v>
      </c>
    </row>
    <row r="65" spans="1:35">
      <c r="A65" s="85"/>
      <c r="B65" s="85"/>
      <c r="C65" s="85"/>
      <c r="D65" s="85"/>
      <c r="E65" s="85" t="s">
        <v>863</v>
      </c>
      <c r="F65" s="87" t="s">
        <v>455</v>
      </c>
      <c r="G65" s="85"/>
      <c r="H65" s="85" t="s">
        <v>722</v>
      </c>
      <c r="I65" s="85" t="s">
        <v>865</v>
      </c>
      <c r="J65" s="84">
        <v>1005002245</v>
      </c>
      <c r="K65" s="85" t="s">
        <v>51</v>
      </c>
      <c r="L65" s="85" t="s">
        <v>60</v>
      </c>
      <c r="M65" s="84">
        <v>1001026557</v>
      </c>
      <c r="N65" s="84">
        <v>1004026557</v>
      </c>
      <c r="O65" s="85" t="s">
        <v>144</v>
      </c>
      <c r="P65" s="113" t="s">
        <v>145</v>
      </c>
      <c r="Q65" s="85" t="s">
        <v>867</v>
      </c>
      <c r="R65" s="85" t="s">
        <v>184</v>
      </c>
      <c r="S65" s="85" t="s">
        <v>609</v>
      </c>
      <c r="T65" s="85" t="s">
        <v>148</v>
      </c>
      <c r="U65" s="86">
        <v>150000</v>
      </c>
      <c r="V65" s="85" t="s">
        <v>146</v>
      </c>
      <c r="W65" s="86">
        <v>150260</v>
      </c>
      <c r="X65" s="85" t="s">
        <v>146</v>
      </c>
      <c r="Y65" s="94">
        <v>5.36</v>
      </c>
      <c r="Z65" s="94">
        <v>0.33</v>
      </c>
      <c r="AA65" s="94">
        <v>0</v>
      </c>
      <c r="AB65" s="94">
        <v>0</v>
      </c>
      <c r="AC65" s="85" t="s">
        <v>724</v>
      </c>
      <c r="AD65" s="85" t="s">
        <v>147</v>
      </c>
      <c r="AE65" s="150">
        <v>150260</v>
      </c>
      <c r="AF65" s="151" t="s">
        <v>146</v>
      </c>
      <c r="AG65" s="150">
        <v>8370500</v>
      </c>
      <c r="AH65" s="151"/>
      <c r="AI65" s="150">
        <v>8370500</v>
      </c>
    </row>
    <row r="66" spans="1:35">
      <c r="A66" s="85"/>
      <c r="B66" s="85"/>
      <c r="C66" s="85"/>
      <c r="D66" s="85"/>
      <c r="E66" s="85" t="s">
        <v>863</v>
      </c>
      <c r="F66" s="87" t="s">
        <v>455</v>
      </c>
      <c r="G66" s="85"/>
      <c r="H66" s="85" t="s">
        <v>722</v>
      </c>
      <c r="I66" s="85" t="s">
        <v>865</v>
      </c>
      <c r="J66" s="84">
        <v>1005002246</v>
      </c>
      <c r="K66" s="85" t="s">
        <v>51</v>
      </c>
      <c r="L66" s="85" t="s">
        <v>60</v>
      </c>
      <c r="M66" s="84">
        <v>1001026659</v>
      </c>
      <c r="N66" s="84">
        <v>1004026659</v>
      </c>
      <c r="O66" s="85" t="s">
        <v>144</v>
      </c>
      <c r="P66" s="113" t="s">
        <v>145</v>
      </c>
      <c r="Q66" s="85" t="s">
        <v>867</v>
      </c>
      <c r="R66" s="85" t="s">
        <v>184</v>
      </c>
      <c r="S66" s="85" t="s">
        <v>609</v>
      </c>
      <c r="T66" s="85" t="s">
        <v>148</v>
      </c>
      <c r="U66" s="86">
        <v>75000</v>
      </c>
      <c r="V66" s="85" t="s">
        <v>146</v>
      </c>
      <c r="W66" s="86">
        <v>75150</v>
      </c>
      <c r="X66" s="85" t="s">
        <v>146</v>
      </c>
      <c r="Y66" s="94">
        <v>5.3</v>
      </c>
      <c r="Z66" s="94">
        <v>0.32</v>
      </c>
      <c r="AA66" s="94">
        <v>0</v>
      </c>
      <c r="AB66" s="94">
        <v>0</v>
      </c>
      <c r="AC66" s="85" t="s">
        <v>724</v>
      </c>
      <c r="AD66" s="85" t="s">
        <v>147</v>
      </c>
      <c r="AE66" s="150">
        <v>75150</v>
      </c>
      <c r="AF66" s="151" t="s">
        <v>146</v>
      </c>
      <c r="AG66" s="150">
        <v>3757500</v>
      </c>
      <c r="AH66" s="151"/>
      <c r="AI66" s="150">
        <v>3757500</v>
      </c>
    </row>
    <row r="67" spans="1:35">
      <c r="A67" s="85"/>
      <c r="B67" s="85"/>
      <c r="C67" s="85"/>
      <c r="D67" s="85"/>
      <c r="E67" s="85" t="s">
        <v>863</v>
      </c>
      <c r="F67" s="87" t="s">
        <v>455</v>
      </c>
      <c r="G67" s="85"/>
      <c r="H67" s="85" t="s">
        <v>722</v>
      </c>
      <c r="I67" s="85" t="s">
        <v>865</v>
      </c>
      <c r="J67" s="84">
        <v>1005002247</v>
      </c>
      <c r="K67" s="85" t="s">
        <v>51</v>
      </c>
      <c r="L67" s="85" t="s">
        <v>60</v>
      </c>
      <c r="M67" s="84">
        <v>1001026723</v>
      </c>
      <c r="N67" s="84">
        <v>1004026723</v>
      </c>
      <c r="O67" s="85" t="s">
        <v>144</v>
      </c>
      <c r="P67" s="113" t="s">
        <v>145</v>
      </c>
      <c r="Q67" s="85" t="s">
        <v>867</v>
      </c>
      <c r="R67" s="85" t="s">
        <v>184</v>
      </c>
      <c r="S67" s="85" t="s">
        <v>609</v>
      </c>
      <c r="T67" s="85" t="s">
        <v>148</v>
      </c>
      <c r="U67" s="86">
        <v>125000</v>
      </c>
      <c r="V67" s="85" t="s">
        <v>146</v>
      </c>
      <c r="W67" s="86">
        <v>125050</v>
      </c>
      <c r="X67" s="85" t="s">
        <v>146</v>
      </c>
      <c r="Y67" s="94">
        <v>5.32</v>
      </c>
      <c r="Z67" s="94">
        <v>0.32</v>
      </c>
      <c r="AA67" s="94">
        <v>0</v>
      </c>
      <c r="AB67" s="94">
        <v>0</v>
      </c>
      <c r="AC67" s="85" t="s">
        <v>724</v>
      </c>
      <c r="AD67" s="85" t="s">
        <v>147</v>
      </c>
      <c r="AE67" s="150">
        <v>125050</v>
      </c>
      <c r="AF67" s="151" t="s">
        <v>146</v>
      </c>
      <c r="AG67" s="150">
        <v>6252500</v>
      </c>
      <c r="AH67" s="151"/>
      <c r="AI67" s="150">
        <v>6252500</v>
      </c>
    </row>
    <row r="68" spans="1:35">
      <c r="A68" s="85"/>
      <c r="B68" s="85"/>
      <c r="C68" s="85"/>
      <c r="D68" s="85"/>
      <c r="E68" s="85" t="s">
        <v>863</v>
      </c>
      <c r="F68" s="87" t="s">
        <v>455</v>
      </c>
      <c r="G68" s="85"/>
      <c r="H68" s="85" t="s">
        <v>722</v>
      </c>
      <c r="I68" s="85" t="s">
        <v>865</v>
      </c>
      <c r="J68" s="84">
        <v>1005002248</v>
      </c>
      <c r="K68" s="85" t="s">
        <v>51</v>
      </c>
      <c r="L68" s="85" t="s">
        <v>60</v>
      </c>
      <c r="M68" s="84">
        <v>1001026736</v>
      </c>
      <c r="N68" s="84">
        <v>1004026736</v>
      </c>
      <c r="O68" s="85" t="s">
        <v>144</v>
      </c>
      <c r="P68" s="113" t="s">
        <v>145</v>
      </c>
      <c r="Q68" s="85" t="s">
        <v>867</v>
      </c>
      <c r="R68" s="85" t="s">
        <v>184</v>
      </c>
      <c r="S68" s="85" t="s">
        <v>609</v>
      </c>
      <c r="T68" s="85" t="s">
        <v>148</v>
      </c>
      <c r="U68" s="86">
        <v>100000</v>
      </c>
      <c r="V68" s="85" t="s">
        <v>146</v>
      </c>
      <c r="W68" s="86">
        <v>99950</v>
      </c>
      <c r="X68" s="85" t="s">
        <v>146</v>
      </c>
      <c r="Y68" s="94">
        <v>5.33</v>
      </c>
      <c r="Z68" s="94">
        <v>0.34</v>
      </c>
      <c r="AA68" s="94">
        <v>0</v>
      </c>
      <c r="AB68" s="94">
        <v>0</v>
      </c>
      <c r="AC68" s="85" t="s">
        <v>724</v>
      </c>
      <c r="AD68" s="85" t="s">
        <v>147</v>
      </c>
      <c r="AE68" s="150">
        <v>99950</v>
      </c>
      <c r="AF68" s="151" t="s">
        <v>146</v>
      </c>
      <c r="AG68" s="150">
        <v>4997500</v>
      </c>
      <c r="AH68" s="151"/>
      <c r="AI68" s="150">
        <v>4997500</v>
      </c>
    </row>
    <row r="69" spans="1:35">
      <c r="A69" s="90"/>
      <c r="B69" s="90" t="s">
        <v>149</v>
      </c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116"/>
      <c r="Q69" s="90"/>
      <c r="R69" s="90"/>
      <c r="S69" s="90"/>
      <c r="T69" s="90"/>
      <c r="U69" s="90"/>
      <c r="V69" s="90"/>
      <c r="W69" s="90"/>
      <c r="X69" s="90"/>
      <c r="Y69" s="95"/>
      <c r="Z69" s="95"/>
      <c r="AA69" s="95"/>
      <c r="AB69" s="95"/>
      <c r="AC69" s="90"/>
      <c r="AD69" s="90"/>
      <c r="AE69" s="145">
        <v>1283010</v>
      </c>
      <c r="AF69" s="146" t="s">
        <v>146</v>
      </c>
      <c r="AG69" s="145">
        <v>75703000</v>
      </c>
      <c r="AH69" s="146"/>
      <c r="AI69" s="145">
        <v>75703000</v>
      </c>
    </row>
    <row r="70" spans="1:35">
      <c r="A70" s="84">
        <v>11</v>
      </c>
      <c r="B70" s="85" t="s">
        <v>836</v>
      </c>
      <c r="C70" s="85" t="s">
        <v>837</v>
      </c>
      <c r="D70" s="85" t="s">
        <v>799</v>
      </c>
      <c r="E70" s="85" t="s">
        <v>863</v>
      </c>
      <c r="F70" s="85" t="s">
        <v>837</v>
      </c>
      <c r="G70" s="85" t="s">
        <v>864</v>
      </c>
      <c r="H70" s="85" t="s">
        <v>746</v>
      </c>
      <c r="I70" s="85" t="s">
        <v>871</v>
      </c>
      <c r="J70" s="84">
        <v>1005002125</v>
      </c>
      <c r="K70" s="85" t="s">
        <v>771</v>
      </c>
      <c r="L70" s="85" t="s">
        <v>742</v>
      </c>
      <c r="M70" s="84">
        <v>1001026139</v>
      </c>
      <c r="N70" s="84">
        <v>1004026139</v>
      </c>
      <c r="O70" s="85" t="s">
        <v>144</v>
      </c>
      <c r="P70" s="113" t="s">
        <v>145</v>
      </c>
      <c r="Q70" s="85" t="s">
        <v>867</v>
      </c>
      <c r="R70" s="85" t="s">
        <v>184</v>
      </c>
      <c r="S70" s="85" t="s">
        <v>609</v>
      </c>
      <c r="T70" s="85" t="s">
        <v>148</v>
      </c>
      <c r="U70" s="85"/>
      <c r="V70" s="85" t="s">
        <v>146</v>
      </c>
      <c r="W70" s="86">
        <v>1000007</v>
      </c>
      <c r="X70" s="85" t="s">
        <v>146</v>
      </c>
      <c r="Y70" s="94">
        <v>7.91</v>
      </c>
      <c r="Z70" s="94">
        <v>0.37</v>
      </c>
      <c r="AA70" s="94">
        <v>0</v>
      </c>
      <c r="AB70" s="94">
        <v>0</v>
      </c>
      <c r="AC70" s="85" t="s">
        <v>724</v>
      </c>
      <c r="AD70" s="85" t="s">
        <v>147</v>
      </c>
      <c r="AE70" s="150">
        <v>1000007</v>
      </c>
      <c r="AF70" s="151" t="s">
        <v>146</v>
      </c>
      <c r="AG70" s="150">
        <v>2500017500</v>
      </c>
      <c r="AH70" s="151"/>
      <c r="AI70" s="150">
        <v>2500017500</v>
      </c>
    </row>
    <row r="71" spans="1:35">
      <c r="A71" s="85"/>
      <c r="B71" s="85"/>
      <c r="C71" s="85"/>
      <c r="D71" s="85"/>
      <c r="E71" s="85" t="s">
        <v>863</v>
      </c>
      <c r="F71" s="87" t="s">
        <v>837</v>
      </c>
      <c r="G71" s="85"/>
      <c r="H71" s="85" t="s">
        <v>746</v>
      </c>
      <c r="I71" s="85" t="s">
        <v>871</v>
      </c>
      <c r="J71" s="84">
        <v>1005002126</v>
      </c>
      <c r="K71" s="85" t="s">
        <v>771</v>
      </c>
      <c r="L71" s="85" t="s">
        <v>742</v>
      </c>
      <c r="M71" s="84">
        <v>1001026295</v>
      </c>
      <c r="N71" s="84">
        <v>1004026295</v>
      </c>
      <c r="O71" s="85" t="s">
        <v>144</v>
      </c>
      <c r="P71" s="113" t="s">
        <v>145</v>
      </c>
      <c r="Q71" s="85" t="s">
        <v>867</v>
      </c>
      <c r="R71" s="85" t="s">
        <v>184</v>
      </c>
      <c r="S71" s="85" t="s">
        <v>609</v>
      </c>
      <c r="T71" s="85" t="s">
        <v>148</v>
      </c>
      <c r="U71" s="85"/>
      <c r="V71" s="85" t="s">
        <v>146</v>
      </c>
      <c r="W71" s="86">
        <v>500004</v>
      </c>
      <c r="X71" s="85" t="s">
        <v>146</v>
      </c>
      <c r="Y71" s="94">
        <v>7.91</v>
      </c>
      <c r="Z71" s="94">
        <v>0.37</v>
      </c>
      <c r="AA71" s="94">
        <v>0</v>
      </c>
      <c r="AB71" s="94">
        <v>0</v>
      </c>
      <c r="AC71" s="85" t="s">
        <v>724</v>
      </c>
      <c r="AD71" s="85" t="s">
        <v>147</v>
      </c>
      <c r="AE71" s="150">
        <v>500004</v>
      </c>
      <c r="AF71" s="151" t="s">
        <v>146</v>
      </c>
      <c r="AG71" s="150">
        <v>1250010000</v>
      </c>
      <c r="AH71" s="151"/>
      <c r="AI71" s="150">
        <v>1250010000</v>
      </c>
    </row>
    <row r="72" spans="1:35">
      <c r="A72" s="90"/>
      <c r="B72" s="90" t="s">
        <v>149</v>
      </c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116"/>
      <c r="Q72" s="90"/>
      <c r="R72" s="90"/>
      <c r="S72" s="90"/>
      <c r="T72" s="90"/>
      <c r="U72" s="90"/>
      <c r="V72" s="90"/>
      <c r="W72" s="90"/>
      <c r="X72" s="90"/>
      <c r="Y72" s="95"/>
      <c r="Z72" s="95"/>
      <c r="AA72" s="95"/>
      <c r="AB72" s="95"/>
      <c r="AC72" s="90"/>
      <c r="AD72" s="90"/>
      <c r="AE72" s="145">
        <v>1500011</v>
      </c>
      <c r="AF72" s="146" t="s">
        <v>146</v>
      </c>
      <c r="AG72" s="145">
        <v>3750027500</v>
      </c>
      <c r="AH72" s="146"/>
      <c r="AI72" s="145">
        <v>3750027500</v>
      </c>
    </row>
    <row r="73" spans="1:35">
      <c r="A73" s="84">
        <v>12</v>
      </c>
      <c r="B73" s="85" t="s">
        <v>545</v>
      </c>
      <c r="C73" s="85" t="s">
        <v>546</v>
      </c>
      <c r="D73" s="85" t="s">
        <v>535</v>
      </c>
      <c r="E73" s="85" t="s">
        <v>863</v>
      </c>
      <c r="F73" s="85" t="s">
        <v>795</v>
      </c>
      <c r="G73" s="85" t="s">
        <v>872</v>
      </c>
      <c r="H73" s="85" t="s">
        <v>735</v>
      </c>
      <c r="I73" s="85" t="s">
        <v>865</v>
      </c>
      <c r="J73" s="84">
        <v>1005002304</v>
      </c>
      <c r="K73" s="85" t="s">
        <v>66</v>
      </c>
      <c r="L73" s="85" t="s">
        <v>742</v>
      </c>
      <c r="M73" s="84">
        <v>1001026575</v>
      </c>
      <c r="N73" s="84">
        <v>1004026575</v>
      </c>
      <c r="O73" s="85" t="s">
        <v>334</v>
      </c>
      <c r="P73" s="113" t="s">
        <v>297</v>
      </c>
      <c r="Q73" s="85" t="s">
        <v>870</v>
      </c>
      <c r="R73" s="85" t="s">
        <v>184</v>
      </c>
      <c r="S73" s="85" t="s">
        <v>609</v>
      </c>
      <c r="T73" s="85" t="s">
        <v>148</v>
      </c>
      <c r="U73" s="86">
        <v>516600</v>
      </c>
      <c r="V73" s="85" t="s">
        <v>146</v>
      </c>
      <c r="W73" s="86">
        <v>509570</v>
      </c>
      <c r="X73" s="85" t="s">
        <v>146</v>
      </c>
      <c r="Y73" s="94">
        <v>26.08</v>
      </c>
      <c r="Z73" s="94">
        <v>0.87</v>
      </c>
      <c r="AA73" s="94">
        <v>0</v>
      </c>
      <c r="AB73" s="94">
        <v>0</v>
      </c>
      <c r="AC73" s="85" t="s">
        <v>724</v>
      </c>
      <c r="AD73" s="85" t="s">
        <v>147</v>
      </c>
      <c r="AE73" s="150">
        <v>668.44</v>
      </c>
      <c r="AF73" s="151" t="s">
        <v>146</v>
      </c>
      <c r="AG73" s="150">
        <v>8495872</v>
      </c>
      <c r="AH73" s="151"/>
      <c r="AI73" s="150">
        <v>8495872</v>
      </c>
    </row>
    <row r="74" spans="1:35">
      <c r="A74" s="90"/>
      <c r="B74" s="90" t="s">
        <v>149</v>
      </c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116"/>
      <c r="Q74" s="90"/>
      <c r="R74" s="90"/>
      <c r="S74" s="90"/>
      <c r="T74" s="90"/>
      <c r="U74" s="90"/>
      <c r="V74" s="90"/>
      <c r="W74" s="90"/>
      <c r="X74" s="90"/>
      <c r="Y74" s="95"/>
      <c r="Z74" s="95"/>
      <c r="AA74" s="95"/>
      <c r="AB74" s="95"/>
      <c r="AC74" s="90"/>
      <c r="AD74" s="90"/>
      <c r="AE74" s="145">
        <v>668.44</v>
      </c>
      <c r="AF74" s="146" t="s">
        <v>146</v>
      </c>
      <c r="AG74" s="145">
        <v>8495872</v>
      </c>
      <c r="AH74" s="146"/>
      <c r="AI74" s="145">
        <v>8495872</v>
      </c>
    </row>
    <row r="75" spans="1:35">
      <c r="A75" s="84">
        <v>13</v>
      </c>
      <c r="B75" s="85" t="s">
        <v>549</v>
      </c>
      <c r="C75" s="85" t="s">
        <v>550</v>
      </c>
      <c r="D75" s="85" t="s">
        <v>535</v>
      </c>
      <c r="E75" s="85" t="s">
        <v>873</v>
      </c>
      <c r="F75" s="85" t="s">
        <v>550</v>
      </c>
      <c r="G75" s="85" t="s">
        <v>872</v>
      </c>
      <c r="H75" s="85" t="s">
        <v>844</v>
      </c>
      <c r="I75" s="85" t="s">
        <v>874</v>
      </c>
      <c r="J75" s="84">
        <v>1005002162</v>
      </c>
      <c r="K75" s="85" t="s">
        <v>62</v>
      </c>
      <c r="L75" s="85" t="s">
        <v>60</v>
      </c>
      <c r="M75" s="84">
        <v>1001024529</v>
      </c>
      <c r="N75" s="84">
        <v>1004024529</v>
      </c>
      <c r="O75" s="85" t="s">
        <v>178</v>
      </c>
      <c r="P75" s="113" t="s">
        <v>179</v>
      </c>
      <c r="Q75" s="85" t="s">
        <v>868</v>
      </c>
      <c r="R75" s="85" t="s">
        <v>184</v>
      </c>
      <c r="S75" s="85" t="s">
        <v>609</v>
      </c>
      <c r="T75" s="85" t="s">
        <v>148</v>
      </c>
      <c r="U75" s="85"/>
      <c r="V75" s="85" t="s">
        <v>146</v>
      </c>
      <c r="W75" s="86">
        <v>200000</v>
      </c>
      <c r="X75" s="85" t="s">
        <v>146</v>
      </c>
      <c r="Y75" s="94">
        <v>0</v>
      </c>
      <c r="Z75" s="94">
        <v>22.6</v>
      </c>
      <c r="AA75" s="94">
        <v>0</v>
      </c>
      <c r="AB75" s="94">
        <v>0</v>
      </c>
      <c r="AC75" s="85" t="s">
        <v>724</v>
      </c>
      <c r="AD75" s="85" t="s">
        <v>147</v>
      </c>
      <c r="AE75" s="150">
        <v>3528.4</v>
      </c>
      <c r="AF75" s="151" t="s">
        <v>146</v>
      </c>
      <c r="AG75" s="150">
        <v>2716868</v>
      </c>
      <c r="AH75" s="151"/>
      <c r="AI75" s="150">
        <v>2716868</v>
      </c>
    </row>
    <row r="76" spans="1:35">
      <c r="A76" s="85"/>
      <c r="B76" s="85"/>
      <c r="C76" s="85"/>
      <c r="D76" s="85"/>
      <c r="E76" s="85" t="s">
        <v>873</v>
      </c>
      <c r="F76" s="87" t="s">
        <v>550</v>
      </c>
      <c r="G76" s="85"/>
      <c r="H76" s="85" t="s">
        <v>844</v>
      </c>
      <c r="I76" s="85" t="s">
        <v>874</v>
      </c>
      <c r="J76" s="84">
        <v>1005002163</v>
      </c>
      <c r="K76" s="85" t="s">
        <v>62</v>
      </c>
      <c r="L76" s="85" t="s">
        <v>60</v>
      </c>
      <c r="M76" s="84">
        <v>1001025149</v>
      </c>
      <c r="N76" s="84">
        <v>1004025149</v>
      </c>
      <c r="O76" s="85" t="s">
        <v>178</v>
      </c>
      <c r="P76" s="113" t="s">
        <v>179</v>
      </c>
      <c r="Q76" s="85" t="s">
        <v>868</v>
      </c>
      <c r="R76" s="85" t="s">
        <v>184</v>
      </c>
      <c r="S76" s="85" t="s">
        <v>609</v>
      </c>
      <c r="T76" s="85" t="s">
        <v>148</v>
      </c>
      <c r="U76" s="85"/>
      <c r="V76" s="85" t="s">
        <v>146</v>
      </c>
      <c r="W76" s="86">
        <v>200000</v>
      </c>
      <c r="X76" s="85" t="s">
        <v>146</v>
      </c>
      <c r="Y76" s="94">
        <v>0</v>
      </c>
      <c r="Z76" s="94">
        <v>20.11</v>
      </c>
      <c r="AA76" s="94">
        <v>0</v>
      </c>
      <c r="AB76" s="94">
        <v>0</v>
      </c>
      <c r="AC76" s="85" t="s">
        <v>724</v>
      </c>
      <c r="AD76" s="85" t="s">
        <v>147</v>
      </c>
      <c r="AE76" s="150">
        <v>51.9</v>
      </c>
      <c r="AF76" s="151" t="s">
        <v>146</v>
      </c>
      <c r="AG76" s="150">
        <v>42558</v>
      </c>
      <c r="AH76" s="151"/>
      <c r="AI76" s="150">
        <v>42558</v>
      </c>
    </row>
    <row r="77" spans="1:35">
      <c r="A77" s="85"/>
      <c r="B77" s="85"/>
      <c r="C77" s="85"/>
      <c r="D77" s="85"/>
      <c r="E77" s="85" t="s">
        <v>873</v>
      </c>
      <c r="F77" s="87" t="s">
        <v>550</v>
      </c>
      <c r="G77" s="85"/>
      <c r="H77" s="85" t="s">
        <v>844</v>
      </c>
      <c r="I77" s="85" t="s">
        <v>874</v>
      </c>
      <c r="J77" s="84">
        <v>1005002164</v>
      </c>
      <c r="K77" s="85" t="s">
        <v>62</v>
      </c>
      <c r="L77" s="85" t="s">
        <v>60</v>
      </c>
      <c r="M77" s="84">
        <v>1001025828</v>
      </c>
      <c r="N77" s="84">
        <v>1004025828</v>
      </c>
      <c r="O77" s="85" t="s">
        <v>178</v>
      </c>
      <c r="P77" s="113" t="s">
        <v>179</v>
      </c>
      <c r="Q77" s="85" t="s">
        <v>868</v>
      </c>
      <c r="R77" s="85" t="s">
        <v>184</v>
      </c>
      <c r="S77" s="85" t="s">
        <v>609</v>
      </c>
      <c r="T77" s="85" t="s">
        <v>148</v>
      </c>
      <c r="U77" s="85"/>
      <c r="V77" s="85" t="s">
        <v>146</v>
      </c>
      <c r="W77" s="86">
        <v>200000</v>
      </c>
      <c r="X77" s="85" t="s">
        <v>146</v>
      </c>
      <c r="Y77" s="94">
        <v>0</v>
      </c>
      <c r="Z77" s="94">
        <v>20.38</v>
      </c>
      <c r="AA77" s="94">
        <v>0</v>
      </c>
      <c r="AB77" s="94">
        <v>0</v>
      </c>
      <c r="AC77" s="85" t="s">
        <v>724</v>
      </c>
      <c r="AD77" s="85" t="s">
        <v>147</v>
      </c>
      <c r="AE77" s="150">
        <v>175.59</v>
      </c>
      <c r="AF77" s="151" t="s">
        <v>146</v>
      </c>
      <c r="AG77" s="150">
        <v>139594</v>
      </c>
      <c r="AH77" s="151"/>
      <c r="AI77" s="150">
        <v>139594</v>
      </c>
    </row>
    <row r="78" spans="1:35">
      <c r="A78" s="85"/>
      <c r="B78" s="85"/>
      <c r="C78" s="85"/>
      <c r="D78" s="85"/>
      <c r="E78" s="85" t="s">
        <v>873</v>
      </c>
      <c r="F78" s="87" t="s">
        <v>550</v>
      </c>
      <c r="G78" s="85"/>
      <c r="H78" s="85" t="s">
        <v>844</v>
      </c>
      <c r="I78" s="85" t="s">
        <v>874</v>
      </c>
      <c r="J78" s="84">
        <v>1005002165</v>
      </c>
      <c r="K78" s="85" t="s">
        <v>62</v>
      </c>
      <c r="L78" s="85" t="s">
        <v>60</v>
      </c>
      <c r="M78" s="84">
        <v>1001026030</v>
      </c>
      <c r="N78" s="84">
        <v>1004026030</v>
      </c>
      <c r="O78" s="85" t="s">
        <v>178</v>
      </c>
      <c r="P78" s="113" t="s">
        <v>179</v>
      </c>
      <c r="Q78" s="85" t="s">
        <v>868</v>
      </c>
      <c r="R78" s="85" t="s">
        <v>184</v>
      </c>
      <c r="S78" s="85" t="s">
        <v>609</v>
      </c>
      <c r="T78" s="85" t="s">
        <v>148</v>
      </c>
      <c r="U78" s="85"/>
      <c r="V78" s="85" t="s">
        <v>146</v>
      </c>
      <c r="W78" s="86">
        <v>100000</v>
      </c>
      <c r="X78" s="85" t="s">
        <v>146</v>
      </c>
      <c r="Y78" s="94">
        <v>0</v>
      </c>
      <c r="Z78" s="94">
        <v>20.23</v>
      </c>
      <c r="AA78" s="94">
        <v>0</v>
      </c>
      <c r="AB78" s="94">
        <v>0</v>
      </c>
      <c r="AC78" s="85" t="s">
        <v>724</v>
      </c>
      <c r="AD78" s="85" t="s">
        <v>147</v>
      </c>
      <c r="AE78" s="150">
        <v>88.11</v>
      </c>
      <c r="AF78" s="151" t="s">
        <v>146</v>
      </c>
      <c r="AG78" s="150">
        <v>70047</v>
      </c>
      <c r="AH78" s="151"/>
      <c r="AI78" s="150">
        <v>70047</v>
      </c>
    </row>
    <row r="79" spans="1:35">
      <c r="A79" s="85"/>
      <c r="B79" s="85"/>
      <c r="C79" s="85"/>
      <c r="D79" s="85"/>
      <c r="E79" s="85" t="s">
        <v>873</v>
      </c>
      <c r="F79" s="87" t="s">
        <v>550</v>
      </c>
      <c r="G79" s="85"/>
      <c r="H79" s="85" t="s">
        <v>844</v>
      </c>
      <c r="I79" s="85" t="s">
        <v>874</v>
      </c>
      <c r="J79" s="84">
        <v>1005002166</v>
      </c>
      <c r="K79" s="85" t="s">
        <v>62</v>
      </c>
      <c r="L79" s="85" t="s">
        <v>60</v>
      </c>
      <c r="M79" s="84">
        <v>1001026122</v>
      </c>
      <c r="N79" s="84">
        <v>1004026122</v>
      </c>
      <c r="O79" s="85" t="s">
        <v>178</v>
      </c>
      <c r="P79" s="113" t="s">
        <v>179</v>
      </c>
      <c r="Q79" s="85" t="s">
        <v>868</v>
      </c>
      <c r="R79" s="85" t="s">
        <v>184</v>
      </c>
      <c r="S79" s="85" t="s">
        <v>609</v>
      </c>
      <c r="T79" s="85" t="s">
        <v>148</v>
      </c>
      <c r="U79" s="85"/>
      <c r="V79" s="85" t="s">
        <v>146</v>
      </c>
      <c r="W79" s="86">
        <v>200000</v>
      </c>
      <c r="X79" s="85" t="s">
        <v>146</v>
      </c>
      <c r="Y79" s="94">
        <v>0</v>
      </c>
      <c r="Z79" s="94">
        <v>21.09</v>
      </c>
      <c r="AA79" s="94">
        <v>0</v>
      </c>
      <c r="AB79" s="94">
        <v>0</v>
      </c>
      <c r="AC79" s="85" t="s">
        <v>724</v>
      </c>
      <c r="AD79" s="85" t="s">
        <v>147</v>
      </c>
      <c r="AE79" s="150">
        <v>359</v>
      </c>
      <c r="AF79" s="151" t="s">
        <v>146</v>
      </c>
      <c r="AG79" s="150">
        <v>285405</v>
      </c>
      <c r="AH79" s="151"/>
      <c r="AI79" s="150">
        <v>285405</v>
      </c>
    </row>
    <row r="80" spans="1:35">
      <c r="A80" s="85"/>
      <c r="B80" s="85"/>
      <c r="C80" s="85"/>
      <c r="D80" s="85"/>
      <c r="E80" s="85" t="s">
        <v>873</v>
      </c>
      <c r="F80" s="87" t="s">
        <v>550</v>
      </c>
      <c r="G80" s="85"/>
      <c r="H80" s="85" t="s">
        <v>844</v>
      </c>
      <c r="I80" s="85" t="s">
        <v>874</v>
      </c>
      <c r="J80" s="84">
        <v>1005002088</v>
      </c>
      <c r="K80" s="85" t="s">
        <v>39</v>
      </c>
      <c r="L80" s="85" t="s">
        <v>60</v>
      </c>
      <c r="M80" s="84">
        <v>1001024658</v>
      </c>
      <c r="N80" s="84">
        <v>1004024658</v>
      </c>
      <c r="O80" s="85" t="s">
        <v>144</v>
      </c>
      <c r="P80" s="113" t="s">
        <v>145</v>
      </c>
      <c r="Q80" s="85" t="s">
        <v>867</v>
      </c>
      <c r="R80" s="85" t="s">
        <v>184</v>
      </c>
      <c r="S80" s="85" t="s">
        <v>609</v>
      </c>
      <c r="T80" s="85" t="s">
        <v>148</v>
      </c>
      <c r="U80" s="85"/>
      <c r="V80" s="85" t="s">
        <v>146</v>
      </c>
      <c r="W80" s="86">
        <v>250000</v>
      </c>
      <c r="X80" s="85" t="s">
        <v>146</v>
      </c>
      <c r="Y80" s="94">
        <v>5.15</v>
      </c>
      <c r="Z80" s="94">
        <v>0.31</v>
      </c>
      <c r="AA80" s="94">
        <v>0</v>
      </c>
      <c r="AB80" s="94">
        <v>0</v>
      </c>
      <c r="AC80" s="85" t="s">
        <v>724</v>
      </c>
      <c r="AD80" s="85" t="s">
        <v>147</v>
      </c>
      <c r="AE80" s="150">
        <v>250000</v>
      </c>
      <c r="AF80" s="151" t="s">
        <v>146</v>
      </c>
      <c r="AG80" s="150">
        <v>25000000</v>
      </c>
      <c r="AH80" s="151"/>
      <c r="AI80" s="150">
        <v>25000000</v>
      </c>
    </row>
    <row r="81" spans="1:35">
      <c r="A81" s="85"/>
      <c r="B81" s="85"/>
      <c r="C81" s="85"/>
      <c r="D81" s="85"/>
      <c r="E81" s="85" t="s">
        <v>873</v>
      </c>
      <c r="F81" s="87" t="s">
        <v>550</v>
      </c>
      <c r="G81" s="85"/>
      <c r="H81" s="85" t="s">
        <v>844</v>
      </c>
      <c r="I81" s="85" t="s">
        <v>874</v>
      </c>
      <c r="J81" s="84">
        <v>1005002085</v>
      </c>
      <c r="K81" s="85" t="s">
        <v>39</v>
      </c>
      <c r="L81" s="85" t="s">
        <v>60</v>
      </c>
      <c r="M81" s="84">
        <v>1001024940</v>
      </c>
      <c r="N81" s="84">
        <v>1004024940</v>
      </c>
      <c r="O81" s="85" t="s">
        <v>144</v>
      </c>
      <c r="P81" s="113" t="s">
        <v>145</v>
      </c>
      <c r="Q81" s="85" t="s">
        <v>867</v>
      </c>
      <c r="R81" s="85" t="s">
        <v>184</v>
      </c>
      <c r="S81" s="85" t="s">
        <v>609</v>
      </c>
      <c r="T81" s="85" t="s">
        <v>148</v>
      </c>
      <c r="U81" s="85"/>
      <c r="V81" s="85" t="s">
        <v>146</v>
      </c>
      <c r="W81" s="86">
        <v>300000</v>
      </c>
      <c r="X81" s="85" t="s">
        <v>146</v>
      </c>
      <c r="Y81" s="94">
        <v>5.05</v>
      </c>
      <c r="Z81" s="94">
        <v>0.41</v>
      </c>
      <c r="AA81" s="94">
        <v>0</v>
      </c>
      <c r="AB81" s="94">
        <v>0</v>
      </c>
      <c r="AC81" s="85" t="s">
        <v>724</v>
      </c>
      <c r="AD81" s="85" t="s">
        <v>147</v>
      </c>
      <c r="AE81" s="150">
        <v>85310</v>
      </c>
      <c r="AF81" s="151" t="s">
        <v>146</v>
      </c>
      <c r="AG81" s="150">
        <v>8531000</v>
      </c>
      <c r="AH81" s="151"/>
      <c r="AI81" s="150">
        <v>8531000</v>
      </c>
    </row>
    <row r="82" spans="1:35">
      <c r="A82" s="85"/>
      <c r="B82" s="85"/>
      <c r="C82" s="85"/>
      <c r="D82" s="85"/>
      <c r="E82" s="85" t="s">
        <v>873</v>
      </c>
      <c r="F82" s="87" t="s">
        <v>550</v>
      </c>
      <c r="G82" s="85"/>
      <c r="H82" s="85" t="s">
        <v>844</v>
      </c>
      <c r="I82" s="85" t="s">
        <v>874</v>
      </c>
      <c r="J82" s="84">
        <v>1005002082</v>
      </c>
      <c r="K82" s="85" t="s">
        <v>39</v>
      </c>
      <c r="L82" s="85" t="s">
        <v>60</v>
      </c>
      <c r="M82" s="84">
        <v>1001025777</v>
      </c>
      <c r="N82" s="84">
        <v>1004025777</v>
      </c>
      <c r="O82" s="85" t="s">
        <v>144</v>
      </c>
      <c r="P82" s="113" t="s">
        <v>145</v>
      </c>
      <c r="Q82" s="85" t="s">
        <v>867</v>
      </c>
      <c r="R82" s="85" t="s">
        <v>184</v>
      </c>
      <c r="S82" s="85" t="s">
        <v>609</v>
      </c>
      <c r="T82" s="85" t="s">
        <v>148</v>
      </c>
      <c r="U82" s="85"/>
      <c r="V82" s="85" t="s">
        <v>146</v>
      </c>
      <c r="W82" s="86">
        <v>300000</v>
      </c>
      <c r="X82" s="85" t="s">
        <v>146</v>
      </c>
      <c r="Y82" s="94">
        <v>5.09</v>
      </c>
      <c r="Z82" s="94">
        <v>0.3</v>
      </c>
      <c r="AA82" s="94">
        <v>0</v>
      </c>
      <c r="AB82" s="94">
        <v>0</v>
      </c>
      <c r="AC82" s="85" t="s">
        <v>724</v>
      </c>
      <c r="AD82" s="85" t="s">
        <v>147</v>
      </c>
      <c r="AE82" s="150">
        <v>20530</v>
      </c>
      <c r="AF82" s="151" t="s">
        <v>146</v>
      </c>
      <c r="AG82" s="150">
        <v>2053000</v>
      </c>
      <c r="AH82" s="151"/>
      <c r="AI82" s="150">
        <v>2053000</v>
      </c>
    </row>
    <row r="83" spans="1:35">
      <c r="A83" s="85"/>
      <c r="B83" s="85"/>
      <c r="C83" s="85"/>
      <c r="D83" s="85"/>
      <c r="E83" s="85" t="s">
        <v>873</v>
      </c>
      <c r="F83" s="87" t="s">
        <v>550</v>
      </c>
      <c r="G83" s="85"/>
      <c r="H83" s="85" t="s">
        <v>844</v>
      </c>
      <c r="I83" s="85" t="s">
        <v>874</v>
      </c>
      <c r="J83" s="84">
        <v>1005002083</v>
      </c>
      <c r="K83" s="85" t="s">
        <v>39</v>
      </c>
      <c r="L83" s="85" t="s">
        <v>60</v>
      </c>
      <c r="M83" s="84">
        <v>1001025831</v>
      </c>
      <c r="N83" s="84">
        <v>1004025831</v>
      </c>
      <c r="O83" s="85" t="s">
        <v>144</v>
      </c>
      <c r="P83" s="113" t="s">
        <v>145</v>
      </c>
      <c r="Q83" s="85" t="s">
        <v>867</v>
      </c>
      <c r="R83" s="85" t="s">
        <v>184</v>
      </c>
      <c r="S83" s="85" t="s">
        <v>609</v>
      </c>
      <c r="T83" s="85" t="s">
        <v>148</v>
      </c>
      <c r="U83" s="85"/>
      <c r="V83" s="85" t="s">
        <v>146</v>
      </c>
      <c r="W83" s="86">
        <v>450000</v>
      </c>
      <c r="X83" s="85" t="s">
        <v>146</v>
      </c>
      <c r="Y83" s="94">
        <v>5.07</v>
      </c>
      <c r="Z83" s="94">
        <v>0.3</v>
      </c>
      <c r="AA83" s="94">
        <v>0</v>
      </c>
      <c r="AB83" s="94">
        <v>0</v>
      </c>
      <c r="AC83" s="85" t="s">
        <v>724</v>
      </c>
      <c r="AD83" s="85" t="s">
        <v>147</v>
      </c>
      <c r="AE83" s="150">
        <v>47220</v>
      </c>
      <c r="AF83" s="151" t="s">
        <v>146</v>
      </c>
      <c r="AG83" s="150">
        <v>4722000</v>
      </c>
      <c r="AH83" s="151"/>
      <c r="AI83" s="150">
        <v>4722000</v>
      </c>
    </row>
    <row r="84" spans="1:35">
      <c r="A84" s="85"/>
      <c r="B84" s="85"/>
      <c r="C84" s="85"/>
      <c r="D84" s="85"/>
      <c r="E84" s="85" t="s">
        <v>873</v>
      </c>
      <c r="F84" s="87" t="s">
        <v>550</v>
      </c>
      <c r="G84" s="85"/>
      <c r="H84" s="85" t="s">
        <v>844</v>
      </c>
      <c r="I84" s="85" t="s">
        <v>874</v>
      </c>
      <c r="J84" s="84">
        <v>1005002086</v>
      </c>
      <c r="K84" s="85" t="s">
        <v>39</v>
      </c>
      <c r="L84" s="85" t="s">
        <v>60</v>
      </c>
      <c r="M84" s="84">
        <v>1001024379</v>
      </c>
      <c r="N84" s="84">
        <v>1004024379</v>
      </c>
      <c r="O84" s="85" t="s">
        <v>144</v>
      </c>
      <c r="P84" s="113" t="s">
        <v>145</v>
      </c>
      <c r="Q84" s="85" t="s">
        <v>867</v>
      </c>
      <c r="R84" s="85" t="s">
        <v>184</v>
      </c>
      <c r="S84" s="85" t="s">
        <v>609</v>
      </c>
      <c r="T84" s="85" t="s">
        <v>148</v>
      </c>
      <c r="U84" s="85"/>
      <c r="V84" s="85" t="s">
        <v>146</v>
      </c>
      <c r="W84" s="86">
        <v>200000</v>
      </c>
      <c r="X84" s="85" t="s">
        <v>146</v>
      </c>
      <c r="Y84" s="94">
        <v>6.81</v>
      </c>
      <c r="Z84" s="94">
        <v>0.35</v>
      </c>
      <c r="AA84" s="94">
        <v>0</v>
      </c>
      <c r="AB84" s="94">
        <v>0</v>
      </c>
      <c r="AC84" s="85" t="s">
        <v>724</v>
      </c>
      <c r="AD84" s="85" t="s">
        <v>147</v>
      </c>
      <c r="AE84" s="150">
        <v>191990</v>
      </c>
      <c r="AF84" s="151" t="s">
        <v>146</v>
      </c>
      <c r="AG84" s="150">
        <v>252884000</v>
      </c>
      <c r="AH84" s="151"/>
      <c r="AI84" s="150">
        <v>252884000</v>
      </c>
    </row>
    <row r="85" spans="1:35">
      <c r="A85" s="85"/>
      <c r="B85" s="85"/>
      <c r="C85" s="85"/>
      <c r="D85" s="85"/>
      <c r="E85" s="85" t="s">
        <v>873</v>
      </c>
      <c r="F85" s="87" t="s">
        <v>550</v>
      </c>
      <c r="G85" s="85"/>
      <c r="H85" s="85" t="s">
        <v>844</v>
      </c>
      <c r="I85" s="85" t="s">
        <v>874</v>
      </c>
      <c r="J85" s="84">
        <v>1005002087</v>
      </c>
      <c r="K85" s="85" t="s">
        <v>39</v>
      </c>
      <c r="L85" s="85" t="s">
        <v>60</v>
      </c>
      <c r="M85" s="84">
        <v>1001024540</v>
      </c>
      <c r="N85" s="84">
        <v>1004024540</v>
      </c>
      <c r="O85" s="85" t="s">
        <v>144</v>
      </c>
      <c r="P85" s="113" t="s">
        <v>145</v>
      </c>
      <c r="Q85" s="85" t="s">
        <v>867</v>
      </c>
      <c r="R85" s="85" t="s">
        <v>184</v>
      </c>
      <c r="S85" s="85" t="s">
        <v>609</v>
      </c>
      <c r="T85" s="85" t="s">
        <v>148</v>
      </c>
      <c r="U85" s="85"/>
      <c r="V85" s="85" t="s">
        <v>146</v>
      </c>
      <c r="W85" s="86">
        <v>200000</v>
      </c>
      <c r="X85" s="85" t="s">
        <v>146</v>
      </c>
      <c r="Y85" s="94">
        <v>5.28</v>
      </c>
      <c r="Z85" s="94">
        <v>0.31</v>
      </c>
      <c r="AA85" s="94">
        <v>0</v>
      </c>
      <c r="AB85" s="94">
        <v>0</v>
      </c>
      <c r="AC85" s="85" t="s">
        <v>724</v>
      </c>
      <c r="AD85" s="85" t="s">
        <v>147</v>
      </c>
      <c r="AE85" s="150">
        <v>200000</v>
      </c>
      <c r="AF85" s="151" t="s">
        <v>146</v>
      </c>
      <c r="AG85" s="150">
        <v>20000000</v>
      </c>
      <c r="AH85" s="151"/>
      <c r="AI85" s="150">
        <v>20000000</v>
      </c>
    </row>
    <row r="86" spans="1:35">
      <c r="A86" s="85"/>
      <c r="B86" s="85"/>
      <c r="C86" s="85"/>
      <c r="D86" s="85"/>
      <c r="E86" s="85" t="s">
        <v>873</v>
      </c>
      <c r="F86" s="87" t="s">
        <v>550</v>
      </c>
      <c r="G86" s="85"/>
      <c r="H86" s="85" t="s">
        <v>844</v>
      </c>
      <c r="I86" s="85" t="s">
        <v>874</v>
      </c>
      <c r="J86" s="84">
        <v>1005002084</v>
      </c>
      <c r="K86" s="85" t="s">
        <v>39</v>
      </c>
      <c r="L86" s="85" t="s">
        <v>60</v>
      </c>
      <c r="M86" s="84">
        <v>1001024749</v>
      </c>
      <c r="N86" s="84">
        <v>1004024749</v>
      </c>
      <c r="O86" s="85" t="s">
        <v>144</v>
      </c>
      <c r="P86" s="113" t="s">
        <v>145</v>
      </c>
      <c r="Q86" s="85" t="s">
        <v>867</v>
      </c>
      <c r="R86" s="85" t="s">
        <v>184</v>
      </c>
      <c r="S86" s="85" t="s">
        <v>609</v>
      </c>
      <c r="T86" s="85" t="s">
        <v>148</v>
      </c>
      <c r="U86" s="85"/>
      <c r="V86" s="85" t="s">
        <v>146</v>
      </c>
      <c r="W86" s="86">
        <v>250000</v>
      </c>
      <c r="X86" s="85" t="s">
        <v>146</v>
      </c>
      <c r="Y86" s="94">
        <v>5.0599999999999996</v>
      </c>
      <c r="Z86" s="94">
        <v>0.36</v>
      </c>
      <c r="AA86" s="94">
        <v>0</v>
      </c>
      <c r="AB86" s="94">
        <v>0</v>
      </c>
      <c r="AC86" s="85" t="s">
        <v>724</v>
      </c>
      <c r="AD86" s="85" t="s">
        <v>147</v>
      </c>
      <c r="AE86" s="150">
        <v>218350</v>
      </c>
      <c r="AF86" s="151" t="s">
        <v>146</v>
      </c>
      <c r="AG86" s="150">
        <v>21835000</v>
      </c>
      <c r="AH86" s="151"/>
      <c r="AI86" s="150">
        <v>21835000</v>
      </c>
    </row>
    <row r="87" spans="1:35">
      <c r="A87" s="90"/>
      <c r="B87" s="90" t="s">
        <v>149</v>
      </c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116"/>
      <c r="Q87" s="90"/>
      <c r="R87" s="90"/>
      <c r="S87" s="90"/>
      <c r="T87" s="90"/>
      <c r="U87" s="90"/>
      <c r="V87" s="90"/>
      <c r="W87" s="90"/>
      <c r="X87" s="90"/>
      <c r="Y87" s="95"/>
      <c r="Z87" s="95"/>
      <c r="AA87" s="95"/>
      <c r="AB87" s="95"/>
      <c r="AC87" s="90"/>
      <c r="AD87" s="90"/>
      <c r="AE87" s="145">
        <v>1017603</v>
      </c>
      <c r="AF87" s="146" t="s">
        <v>146</v>
      </c>
      <c r="AG87" s="145">
        <v>338279472</v>
      </c>
      <c r="AH87" s="146"/>
      <c r="AI87" s="145">
        <v>338279472</v>
      </c>
    </row>
    <row r="88" spans="1:35">
      <c r="A88" s="84">
        <v>14</v>
      </c>
      <c r="B88" s="85" t="s">
        <v>552</v>
      </c>
      <c r="C88" s="85" t="s">
        <v>553</v>
      </c>
      <c r="D88" s="85" t="s">
        <v>535</v>
      </c>
      <c r="E88" s="85" t="s">
        <v>873</v>
      </c>
      <c r="F88" s="85" t="s">
        <v>553</v>
      </c>
      <c r="G88" s="85" t="s">
        <v>872</v>
      </c>
      <c r="H88" s="85" t="s">
        <v>844</v>
      </c>
      <c r="I88" s="85" t="s">
        <v>875</v>
      </c>
      <c r="J88" s="84">
        <v>1005002081</v>
      </c>
      <c r="K88" s="85" t="s">
        <v>39</v>
      </c>
      <c r="L88" s="85" t="s">
        <v>60</v>
      </c>
      <c r="M88" s="84">
        <v>1001026037</v>
      </c>
      <c r="N88" s="84">
        <v>1004026037</v>
      </c>
      <c r="O88" s="85" t="s">
        <v>351</v>
      </c>
      <c r="P88" s="113" t="s">
        <v>352</v>
      </c>
      <c r="Q88" s="85" t="s">
        <v>866</v>
      </c>
      <c r="R88" s="85" t="s">
        <v>184</v>
      </c>
      <c r="S88" s="85" t="s">
        <v>609</v>
      </c>
      <c r="T88" s="85" t="s">
        <v>148</v>
      </c>
      <c r="U88" s="85"/>
      <c r="V88" s="85" t="s">
        <v>146</v>
      </c>
      <c r="W88" s="86">
        <v>125000</v>
      </c>
      <c r="X88" s="85" t="s">
        <v>146</v>
      </c>
      <c r="Y88" s="94">
        <v>0</v>
      </c>
      <c r="Z88" s="94">
        <v>7.33</v>
      </c>
      <c r="AA88" s="94">
        <v>8.9600000000000009</v>
      </c>
      <c r="AB88" s="94">
        <v>0</v>
      </c>
      <c r="AC88" s="85" t="s">
        <v>724</v>
      </c>
      <c r="AD88" s="85" t="s">
        <v>147</v>
      </c>
      <c r="AE88" s="150">
        <v>65.66</v>
      </c>
      <c r="AF88" s="151" t="s">
        <v>146</v>
      </c>
      <c r="AG88" s="150">
        <v>729286</v>
      </c>
      <c r="AH88" s="151"/>
      <c r="AI88" s="150">
        <v>729286</v>
      </c>
    </row>
    <row r="89" spans="1:35">
      <c r="A89" s="85"/>
      <c r="B89" s="85"/>
      <c r="C89" s="85"/>
      <c r="D89" s="85"/>
      <c r="E89" s="85" t="s">
        <v>873</v>
      </c>
      <c r="F89" s="87" t="s">
        <v>553</v>
      </c>
      <c r="G89" s="85"/>
      <c r="H89" s="85" t="s">
        <v>844</v>
      </c>
      <c r="I89" s="85" t="s">
        <v>875</v>
      </c>
      <c r="J89" s="84">
        <v>1005002080</v>
      </c>
      <c r="K89" s="85" t="s">
        <v>39</v>
      </c>
      <c r="L89" s="85" t="s">
        <v>60</v>
      </c>
      <c r="M89" s="84">
        <v>1001026161</v>
      </c>
      <c r="N89" s="84">
        <v>1004026161</v>
      </c>
      <c r="O89" s="85" t="s">
        <v>351</v>
      </c>
      <c r="P89" s="113" t="s">
        <v>352</v>
      </c>
      <c r="Q89" s="85" t="s">
        <v>866</v>
      </c>
      <c r="R89" s="85" t="s">
        <v>184</v>
      </c>
      <c r="S89" s="85" t="s">
        <v>609</v>
      </c>
      <c r="T89" s="85" t="s">
        <v>148</v>
      </c>
      <c r="U89" s="85"/>
      <c r="V89" s="85" t="s">
        <v>146</v>
      </c>
      <c r="W89" s="86">
        <v>100000</v>
      </c>
      <c r="X89" s="85" t="s">
        <v>146</v>
      </c>
      <c r="Y89" s="94">
        <v>0</v>
      </c>
      <c r="Z89" s="94">
        <v>8.81</v>
      </c>
      <c r="AA89" s="94">
        <v>6.42</v>
      </c>
      <c r="AB89" s="94">
        <v>0</v>
      </c>
      <c r="AC89" s="85" t="s">
        <v>724</v>
      </c>
      <c r="AD89" s="85" t="s">
        <v>147</v>
      </c>
      <c r="AE89" s="150">
        <v>115.24</v>
      </c>
      <c r="AF89" s="151" t="s">
        <v>146</v>
      </c>
      <c r="AG89" s="150">
        <v>1245398</v>
      </c>
      <c r="AH89" s="151"/>
      <c r="AI89" s="150">
        <v>1245398</v>
      </c>
    </row>
    <row r="90" spans="1:35">
      <c r="A90" s="90"/>
      <c r="B90" s="90" t="s">
        <v>149</v>
      </c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116"/>
      <c r="Q90" s="90"/>
      <c r="R90" s="90"/>
      <c r="S90" s="90"/>
      <c r="T90" s="90"/>
      <c r="U90" s="90"/>
      <c r="V90" s="90"/>
      <c r="W90" s="90"/>
      <c r="X90" s="90"/>
      <c r="Y90" s="95"/>
      <c r="Z90" s="95"/>
      <c r="AA90" s="95"/>
      <c r="AB90" s="95"/>
      <c r="AC90" s="90"/>
      <c r="AD90" s="90"/>
      <c r="AE90" s="145">
        <v>180.9</v>
      </c>
      <c r="AF90" s="146" t="s">
        <v>146</v>
      </c>
      <c r="AG90" s="145">
        <v>1974684</v>
      </c>
      <c r="AH90" s="146"/>
      <c r="AI90" s="145">
        <v>1974684</v>
      </c>
    </row>
    <row r="91" spans="1:35">
      <c r="A91" s="84">
        <v>15</v>
      </c>
      <c r="B91" s="85" t="s">
        <v>554</v>
      </c>
      <c r="C91" s="85" t="s">
        <v>555</v>
      </c>
      <c r="D91" s="85" t="s">
        <v>535</v>
      </c>
      <c r="E91" s="85" t="s">
        <v>873</v>
      </c>
      <c r="F91" s="85" t="s">
        <v>555</v>
      </c>
      <c r="G91" s="85" t="s">
        <v>872</v>
      </c>
      <c r="H91" s="85" t="s">
        <v>844</v>
      </c>
      <c r="I91" s="85" t="s">
        <v>876</v>
      </c>
      <c r="J91" s="84">
        <v>1005002167</v>
      </c>
      <c r="K91" s="85" t="s">
        <v>62</v>
      </c>
      <c r="L91" s="85" t="s">
        <v>60</v>
      </c>
      <c r="M91" s="84">
        <v>1001026577</v>
      </c>
      <c r="N91" s="84">
        <v>1004026577</v>
      </c>
      <c r="O91" s="85" t="s">
        <v>178</v>
      </c>
      <c r="P91" s="113" t="s">
        <v>179</v>
      </c>
      <c r="Q91" s="85" t="s">
        <v>868</v>
      </c>
      <c r="R91" s="85" t="s">
        <v>184</v>
      </c>
      <c r="S91" s="85" t="s">
        <v>609</v>
      </c>
      <c r="T91" s="85" t="s">
        <v>148</v>
      </c>
      <c r="U91" s="85"/>
      <c r="V91" s="85" t="s">
        <v>146</v>
      </c>
      <c r="W91" s="86">
        <v>100000</v>
      </c>
      <c r="X91" s="85" t="s">
        <v>146</v>
      </c>
      <c r="Y91" s="94">
        <v>0</v>
      </c>
      <c r="Z91" s="94">
        <v>23.77</v>
      </c>
      <c r="AA91" s="94">
        <v>0</v>
      </c>
      <c r="AB91" s="94">
        <v>0</v>
      </c>
      <c r="AC91" s="85" t="s">
        <v>724</v>
      </c>
      <c r="AD91" s="85" t="s">
        <v>147</v>
      </c>
      <c r="AE91" s="150">
        <v>492.34</v>
      </c>
      <c r="AF91" s="151" t="s">
        <v>146</v>
      </c>
      <c r="AG91" s="150">
        <v>398795</v>
      </c>
      <c r="AH91" s="151"/>
      <c r="AI91" s="150">
        <v>398795</v>
      </c>
    </row>
    <row r="92" spans="1:35">
      <c r="A92" s="85"/>
      <c r="B92" s="85"/>
      <c r="C92" s="85"/>
      <c r="D92" s="85"/>
      <c r="E92" s="85" t="s">
        <v>863</v>
      </c>
      <c r="F92" s="87" t="s">
        <v>556</v>
      </c>
      <c r="G92" s="85"/>
      <c r="H92" s="85" t="s">
        <v>746</v>
      </c>
      <c r="I92" s="85" t="s">
        <v>865</v>
      </c>
      <c r="J92" s="84">
        <v>1005002223</v>
      </c>
      <c r="K92" s="85" t="s">
        <v>51</v>
      </c>
      <c r="L92" s="85" t="s">
        <v>742</v>
      </c>
      <c r="M92" s="84">
        <v>1001026738</v>
      </c>
      <c r="N92" s="84">
        <v>1004026738</v>
      </c>
      <c r="O92" s="85" t="s">
        <v>144</v>
      </c>
      <c r="P92" s="113" t="s">
        <v>145</v>
      </c>
      <c r="Q92" s="85" t="s">
        <v>867</v>
      </c>
      <c r="R92" s="85" t="s">
        <v>184</v>
      </c>
      <c r="S92" s="85" t="s">
        <v>609</v>
      </c>
      <c r="T92" s="85" t="s">
        <v>148</v>
      </c>
      <c r="U92" s="86">
        <v>605380</v>
      </c>
      <c r="V92" s="85" t="s">
        <v>146</v>
      </c>
      <c r="W92" s="86">
        <v>607580</v>
      </c>
      <c r="X92" s="85" t="s">
        <v>146</v>
      </c>
      <c r="Y92" s="94">
        <v>5.64</v>
      </c>
      <c r="Z92" s="94">
        <v>0.27</v>
      </c>
      <c r="AA92" s="94">
        <v>0</v>
      </c>
      <c r="AB92" s="94">
        <v>0</v>
      </c>
      <c r="AC92" s="85" t="s">
        <v>724</v>
      </c>
      <c r="AD92" s="85" t="s">
        <v>147</v>
      </c>
      <c r="AE92" s="150">
        <v>607580</v>
      </c>
      <c r="AF92" s="151" t="s">
        <v>146</v>
      </c>
      <c r="AG92" s="150">
        <v>109712000</v>
      </c>
      <c r="AH92" s="151"/>
      <c r="AI92" s="150">
        <v>109712000</v>
      </c>
    </row>
    <row r="93" spans="1:35">
      <c r="A93" s="85"/>
      <c r="B93" s="85"/>
      <c r="C93" s="85"/>
      <c r="D93" s="85"/>
      <c r="E93" s="85" t="s">
        <v>863</v>
      </c>
      <c r="F93" s="87" t="s">
        <v>262</v>
      </c>
      <c r="G93" s="85"/>
      <c r="H93" s="85" t="s">
        <v>746</v>
      </c>
      <c r="I93" s="85" t="s">
        <v>865</v>
      </c>
      <c r="J93" s="84">
        <v>1005002384</v>
      </c>
      <c r="K93" s="85" t="s">
        <v>90</v>
      </c>
      <c r="L93" s="85" t="s">
        <v>48</v>
      </c>
      <c r="M93" s="84">
        <v>1001027670</v>
      </c>
      <c r="N93" s="84">
        <v>1004027670</v>
      </c>
      <c r="O93" s="85" t="s">
        <v>144</v>
      </c>
      <c r="P93" s="113" t="s">
        <v>145</v>
      </c>
      <c r="Q93" s="85" t="s">
        <v>867</v>
      </c>
      <c r="R93" s="85" t="s">
        <v>184</v>
      </c>
      <c r="S93" s="85" t="s">
        <v>609</v>
      </c>
      <c r="T93" s="85" t="s">
        <v>148</v>
      </c>
      <c r="U93" s="86">
        <v>495870</v>
      </c>
      <c r="V93" s="85" t="s">
        <v>146</v>
      </c>
      <c r="W93" s="86">
        <v>496250</v>
      </c>
      <c r="X93" s="85" t="s">
        <v>146</v>
      </c>
      <c r="Y93" s="94">
        <v>5.2</v>
      </c>
      <c r="Z93" s="94">
        <v>0.36</v>
      </c>
      <c r="AA93" s="94">
        <v>0</v>
      </c>
      <c r="AB93" s="94">
        <v>0</v>
      </c>
      <c r="AC93" s="85" t="s">
        <v>724</v>
      </c>
      <c r="AD93" s="85" t="s">
        <v>147</v>
      </c>
      <c r="AE93" s="150">
        <v>472090</v>
      </c>
      <c r="AF93" s="151" t="s">
        <v>146</v>
      </c>
      <c r="AG93" s="150">
        <v>23604500</v>
      </c>
      <c r="AH93" s="151"/>
      <c r="AI93" s="150">
        <v>23604500</v>
      </c>
    </row>
    <row r="94" spans="1:35">
      <c r="A94" s="85"/>
      <c r="B94" s="85"/>
      <c r="C94" s="85"/>
      <c r="D94" s="85"/>
      <c r="E94" s="85" t="s">
        <v>863</v>
      </c>
      <c r="F94" s="87" t="s">
        <v>262</v>
      </c>
      <c r="G94" s="85"/>
      <c r="H94" s="85" t="s">
        <v>746</v>
      </c>
      <c r="I94" s="85" t="s">
        <v>865</v>
      </c>
      <c r="J94" s="84">
        <v>1005002385</v>
      </c>
      <c r="K94" s="85" t="s">
        <v>90</v>
      </c>
      <c r="L94" s="85" t="s">
        <v>48</v>
      </c>
      <c r="M94" s="84">
        <v>1001027870</v>
      </c>
      <c r="N94" s="84">
        <v>1004027870</v>
      </c>
      <c r="O94" s="85" t="s">
        <v>144</v>
      </c>
      <c r="P94" s="113" t="s">
        <v>145</v>
      </c>
      <c r="Q94" s="85" t="s">
        <v>867</v>
      </c>
      <c r="R94" s="85" t="s">
        <v>184</v>
      </c>
      <c r="S94" s="85" t="s">
        <v>609</v>
      </c>
      <c r="T94" s="85" t="s">
        <v>148</v>
      </c>
      <c r="U94" s="86">
        <v>500010</v>
      </c>
      <c r="V94" s="85" t="s">
        <v>146</v>
      </c>
      <c r="W94" s="86">
        <v>501150</v>
      </c>
      <c r="X94" s="85" t="s">
        <v>146</v>
      </c>
      <c r="Y94" s="94">
        <v>5.28</v>
      </c>
      <c r="Z94" s="94">
        <v>0.28000000000000003</v>
      </c>
      <c r="AA94" s="94">
        <v>0</v>
      </c>
      <c r="AB94" s="94">
        <v>0</v>
      </c>
      <c r="AC94" s="85" t="s">
        <v>724</v>
      </c>
      <c r="AD94" s="85" t="s">
        <v>147</v>
      </c>
      <c r="AE94" s="150">
        <v>501150</v>
      </c>
      <c r="AF94" s="151" t="s">
        <v>146</v>
      </c>
      <c r="AG94" s="150">
        <v>25057500</v>
      </c>
      <c r="AH94" s="151"/>
      <c r="AI94" s="150">
        <v>25057500</v>
      </c>
    </row>
    <row r="95" spans="1:35">
      <c r="A95" s="85"/>
      <c r="B95" s="85"/>
      <c r="C95" s="85"/>
      <c r="D95" s="85"/>
      <c r="E95" s="85" t="s">
        <v>863</v>
      </c>
      <c r="F95" s="87" t="s">
        <v>262</v>
      </c>
      <c r="G95" s="85"/>
      <c r="H95" s="85" t="s">
        <v>746</v>
      </c>
      <c r="I95" s="85" t="s">
        <v>865</v>
      </c>
      <c r="J95" s="84">
        <v>1005002386</v>
      </c>
      <c r="K95" s="85" t="s">
        <v>90</v>
      </c>
      <c r="L95" s="85" t="s">
        <v>48</v>
      </c>
      <c r="M95" s="84">
        <v>1001027905</v>
      </c>
      <c r="N95" s="84">
        <v>1004027905</v>
      </c>
      <c r="O95" s="85" t="s">
        <v>144</v>
      </c>
      <c r="P95" s="113" t="s">
        <v>145</v>
      </c>
      <c r="Q95" s="85" t="s">
        <v>867</v>
      </c>
      <c r="R95" s="85" t="s">
        <v>184</v>
      </c>
      <c r="S95" s="85" t="s">
        <v>609</v>
      </c>
      <c r="T95" s="85" t="s">
        <v>148</v>
      </c>
      <c r="U95" s="86">
        <v>304260</v>
      </c>
      <c r="V95" s="85" t="s">
        <v>146</v>
      </c>
      <c r="W95" s="86">
        <v>304980</v>
      </c>
      <c r="X95" s="85" t="s">
        <v>146</v>
      </c>
      <c r="Y95" s="94">
        <v>5.29</v>
      </c>
      <c r="Z95" s="94">
        <v>0.28000000000000003</v>
      </c>
      <c r="AA95" s="94">
        <v>0</v>
      </c>
      <c r="AB95" s="94">
        <v>0</v>
      </c>
      <c r="AC95" s="85" t="s">
        <v>724</v>
      </c>
      <c r="AD95" s="85" t="s">
        <v>147</v>
      </c>
      <c r="AE95" s="150">
        <v>304980</v>
      </c>
      <c r="AF95" s="151" t="s">
        <v>146</v>
      </c>
      <c r="AG95" s="150">
        <v>15249000</v>
      </c>
      <c r="AH95" s="151"/>
      <c r="AI95" s="150">
        <v>15249000</v>
      </c>
    </row>
    <row r="96" spans="1:35">
      <c r="A96" s="85"/>
      <c r="B96" s="85"/>
      <c r="C96" s="85"/>
      <c r="D96" s="85"/>
      <c r="E96" s="85" t="s">
        <v>873</v>
      </c>
      <c r="F96" s="87" t="s">
        <v>555</v>
      </c>
      <c r="G96" s="85"/>
      <c r="H96" s="85" t="s">
        <v>844</v>
      </c>
      <c r="I96" s="85" t="s">
        <v>876</v>
      </c>
      <c r="J96" s="84">
        <v>1005002168</v>
      </c>
      <c r="K96" s="85" t="s">
        <v>62</v>
      </c>
      <c r="L96" s="85" t="s">
        <v>60</v>
      </c>
      <c r="M96" s="84">
        <v>1001026465</v>
      </c>
      <c r="N96" s="84">
        <v>1004026465</v>
      </c>
      <c r="O96" s="85" t="s">
        <v>351</v>
      </c>
      <c r="P96" s="113" t="s">
        <v>352</v>
      </c>
      <c r="Q96" s="85" t="s">
        <v>866</v>
      </c>
      <c r="R96" s="85" t="s">
        <v>184</v>
      </c>
      <c r="S96" s="85" t="s">
        <v>609</v>
      </c>
      <c r="T96" s="85" t="s">
        <v>148</v>
      </c>
      <c r="U96" s="85"/>
      <c r="V96" s="85" t="s">
        <v>146</v>
      </c>
      <c r="W96" s="86">
        <v>100000</v>
      </c>
      <c r="X96" s="85" t="s">
        <v>146</v>
      </c>
      <c r="Y96" s="94">
        <v>0</v>
      </c>
      <c r="Z96" s="94">
        <v>8.4499999999999993</v>
      </c>
      <c r="AA96" s="94">
        <v>7.32</v>
      </c>
      <c r="AB96" s="94">
        <v>0</v>
      </c>
      <c r="AC96" s="85" t="s">
        <v>724</v>
      </c>
      <c r="AD96" s="85" t="s">
        <v>147</v>
      </c>
      <c r="AE96" s="150">
        <v>31.68</v>
      </c>
      <c r="AF96" s="151" t="s">
        <v>146</v>
      </c>
      <c r="AG96" s="150">
        <v>331975</v>
      </c>
      <c r="AH96" s="151"/>
      <c r="AI96" s="150">
        <v>331975</v>
      </c>
    </row>
    <row r="97" spans="1:35">
      <c r="A97" s="90"/>
      <c r="B97" s="90" t="s">
        <v>149</v>
      </c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116"/>
      <c r="Q97" s="90"/>
      <c r="R97" s="90"/>
      <c r="S97" s="90"/>
      <c r="T97" s="90"/>
      <c r="U97" s="90"/>
      <c r="V97" s="90"/>
      <c r="W97" s="90"/>
      <c r="X97" s="90"/>
      <c r="Y97" s="95"/>
      <c r="Z97" s="95"/>
      <c r="AA97" s="95"/>
      <c r="AB97" s="95"/>
      <c r="AC97" s="90"/>
      <c r="AD97" s="90"/>
      <c r="AE97" s="145">
        <v>1886324.02</v>
      </c>
      <c r="AF97" s="146" t="s">
        <v>146</v>
      </c>
      <c r="AG97" s="145">
        <v>174353770</v>
      </c>
      <c r="AH97" s="146"/>
      <c r="AI97" s="145">
        <v>174353770</v>
      </c>
    </row>
    <row r="98" spans="1:35">
      <c r="A98" s="84">
        <v>16</v>
      </c>
      <c r="B98" s="85" t="s">
        <v>561</v>
      </c>
      <c r="C98" s="85" t="s">
        <v>562</v>
      </c>
      <c r="D98" s="85" t="s">
        <v>535</v>
      </c>
      <c r="E98" s="85" t="s">
        <v>873</v>
      </c>
      <c r="F98" s="85" t="s">
        <v>562</v>
      </c>
      <c r="G98" s="85" t="s">
        <v>872</v>
      </c>
      <c r="H98" s="85" t="s">
        <v>844</v>
      </c>
      <c r="I98" s="85" t="s">
        <v>877</v>
      </c>
      <c r="J98" s="84">
        <v>1005002099</v>
      </c>
      <c r="K98" s="85" t="s">
        <v>770</v>
      </c>
      <c r="L98" s="85" t="s">
        <v>60</v>
      </c>
      <c r="M98" s="84">
        <v>1001025705</v>
      </c>
      <c r="N98" s="84">
        <v>1004025705</v>
      </c>
      <c r="O98" s="85" t="s">
        <v>351</v>
      </c>
      <c r="P98" s="113" t="s">
        <v>352</v>
      </c>
      <c r="Q98" s="85" t="s">
        <v>866</v>
      </c>
      <c r="R98" s="85" t="s">
        <v>184</v>
      </c>
      <c r="S98" s="85" t="s">
        <v>609</v>
      </c>
      <c r="T98" s="85" t="s">
        <v>148</v>
      </c>
      <c r="U98" s="85"/>
      <c r="V98" s="85" t="s">
        <v>146</v>
      </c>
      <c r="W98" s="86">
        <v>300000</v>
      </c>
      <c r="X98" s="85" t="s">
        <v>146</v>
      </c>
      <c r="Y98" s="94">
        <v>5.25</v>
      </c>
      <c r="Z98" s="94">
        <v>7.67</v>
      </c>
      <c r="AA98" s="94">
        <v>6.77</v>
      </c>
      <c r="AB98" s="94">
        <v>0</v>
      </c>
      <c r="AC98" s="85" t="s">
        <v>724</v>
      </c>
      <c r="AD98" s="85" t="s">
        <v>147</v>
      </c>
      <c r="AE98" s="150">
        <v>125.79</v>
      </c>
      <c r="AF98" s="151" t="s">
        <v>146</v>
      </c>
      <c r="AG98" s="150">
        <v>1510738</v>
      </c>
      <c r="AH98" s="151"/>
      <c r="AI98" s="150">
        <v>1510738</v>
      </c>
    </row>
    <row r="99" spans="1:35">
      <c r="A99" s="85"/>
      <c r="B99" s="85"/>
      <c r="C99" s="85"/>
      <c r="D99" s="85"/>
      <c r="E99" s="85" t="s">
        <v>873</v>
      </c>
      <c r="F99" s="87" t="s">
        <v>562</v>
      </c>
      <c r="G99" s="85"/>
      <c r="H99" s="85" t="s">
        <v>844</v>
      </c>
      <c r="I99" s="85" t="s">
        <v>877</v>
      </c>
      <c r="J99" s="84">
        <v>1005002100</v>
      </c>
      <c r="K99" s="85" t="s">
        <v>770</v>
      </c>
      <c r="L99" s="85" t="s">
        <v>60</v>
      </c>
      <c r="M99" s="84">
        <v>1001026038</v>
      </c>
      <c r="N99" s="84">
        <v>1004026038</v>
      </c>
      <c r="O99" s="85" t="s">
        <v>351</v>
      </c>
      <c r="P99" s="113" t="s">
        <v>352</v>
      </c>
      <c r="Q99" s="85" t="s">
        <v>866</v>
      </c>
      <c r="R99" s="85" t="s">
        <v>184</v>
      </c>
      <c r="S99" s="85" t="s">
        <v>609</v>
      </c>
      <c r="T99" s="85" t="s">
        <v>148</v>
      </c>
      <c r="U99" s="85"/>
      <c r="V99" s="85" t="s">
        <v>146</v>
      </c>
      <c r="W99" s="86">
        <v>199779</v>
      </c>
      <c r="X99" s="85" t="s">
        <v>146</v>
      </c>
      <c r="Y99" s="94">
        <v>5.25</v>
      </c>
      <c r="Z99" s="94">
        <v>7.67</v>
      </c>
      <c r="AA99" s="94">
        <v>6.77</v>
      </c>
      <c r="AB99" s="94">
        <v>0</v>
      </c>
      <c r="AC99" s="85" t="s">
        <v>724</v>
      </c>
      <c r="AD99" s="85" t="s">
        <v>147</v>
      </c>
      <c r="AE99" s="150">
        <v>500</v>
      </c>
      <c r="AF99" s="151" t="s">
        <v>146</v>
      </c>
      <c r="AG99" s="150">
        <v>5480000</v>
      </c>
      <c r="AH99" s="151"/>
      <c r="AI99" s="150">
        <v>5480000</v>
      </c>
    </row>
    <row r="100" spans="1:35">
      <c r="A100" s="85"/>
      <c r="B100" s="85"/>
      <c r="C100" s="85"/>
      <c r="D100" s="85"/>
      <c r="E100" s="85" t="s">
        <v>873</v>
      </c>
      <c r="F100" s="87" t="s">
        <v>562</v>
      </c>
      <c r="G100" s="85"/>
      <c r="H100" s="85" t="s">
        <v>844</v>
      </c>
      <c r="I100" s="85" t="s">
        <v>877</v>
      </c>
      <c r="J100" s="84">
        <v>1005002101</v>
      </c>
      <c r="K100" s="85" t="s">
        <v>770</v>
      </c>
      <c r="L100" s="85" t="s">
        <v>60</v>
      </c>
      <c r="M100" s="84">
        <v>1001026354</v>
      </c>
      <c r="N100" s="84">
        <v>1004026354</v>
      </c>
      <c r="O100" s="85" t="s">
        <v>351</v>
      </c>
      <c r="P100" s="113" t="s">
        <v>352</v>
      </c>
      <c r="Q100" s="85" t="s">
        <v>866</v>
      </c>
      <c r="R100" s="85" t="s">
        <v>184</v>
      </c>
      <c r="S100" s="85" t="s">
        <v>609</v>
      </c>
      <c r="T100" s="85" t="s">
        <v>148</v>
      </c>
      <c r="U100" s="85"/>
      <c r="V100" s="85" t="s">
        <v>146</v>
      </c>
      <c r="W100" s="86">
        <v>200000</v>
      </c>
      <c r="X100" s="85" t="s">
        <v>146</v>
      </c>
      <c r="Y100" s="94">
        <v>5.25</v>
      </c>
      <c r="Z100" s="94">
        <v>7.67</v>
      </c>
      <c r="AA100" s="94">
        <v>6.77</v>
      </c>
      <c r="AB100" s="94">
        <v>0</v>
      </c>
      <c r="AC100" s="85" t="s">
        <v>724</v>
      </c>
      <c r="AD100" s="85" t="s">
        <v>147</v>
      </c>
      <c r="AE100" s="150">
        <v>500</v>
      </c>
      <c r="AF100" s="151" t="s">
        <v>146</v>
      </c>
      <c r="AG100" s="150">
        <v>5184000</v>
      </c>
      <c r="AH100" s="151"/>
      <c r="AI100" s="150">
        <v>5184000</v>
      </c>
    </row>
    <row r="101" spans="1:35">
      <c r="A101" s="85"/>
      <c r="B101" s="85"/>
      <c r="C101" s="85"/>
      <c r="D101" s="85"/>
      <c r="E101" s="85" t="s">
        <v>873</v>
      </c>
      <c r="F101" s="87" t="s">
        <v>562</v>
      </c>
      <c r="G101" s="85"/>
      <c r="H101" s="85" t="s">
        <v>844</v>
      </c>
      <c r="I101" s="85" t="s">
        <v>877</v>
      </c>
      <c r="J101" s="84">
        <v>1005002102</v>
      </c>
      <c r="K101" s="85" t="s">
        <v>770</v>
      </c>
      <c r="L101" s="85" t="s">
        <v>60</v>
      </c>
      <c r="M101" s="84">
        <v>1001026598</v>
      </c>
      <c r="N101" s="84">
        <v>1004026598</v>
      </c>
      <c r="O101" s="85" t="s">
        <v>351</v>
      </c>
      <c r="P101" s="113" t="s">
        <v>352</v>
      </c>
      <c r="Q101" s="85" t="s">
        <v>866</v>
      </c>
      <c r="R101" s="85" t="s">
        <v>184</v>
      </c>
      <c r="S101" s="85" t="s">
        <v>609</v>
      </c>
      <c r="T101" s="85" t="s">
        <v>148</v>
      </c>
      <c r="U101" s="85"/>
      <c r="V101" s="85" t="s">
        <v>146</v>
      </c>
      <c r="W101" s="86">
        <v>200000</v>
      </c>
      <c r="X101" s="85" t="s">
        <v>146</v>
      </c>
      <c r="Y101" s="94">
        <v>5.25</v>
      </c>
      <c r="Z101" s="94">
        <v>7.67</v>
      </c>
      <c r="AA101" s="94">
        <v>6.77</v>
      </c>
      <c r="AB101" s="94">
        <v>0</v>
      </c>
      <c r="AC101" s="85" t="s">
        <v>724</v>
      </c>
      <c r="AD101" s="85" t="s">
        <v>147</v>
      </c>
      <c r="AE101" s="150">
        <v>373.97</v>
      </c>
      <c r="AF101" s="151" t="s">
        <v>146</v>
      </c>
      <c r="AG101" s="150">
        <v>3853761</v>
      </c>
      <c r="AH101" s="151"/>
      <c r="AI101" s="150">
        <v>3853761</v>
      </c>
    </row>
    <row r="102" spans="1:35">
      <c r="A102" s="90"/>
      <c r="B102" s="90" t="s">
        <v>149</v>
      </c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116"/>
      <c r="Q102" s="90"/>
      <c r="R102" s="90"/>
      <c r="S102" s="90"/>
      <c r="T102" s="90"/>
      <c r="U102" s="90"/>
      <c r="V102" s="90"/>
      <c r="W102" s="90"/>
      <c r="X102" s="90"/>
      <c r="Y102" s="95"/>
      <c r="Z102" s="95"/>
      <c r="AA102" s="95"/>
      <c r="AB102" s="95"/>
      <c r="AC102" s="90"/>
      <c r="AD102" s="90"/>
      <c r="AE102" s="145">
        <v>1499.76</v>
      </c>
      <c r="AF102" s="146" t="s">
        <v>146</v>
      </c>
      <c r="AG102" s="145">
        <v>16028499</v>
      </c>
      <c r="AH102" s="146"/>
      <c r="AI102" s="145">
        <v>16028499</v>
      </c>
    </row>
    <row r="103" spans="1:35">
      <c r="A103" s="84">
        <v>17</v>
      </c>
      <c r="B103" s="85" t="s">
        <v>847</v>
      </c>
      <c r="C103" s="85" t="s">
        <v>848</v>
      </c>
      <c r="D103" s="85" t="s">
        <v>535</v>
      </c>
      <c r="E103" s="85" t="s">
        <v>873</v>
      </c>
      <c r="F103" s="85" t="s">
        <v>848</v>
      </c>
      <c r="G103" s="85" t="s">
        <v>872</v>
      </c>
      <c r="H103" s="85" t="s">
        <v>844</v>
      </c>
      <c r="I103" s="85" t="s">
        <v>878</v>
      </c>
      <c r="J103" s="84">
        <v>1005002011</v>
      </c>
      <c r="K103" s="85" t="s">
        <v>832</v>
      </c>
      <c r="L103" s="85" t="s">
        <v>60</v>
      </c>
      <c r="M103" s="84">
        <v>1001024110</v>
      </c>
      <c r="N103" s="84">
        <v>1004024110</v>
      </c>
      <c r="O103" s="85" t="s">
        <v>144</v>
      </c>
      <c r="P103" s="113" t="s">
        <v>145</v>
      </c>
      <c r="Q103" s="85" t="s">
        <v>867</v>
      </c>
      <c r="R103" s="85" t="s">
        <v>184</v>
      </c>
      <c r="S103" s="85" t="s">
        <v>609</v>
      </c>
      <c r="T103" s="85" t="s">
        <v>148</v>
      </c>
      <c r="U103" s="85"/>
      <c r="V103" s="85" t="s">
        <v>146</v>
      </c>
      <c r="W103" s="86">
        <v>250000</v>
      </c>
      <c r="X103" s="85" t="s">
        <v>146</v>
      </c>
      <c r="Y103" s="94">
        <v>5.01</v>
      </c>
      <c r="Z103" s="94">
        <v>0.28999999999999998</v>
      </c>
      <c r="AA103" s="94">
        <v>0</v>
      </c>
      <c r="AB103" s="94">
        <v>0</v>
      </c>
      <c r="AC103" s="85" t="s">
        <v>724</v>
      </c>
      <c r="AD103" s="85" t="s">
        <v>147</v>
      </c>
      <c r="AE103" s="150">
        <v>730</v>
      </c>
      <c r="AF103" s="151" t="s">
        <v>146</v>
      </c>
      <c r="AG103" s="150">
        <v>73000</v>
      </c>
      <c r="AH103" s="151"/>
      <c r="AI103" s="150">
        <v>73000</v>
      </c>
    </row>
    <row r="104" spans="1:35">
      <c r="A104" s="85"/>
      <c r="B104" s="85"/>
      <c r="C104" s="85"/>
      <c r="D104" s="85"/>
      <c r="E104" s="85" t="s">
        <v>873</v>
      </c>
      <c r="F104" s="87" t="s">
        <v>848</v>
      </c>
      <c r="G104" s="85"/>
      <c r="H104" s="85" t="s">
        <v>844</v>
      </c>
      <c r="I104" s="85" t="s">
        <v>878</v>
      </c>
      <c r="J104" s="84">
        <v>1005002012</v>
      </c>
      <c r="K104" s="85" t="s">
        <v>832</v>
      </c>
      <c r="L104" s="85" t="s">
        <v>60</v>
      </c>
      <c r="M104" s="84">
        <v>1001025302</v>
      </c>
      <c r="N104" s="84">
        <v>1004025302</v>
      </c>
      <c r="O104" s="85" t="s">
        <v>144</v>
      </c>
      <c r="P104" s="113" t="s">
        <v>145</v>
      </c>
      <c r="Q104" s="85" t="s">
        <v>867</v>
      </c>
      <c r="R104" s="85" t="s">
        <v>184</v>
      </c>
      <c r="S104" s="85" t="s">
        <v>609</v>
      </c>
      <c r="T104" s="85" t="s">
        <v>148</v>
      </c>
      <c r="U104" s="85"/>
      <c r="V104" s="85" t="s">
        <v>146</v>
      </c>
      <c r="W104" s="86">
        <v>300000</v>
      </c>
      <c r="X104" s="85" t="s">
        <v>146</v>
      </c>
      <c r="Y104" s="94">
        <v>5.01</v>
      </c>
      <c r="Z104" s="94">
        <v>0.28999999999999998</v>
      </c>
      <c r="AA104" s="94">
        <v>0</v>
      </c>
      <c r="AB104" s="94">
        <v>0</v>
      </c>
      <c r="AC104" s="85" t="s">
        <v>724</v>
      </c>
      <c r="AD104" s="85" t="s">
        <v>147</v>
      </c>
      <c r="AE104" s="150">
        <v>31620</v>
      </c>
      <c r="AF104" s="151" t="s">
        <v>146</v>
      </c>
      <c r="AG104" s="150">
        <v>3162000</v>
      </c>
      <c r="AH104" s="151"/>
      <c r="AI104" s="150">
        <v>3162000</v>
      </c>
    </row>
    <row r="105" spans="1:35">
      <c r="A105" s="85"/>
      <c r="B105" s="85"/>
      <c r="C105" s="85"/>
      <c r="D105" s="85"/>
      <c r="E105" s="85" t="s">
        <v>873</v>
      </c>
      <c r="F105" s="87" t="s">
        <v>848</v>
      </c>
      <c r="G105" s="85"/>
      <c r="H105" s="85" t="s">
        <v>844</v>
      </c>
      <c r="I105" s="85" t="s">
        <v>878</v>
      </c>
      <c r="J105" s="84">
        <v>1005002013</v>
      </c>
      <c r="K105" s="85" t="s">
        <v>832</v>
      </c>
      <c r="L105" s="85" t="s">
        <v>60</v>
      </c>
      <c r="M105" s="84">
        <v>1001025476</v>
      </c>
      <c r="N105" s="84">
        <v>1004025476</v>
      </c>
      <c r="O105" s="85" t="s">
        <v>144</v>
      </c>
      <c r="P105" s="113" t="s">
        <v>145</v>
      </c>
      <c r="Q105" s="85" t="s">
        <v>867</v>
      </c>
      <c r="R105" s="85" t="s">
        <v>184</v>
      </c>
      <c r="S105" s="85" t="s">
        <v>609</v>
      </c>
      <c r="T105" s="85" t="s">
        <v>148</v>
      </c>
      <c r="U105" s="85"/>
      <c r="V105" s="85" t="s">
        <v>146</v>
      </c>
      <c r="W105" s="86">
        <v>200000</v>
      </c>
      <c r="X105" s="85" t="s">
        <v>146</v>
      </c>
      <c r="Y105" s="94">
        <v>5.01</v>
      </c>
      <c r="Z105" s="94">
        <v>0.28999999999999998</v>
      </c>
      <c r="AA105" s="94">
        <v>0</v>
      </c>
      <c r="AB105" s="94">
        <v>0</v>
      </c>
      <c r="AC105" s="85" t="s">
        <v>724</v>
      </c>
      <c r="AD105" s="85" t="s">
        <v>147</v>
      </c>
      <c r="AE105" s="150">
        <v>200000</v>
      </c>
      <c r="AF105" s="151" t="s">
        <v>146</v>
      </c>
      <c r="AG105" s="150">
        <v>20000000</v>
      </c>
      <c r="AH105" s="151"/>
      <c r="AI105" s="150">
        <v>20000000</v>
      </c>
    </row>
    <row r="106" spans="1:35">
      <c r="A106" s="85"/>
      <c r="B106" s="85"/>
      <c r="C106" s="85"/>
      <c r="D106" s="85"/>
      <c r="E106" s="85" t="s">
        <v>873</v>
      </c>
      <c r="F106" s="87" t="s">
        <v>848</v>
      </c>
      <c r="G106" s="85"/>
      <c r="H106" s="85" t="s">
        <v>844</v>
      </c>
      <c r="I106" s="85" t="s">
        <v>878</v>
      </c>
      <c r="J106" s="84">
        <v>1005002014</v>
      </c>
      <c r="K106" s="85" t="s">
        <v>832</v>
      </c>
      <c r="L106" s="85" t="s">
        <v>60</v>
      </c>
      <c r="M106" s="84">
        <v>1001025549</v>
      </c>
      <c r="N106" s="84">
        <v>1004025549</v>
      </c>
      <c r="O106" s="85" t="s">
        <v>144</v>
      </c>
      <c r="P106" s="113" t="s">
        <v>145</v>
      </c>
      <c r="Q106" s="85" t="s">
        <v>867</v>
      </c>
      <c r="R106" s="85" t="s">
        <v>184</v>
      </c>
      <c r="S106" s="85" t="s">
        <v>609</v>
      </c>
      <c r="T106" s="85" t="s">
        <v>148</v>
      </c>
      <c r="U106" s="85"/>
      <c r="V106" s="85" t="s">
        <v>146</v>
      </c>
      <c r="W106" s="86">
        <v>200000</v>
      </c>
      <c r="X106" s="85" t="s">
        <v>146</v>
      </c>
      <c r="Y106" s="94">
        <v>5.01</v>
      </c>
      <c r="Z106" s="94">
        <v>0.28999999999999998</v>
      </c>
      <c r="AA106" s="94">
        <v>0</v>
      </c>
      <c r="AB106" s="94">
        <v>0</v>
      </c>
      <c r="AC106" s="85" t="s">
        <v>724</v>
      </c>
      <c r="AD106" s="85" t="s">
        <v>147</v>
      </c>
      <c r="AE106" s="150">
        <v>200000</v>
      </c>
      <c r="AF106" s="151" t="s">
        <v>146</v>
      </c>
      <c r="AG106" s="150">
        <v>20000000</v>
      </c>
      <c r="AH106" s="151"/>
      <c r="AI106" s="150">
        <v>20000000</v>
      </c>
    </row>
    <row r="107" spans="1:35">
      <c r="A107" s="85"/>
      <c r="B107" s="85"/>
      <c r="C107" s="85"/>
      <c r="D107" s="85"/>
      <c r="E107" s="85" t="s">
        <v>873</v>
      </c>
      <c r="F107" s="87" t="s">
        <v>848</v>
      </c>
      <c r="G107" s="85"/>
      <c r="H107" s="85" t="s">
        <v>844</v>
      </c>
      <c r="I107" s="85" t="s">
        <v>878</v>
      </c>
      <c r="J107" s="84">
        <v>1005002015</v>
      </c>
      <c r="K107" s="85" t="s">
        <v>832</v>
      </c>
      <c r="L107" s="85" t="s">
        <v>60</v>
      </c>
      <c r="M107" s="84">
        <v>1001025683</v>
      </c>
      <c r="N107" s="84">
        <v>1004025683</v>
      </c>
      <c r="O107" s="85" t="s">
        <v>144</v>
      </c>
      <c r="P107" s="113" t="s">
        <v>145</v>
      </c>
      <c r="Q107" s="85" t="s">
        <v>867</v>
      </c>
      <c r="R107" s="85" t="s">
        <v>184</v>
      </c>
      <c r="S107" s="85" t="s">
        <v>609</v>
      </c>
      <c r="T107" s="85" t="s">
        <v>148</v>
      </c>
      <c r="U107" s="85"/>
      <c r="V107" s="85" t="s">
        <v>146</v>
      </c>
      <c r="W107" s="86">
        <v>250000</v>
      </c>
      <c r="X107" s="85" t="s">
        <v>146</v>
      </c>
      <c r="Y107" s="94">
        <v>5.01</v>
      </c>
      <c r="Z107" s="94">
        <v>0.28999999999999998</v>
      </c>
      <c r="AA107" s="94">
        <v>0</v>
      </c>
      <c r="AB107" s="94">
        <v>0</v>
      </c>
      <c r="AC107" s="85" t="s">
        <v>724</v>
      </c>
      <c r="AD107" s="85" t="s">
        <v>147</v>
      </c>
      <c r="AE107" s="150">
        <v>250000</v>
      </c>
      <c r="AF107" s="151" t="s">
        <v>146</v>
      </c>
      <c r="AG107" s="150">
        <v>25000000</v>
      </c>
      <c r="AH107" s="151"/>
      <c r="AI107" s="150">
        <v>25000000</v>
      </c>
    </row>
    <row r="108" spans="1:35">
      <c r="A108" s="85"/>
      <c r="B108" s="85"/>
      <c r="C108" s="85"/>
      <c r="D108" s="85"/>
      <c r="E108" s="85" t="s">
        <v>873</v>
      </c>
      <c r="F108" s="87" t="s">
        <v>848</v>
      </c>
      <c r="G108" s="85"/>
      <c r="H108" s="85" t="s">
        <v>844</v>
      </c>
      <c r="I108" s="85" t="s">
        <v>878</v>
      </c>
      <c r="J108" s="84">
        <v>1005002016</v>
      </c>
      <c r="K108" s="85" t="s">
        <v>832</v>
      </c>
      <c r="L108" s="85" t="s">
        <v>60</v>
      </c>
      <c r="M108" s="84">
        <v>1001025779</v>
      </c>
      <c r="N108" s="84">
        <v>1004025779</v>
      </c>
      <c r="O108" s="85" t="s">
        <v>144</v>
      </c>
      <c r="P108" s="113" t="s">
        <v>145</v>
      </c>
      <c r="Q108" s="85" t="s">
        <v>867</v>
      </c>
      <c r="R108" s="85" t="s">
        <v>184</v>
      </c>
      <c r="S108" s="85" t="s">
        <v>609</v>
      </c>
      <c r="T108" s="85" t="s">
        <v>148</v>
      </c>
      <c r="U108" s="85"/>
      <c r="V108" s="85" t="s">
        <v>146</v>
      </c>
      <c r="W108" s="86">
        <v>250000</v>
      </c>
      <c r="X108" s="85" t="s">
        <v>146</v>
      </c>
      <c r="Y108" s="94">
        <v>5.01</v>
      </c>
      <c r="Z108" s="94">
        <v>0.28999999999999998</v>
      </c>
      <c r="AA108" s="94">
        <v>0</v>
      </c>
      <c r="AB108" s="94">
        <v>0</v>
      </c>
      <c r="AC108" s="85" t="s">
        <v>724</v>
      </c>
      <c r="AD108" s="85" t="s">
        <v>147</v>
      </c>
      <c r="AE108" s="150">
        <v>250000</v>
      </c>
      <c r="AF108" s="151" t="s">
        <v>146</v>
      </c>
      <c r="AG108" s="150">
        <v>25000000</v>
      </c>
      <c r="AH108" s="151"/>
      <c r="AI108" s="150">
        <v>25000000</v>
      </c>
    </row>
    <row r="109" spans="1:35">
      <c r="A109" s="85"/>
      <c r="B109" s="85"/>
      <c r="C109" s="85"/>
      <c r="D109" s="85"/>
      <c r="E109" s="85" t="s">
        <v>873</v>
      </c>
      <c r="F109" s="87" t="s">
        <v>848</v>
      </c>
      <c r="G109" s="85"/>
      <c r="H109" s="85" t="s">
        <v>844</v>
      </c>
      <c r="I109" s="85" t="s">
        <v>878</v>
      </c>
      <c r="J109" s="84">
        <v>1005002017</v>
      </c>
      <c r="K109" s="85" t="s">
        <v>832</v>
      </c>
      <c r="L109" s="85" t="s">
        <v>60</v>
      </c>
      <c r="M109" s="84">
        <v>1001025832</v>
      </c>
      <c r="N109" s="84">
        <v>1004025832</v>
      </c>
      <c r="O109" s="85" t="s">
        <v>144</v>
      </c>
      <c r="P109" s="113" t="s">
        <v>145</v>
      </c>
      <c r="Q109" s="85" t="s">
        <v>867</v>
      </c>
      <c r="R109" s="85" t="s">
        <v>184</v>
      </c>
      <c r="S109" s="85" t="s">
        <v>609</v>
      </c>
      <c r="T109" s="85" t="s">
        <v>148</v>
      </c>
      <c r="U109" s="85"/>
      <c r="V109" s="85" t="s">
        <v>146</v>
      </c>
      <c r="W109" s="86">
        <v>250000</v>
      </c>
      <c r="X109" s="85" t="s">
        <v>146</v>
      </c>
      <c r="Y109" s="94">
        <v>5.01</v>
      </c>
      <c r="Z109" s="94">
        <v>0.28999999999999998</v>
      </c>
      <c r="AA109" s="94">
        <v>0</v>
      </c>
      <c r="AB109" s="94">
        <v>0</v>
      </c>
      <c r="AC109" s="85" t="s">
        <v>724</v>
      </c>
      <c r="AD109" s="85" t="s">
        <v>147</v>
      </c>
      <c r="AE109" s="150">
        <v>250000</v>
      </c>
      <c r="AF109" s="151" t="s">
        <v>146</v>
      </c>
      <c r="AG109" s="150">
        <v>25000000</v>
      </c>
      <c r="AH109" s="151"/>
      <c r="AI109" s="150">
        <v>25000000</v>
      </c>
    </row>
    <row r="110" spans="1:35">
      <c r="A110" s="85"/>
      <c r="B110" s="85"/>
      <c r="C110" s="85"/>
      <c r="D110" s="85"/>
      <c r="E110" s="85" t="s">
        <v>873</v>
      </c>
      <c r="F110" s="87" t="s">
        <v>848</v>
      </c>
      <c r="G110" s="85"/>
      <c r="H110" s="85" t="s">
        <v>844</v>
      </c>
      <c r="I110" s="85" t="s">
        <v>878</v>
      </c>
      <c r="J110" s="84">
        <v>1005002018</v>
      </c>
      <c r="K110" s="85" t="s">
        <v>832</v>
      </c>
      <c r="L110" s="85" t="s">
        <v>60</v>
      </c>
      <c r="M110" s="84">
        <v>1001026027</v>
      </c>
      <c r="N110" s="84">
        <v>1004026027</v>
      </c>
      <c r="O110" s="85" t="s">
        <v>144</v>
      </c>
      <c r="P110" s="113" t="s">
        <v>145</v>
      </c>
      <c r="Q110" s="85" t="s">
        <v>867</v>
      </c>
      <c r="R110" s="85" t="s">
        <v>184</v>
      </c>
      <c r="S110" s="85" t="s">
        <v>609</v>
      </c>
      <c r="T110" s="85" t="s">
        <v>148</v>
      </c>
      <c r="U110" s="85"/>
      <c r="V110" s="85" t="s">
        <v>146</v>
      </c>
      <c r="W110" s="86">
        <v>250000</v>
      </c>
      <c r="X110" s="85" t="s">
        <v>146</v>
      </c>
      <c r="Y110" s="94">
        <v>5.01</v>
      </c>
      <c r="Z110" s="94">
        <v>0.28999999999999998</v>
      </c>
      <c r="AA110" s="94">
        <v>0</v>
      </c>
      <c r="AB110" s="94">
        <v>0</v>
      </c>
      <c r="AC110" s="85" t="s">
        <v>724</v>
      </c>
      <c r="AD110" s="85" t="s">
        <v>147</v>
      </c>
      <c r="AE110" s="150">
        <v>249640</v>
      </c>
      <c r="AF110" s="151" t="s">
        <v>146</v>
      </c>
      <c r="AG110" s="150">
        <v>24964000</v>
      </c>
      <c r="AH110" s="151"/>
      <c r="AI110" s="150">
        <v>24964000</v>
      </c>
    </row>
    <row r="111" spans="1:35">
      <c r="A111" s="85"/>
      <c r="B111" s="85"/>
      <c r="C111" s="85"/>
      <c r="D111" s="85"/>
      <c r="E111" s="85" t="s">
        <v>873</v>
      </c>
      <c r="F111" s="87" t="s">
        <v>848</v>
      </c>
      <c r="G111" s="85"/>
      <c r="H111" s="85" t="s">
        <v>844</v>
      </c>
      <c r="I111" s="85" t="s">
        <v>878</v>
      </c>
      <c r="J111" s="84">
        <v>1005002019</v>
      </c>
      <c r="K111" s="85" t="s">
        <v>832</v>
      </c>
      <c r="L111" s="85" t="s">
        <v>60</v>
      </c>
      <c r="M111" s="84">
        <v>1001026151</v>
      </c>
      <c r="N111" s="84">
        <v>1004026151</v>
      </c>
      <c r="O111" s="85" t="s">
        <v>144</v>
      </c>
      <c r="P111" s="113" t="s">
        <v>145</v>
      </c>
      <c r="Q111" s="85" t="s">
        <v>867</v>
      </c>
      <c r="R111" s="85" t="s">
        <v>184</v>
      </c>
      <c r="S111" s="85" t="s">
        <v>609</v>
      </c>
      <c r="T111" s="85" t="s">
        <v>148</v>
      </c>
      <c r="U111" s="85"/>
      <c r="V111" s="85" t="s">
        <v>146</v>
      </c>
      <c r="W111" s="86">
        <v>250000</v>
      </c>
      <c r="X111" s="85" t="s">
        <v>146</v>
      </c>
      <c r="Y111" s="94">
        <v>5.01</v>
      </c>
      <c r="Z111" s="94">
        <v>0.28999999999999998</v>
      </c>
      <c r="AA111" s="94">
        <v>0</v>
      </c>
      <c r="AB111" s="94">
        <v>0</v>
      </c>
      <c r="AC111" s="85" t="s">
        <v>724</v>
      </c>
      <c r="AD111" s="85" t="s">
        <v>147</v>
      </c>
      <c r="AE111" s="150">
        <v>67630</v>
      </c>
      <c r="AF111" s="151" t="s">
        <v>146</v>
      </c>
      <c r="AG111" s="150">
        <v>6763000</v>
      </c>
      <c r="AH111" s="151"/>
      <c r="AI111" s="150">
        <v>6763000</v>
      </c>
    </row>
    <row r="112" spans="1:35">
      <c r="A112" s="90"/>
      <c r="B112" s="90" t="s">
        <v>149</v>
      </c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116"/>
      <c r="Q112" s="90"/>
      <c r="R112" s="90"/>
      <c r="S112" s="90"/>
      <c r="T112" s="90"/>
      <c r="U112" s="90"/>
      <c r="V112" s="90"/>
      <c r="W112" s="90"/>
      <c r="X112" s="90"/>
      <c r="Y112" s="95"/>
      <c r="Z112" s="95"/>
      <c r="AA112" s="95"/>
      <c r="AB112" s="95"/>
      <c r="AC112" s="90"/>
      <c r="AD112" s="90"/>
      <c r="AE112" s="145">
        <v>1499620</v>
      </c>
      <c r="AF112" s="146" t="s">
        <v>146</v>
      </c>
      <c r="AG112" s="145">
        <v>149962000</v>
      </c>
      <c r="AH112" s="146"/>
      <c r="AI112" s="145">
        <v>149962000</v>
      </c>
    </row>
    <row r="113" spans="1:35">
      <c r="A113" s="84">
        <v>18</v>
      </c>
      <c r="B113" s="85" t="s">
        <v>563</v>
      </c>
      <c r="C113" s="85" t="s">
        <v>551</v>
      </c>
      <c r="D113" s="85" t="s">
        <v>535</v>
      </c>
      <c r="E113" s="85" t="s">
        <v>873</v>
      </c>
      <c r="F113" s="85" t="s">
        <v>551</v>
      </c>
      <c r="G113" s="85" t="s">
        <v>872</v>
      </c>
      <c r="H113" s="85" t="s">
        <v>844</v>
      </c>
      <c r="I113" s="85" t="s">
        <v>879</v>
      </c>
      <c r="J113" s="84">
        <v>1005002070</v>
      </c>
      <c r="K113" s="85" t="s">
        <v>8</v>
      </c>
      <c r="L113" s="85" t="s">
        <v>60</v>
      </c>
      <c r="M113" s="84">
        <v>1001026430</v>
      </c>
      <c r="N113" s="84">
        <v>1004026430</v>
      </c>
      <c r="O113" s="85" t="s">
        <v>144</v>
      </c>
      <c r="P113" s="113" t="s">
        <v>145</v>
      </c>
      <c r="Q113" s="85" t="s">
        <v>867</v>
      </c>
      <c r="R113" s="85" t="s">
        <v>184</v>
      </c>
      <c r="S113" s="85" t="s">
        <v>609</v>
      </c>
      <c r="T113" s="85" t="s">
        <v>148</v>
      </c>
      <c r="U113" s="85"/>
      <c r="V113" s="85" t="s">
        <v>146</v>
      </c>
      <c r="W113" s="86">
        <v>1250000</v>
      </c>
      <c r="X113" s="85" t="s">
        <v>146</v>
      </c>
      <c r="Y113" s="94">
        <v>5.3</v>
      </c>
      <c r="Z113" s="94">
        <v>0.23</v>
      </c>
      <c r="AA113" s="94">
        <v>0</v>
      </c>
      <c r="AB113" s="94">
        <v>0</v>
      </c>
      <c r="AC113" s="85" t="s">
        <v>724</v>
      </c>
      <c r="AD113" s="85" t="s">
        <v>147</v>
      </c>
      <c r="AE113" s="150">
        <v>1243920</v>
      </c>
      <c r="AF113" s="151" t="s">
        <v>146</v>
      </c>
      <c r="AG113" s="150">
        <v>124392000</v>
      </c>
      <c r="AH113" s="151"/>
      <c r="AI113" s="150">
        <v>124392000</v>
      </c>
    </row>
    <row r="114" spans="1:35">
      <c r="A114" s="90"/>
      <c r="B114" s="90" t="s">
        <v>149</v>
      </c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116"/>
      <c r="Q114" s="90"/>
      <c r="R114" s="90"/>
      <c r="S114" s="90"/>
      <c r="T114" s="90"/>
      <c r="U114" s="90"/>
      <c r="V114" s="90"/>
      <c r="W114" s="90"/>
      <c r="X114" s="90"/>
      <c r="Y114" s="95"/>
      <c r="Z114" s="95"/>
      <c r="AA114" s="95"/>
      <c r="AB114" s="95"/>
      <c r="AC114" s="90"/>
      <c r="AD114" s="90"/>
      <c r="AE114" s="145">
        <v>1243920</v>
      </c>
      <c r="AF114" s="146" t="s">
        <v>146</v>
      </c>
      <c r="AG114" s="145">
        <v>124392000</v>
      </c>
      <c r="AH114" s="146"/>
      <c r="AI114" s="145">
        <v>124392000</v>
      </c>
    </row>
    <row r="115" spans="1:35" s="83" customFormat="1">
      <c r="A115" s="91"/>
      <c r="B115" s="91" t="s">
        <v>880</v>
      </c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117"/>
      <c r="Q115" s="91"/>
      <c r="R115" s="91"/>
      <c r="S115" s="91"/>
      <c r="T115" s="91"/>
      <c r="U115" s="91"/>
      <c r="V115" s="91"/>
      <c r="W115" s="91"/>
      <c r="X115" s="91"/>
      <c r="Y115" s="96"/>
      <c r="Z115" s="96"/>
      <c r="AA115" s="96"/>
      <c r="AB115" s="96"/>
      <c r="AC115" s="91"/>
      <c r="AD115" s="91"/>
      <c r="AE115" s="147">
        <v>23393297.629999999</v>
      </c>
      <c r="AF115" s="148" t="s">
        <v>146</v>
      </c>
      <c r="AG115" s="147">
        <v>7565835885</v>
      </c>
      <c r="AH115" s="147">
        <v>26492420.68</v>
      </c>
      <c r="AI115" s="147">
        <v>7592328305.6800003</v>
      </c>
    </row>
    <row r="336" spans="16:35" s="131" customFormat="1">
      <c r="P336" s="128"/>
      <c r="Y336" s="132"/>
      <c r="Z336" s="132"/>
      <c r="AA336" s="132"/>
      <c r="AB336" s="132"/>
      <c r="AE336" s="149"/>
      <c r="AF336" s="149"/>
      <c r="AG336" s="149"/>
      <c r="AH336" s="149"/>
      <c r="AI336" s="149"/>
    </row>
  </sheetData>
  <autoFilter ref="A8:AI115" xr:uid="{00000000-0009-0000-0000-000006000000}"/>
  <mergeCells count="5">
    <mergeCell ref="U5:X5"/>
    <mergeCell ref="Y5:AB5"/>
    <mergeCell ref="U6:X6"/>
    <mergeCell ref="Y6:AB6"/>
    <mergeCell ref="AE5:A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I336"/>
  <sheetViews>
    <sheetView workbookViewId="0">
      <pane xSplit="3" ySplit="8" topLeftCell="D141" activePane="bottomRight" state="frozenSplit"/>
      <selection pane="topRight" activeCell="D1" sqref="D1"/>
      <selection pane="bottomLeft" activeCell="A9" sqref="A9"/>
      <selection pane="bottomRight" activeCell="AI144" sqref="AI144"/>
    </sheetView>
  </sheetViews>
  <sheetFormatPr defaultRowHeight="14.5"/>
  <cols>
    <col min="1" max="1" width="4" bestFit="1" customWidth="1"/>
    <col min="2" max="2" width="14" hidden="1" customWidth="1"/>
    <col min="3" max="3" width="39" bestFit="1" customWidth="1"/>
    <col min="4" max="4" width="12.54296875" bestFit="1" customWidth="1"/>
    <col min="5" max="5" width="13.453125" hidden="1" customWidth="1"/>
    <col min="6" max="6" width="39" hidden="1" customWidth="1"/>
    <col min="7" max="7" width="25.54296875" hidden="1" customWidth="1"/>
    <col min="8" max="8" width="11.1796875" hidden="1" customWidth="1"/>
    <col min="9" max="9" width="18.453125" hidden="1" customWidth="1"/>
    <col min="10" max="10" width="11" hidden="1" customWidth="1"/>
    <col min="11" max="11" width="11.54296875" customWidth="1"/>
    <col min="12" max="12" width="13.453125" customWidth="1"/>
    <col min="13" max="13" width="11" bestFit="1" customWidth="1"/>
    <col min="14" max="14" width="12.81640625" hidden="1" customWidth="1"/>
    <col min="15" max="15" width="13.453125" hidden="1" customWidth="1"/>
    <col min="16" max="16" width="12.7265625" bestFit="1" customWidth="1"/>
    <col min="17" max="17" width="37.453125" hidden="1" customWidth="1"/>
    <col min="18" max="18" width="5.26953125" hidden="1" customWidth="1"/>
    <col min="19" max="19" width="5.7265625" hidden="1" customWidth="1"/>
    <col min="20" max="20" width="7.81640625" hidden="1" customWidth="1"/>
    <col min="21" max="21" width="12.7265625" hidden="1" customWidth="1"/>
    <col min="22" max="22" width="5.453125" hidden="1" customWidth="1"/>
    <col min="23" max="23" width="11.7265625" hidden="1" customWidth="1"/>
    <col min="24" max="24" width="5.453125" hidden="1" customWidth="1"/>
    <col min="25" max="28" width="9.26953125" style="92" hidden="1" customWidth="1"/>
    <col min="29" max="30" width="0" hidden="1" customWidth="1"/>
    <col min="31" max="31" width="13.81640625" style="82" bestFit="1" customWidth="1"/>
    <col min="32" max="32" width="5.1796875" style="82" hidden="1" customWidth="1"/>
    <col min="33" max="33" width="16.36328125" style="82" hidden="1" customWidth="1"/>
    <col min="34" max="34" width="13.81640625" style="82" hidden="1" customWidth="1"/>
    <col min="35" max="35" width="16.36328125" style="82" bestFit="1" customWidth="1"/>
  </cols>
  <sheetData>
    <row r="1" spans="1:35">
      <c r="A1" s="83" t="s">
        <v>625</v>
      </c>
    </row>
    <row r="2" spans="1:35">
      <c r="A2" s="83" t="s">
        <v>882</v>
      </c>
    </row>
    <row r="3" spans="1:35">
      <c r="A3" s="83" t="s">
        <v>644</v>
      </c>
    </row>
    <row r="5" spans="1:35" s="89" customFormat="1">
      <c r="A5" s="134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 t="s">
        <v>0</v>
      </c>
      <c r="T5" s="134" t="s">
        <v>699</v>
      </c>
      <c r="U5" s="185" t="s">
        <v>850</v>
      </c>
      <c r="V5" s="185"/>
      <c r="W5" s="185"/>
      <c r="X5" s="185"/>
      <c r="Y5" s="186" t="s">
        <v>851</v>
      </c>
      <c r="Z5" s="186"/>
      <c r="AA5" s="186"/>
      <c r="AB5" s="186"/>
      <c r="AC5" s="134"/>
      <c r="AD5" s="134"/>
      <c r="AE5" s="187" t="s">
        <v>700</v>
      </c>
      <c r="AF5" s="188"/>
      <c r="AG5" s="188"/>
      <c r="AH5" s="188"/>
      <c r="AI5" s="189"/>
    </row>
    <row r="6" spans="1:35" s="89" customFormat="1">
      <c r="A6" s="134" t="s">
        <v>124</v>
      </c>
      <c r="B6" s="134" t="s">
        <v>125</v>
      </c>
      <c r="C6" s="134" t="s">
        <v>701</v>
      </c>
      <c r="D6" s="134" t="s">
        <v>702</v>
      </c>
      <c r="E6" s="134" t="s">
        <v>852</v>
      </c>
      <c r="F6" s="134" t="s">
        <v>128</v>
      </c>
      <c r="G6" s="134" t="s">
        <v>853</v>
      </c>
      <c r="H6" s="134" t="s">
        <v>703</v>
      </c>
      <c r="I6" s="134" t="s">
        <v>854</v>
      </c>
      <c r="J6" s="134" t="s">
        <v>704</v>
      </c>
      <c r="K6" s="134" t="s">
        <v>705</v>
      </c>
      <c r="L6" s="134" t="s">
        <v>706</v>
      </c>
      <c r="M6" s="134" t="s">
        <v>707</v>
      </c>
      <c r="N6" s="134" t="s">
        <v>133</v>
      </c>
      <c r="O6" s="134" t="s">
        <v>134</v>
      </c>
      <c r="P6" s="134" t="s">
        <v>708</v>
      </c>
      <c r="Q6" s="134" t="s">
        <v>855</v>
      </c>
      <c r="R6" s="134" t="s">
        <v>132</v>
      </c>
      <c r="S6" s="134" t="s">
        <v>709</v>
      </c>
      <c r="T6" s="134" t="s">
        <v>710</v>
      </c>
      <c r="U6" s="185" t="s">
        <v>856</v>
      </c>
      <c r="V6" s="185"/>
      <c r="W6" s="185"/>
      <c r="X6" s="185"/>
      <c r="Y6" s="186" t="s">
        <v>856</v>
      </c>
      <c r="Z6" s="186"/>
      <c r="AA6" s="186"/>
      <c r="AB6" s="186"/>
      <c r="AC6" s="134" t="s">
        <v>711</v>
      </c>
      <c r="AD6" s="134" t="s">
        <v>2</v>
      </c>
      <c r="AE6" s="190"/>
      <c r="AF6" s="191"/>
      <c r="AG6" s="191"/>
      <c r="AH6" s="191"/>
      <c r="AI6" s="192"/>
    </row>
    <row r="7" spans="1:35" s="89" customFormat="1">
      <c r="A7" s="134"/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 t="s">
        <v>857</v>
      </c>
      <c r="V7" s="134" t="s">
        <v>858</v>
      </c>
      <c r="W7" s="134" t="s">
        <v>859</v>
      </c>
      <c r="X7" s="134" t="s">
        <v>858</v>
      </c>
      <c r="Y7" s="135" t="s">
        <v>860</v>
      </c>
      <c r="Z7" s="135" t="s">
        <v>861</v>
      </c>
      <c r="AA7" s="135" t="s">
        <v>862</v>
      </c>
      <c r="AB7" s="135" t="s">
        <v>135</v>
      </c>
      <c r="AC7" s="134" t="s">
        <v>713</v>
      </c>
      <c r="AD7" s="134"/>
      <c r="AE7" s="142" t="s">
        <v>714</v>
      </c>
      <c r="AF7" s="142" t="s">
        <v>1</v>
      </c>
      <c r="AG7" s="142" t="s">
        <v>715</v>
      </c>
      <c r="AH7" s="142" t="s">
        <v>716</v>
      </c>
      <c r="AI7" s="142" t="s">
        <v>717</v>
      </c>
    </row>
    <row r="8" spans="1:35" s="89" customFormat="1">
      <c r="A8" s="134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5"/>
      <c r="Z8" s="135"/>
      <c r="AA8" s="135"/>
      <c r="AB8" s="135"/>
      <c r="AC8" s="134"/>
      <c r="AD8" s="134"/>
      <c r="AE8" s="142"/>
      <c r="AF8" s="142"/>
      <c r="AG8" s="142" t="s">
        <v>642</v>
      </c>
      <c r="AH8" s="142" t="s">
        <v>718</v>
      </c>
      <c r="AI8" s="142" t="s">
        <v>642</v>
      </c>
    </row>
    <row r="9" spans="1:35">
      <c r="A9" s="122">
        <v>1</v>
      </c>
      <c r="B9" s="123" t="s">
        <v>719</v>
      </c>
      <c r="C9" s="123" t="s">
        <v>720</v>
      </c>
      <c r="D9" s="123" t="s">
        <v>721</v>
      </c>
      <c r="E9" s="123" t="s">
        <v>863</v>
      </c>
      <c r="F9" s="123" t="s">
        <v>720</v>
      </c>
      <c r="G9" s="123" t="s">
        <v>864</v>
      </c>
      <c r="H9" s="123" t="s">
        <v>722</v>
      </c>
      <c r="I9" s="123" t="s">
        <v>883</v>
      </c>
      <c r="J9" s="122">
        <v>1015000087</v>
      </c>
      <c r="K9" s="123" t="s">
        <v>723</v>
      </c>
      <c r="L9" s="123" t="s">
        <v>60</v>
      </c>
      <c r="M9" s="122">
        <v>1011002168</v>
      </c>
      <c r="N9" s="122">
        <v>1014002168</v>
      </c>
      <c r="O9" s="123" t="s">
        <v>144</v>
      </c>
      <c r="P9" s="123" t="s">
        <v>145</v>
      </c>
      <c r="Q9" s="123" t="s">
        <v>867</v>
      </c>
      <c r="R9" s="123" t="s">
        <v>142</v>
      </c>
      <c r="S9" s="123" t="s">
        <v>609</v>
      </c>
      <c r="T9" s="123" t="s">
        <v>346</v>
      </c>
      <c r="U9" s="124">
        <v>1492470</v>
      </c>
      <c r="V9" s="123" t="s">
        <v>146</v>
      </c>
      <c r="W9" s="124">
        <v>1492470</v>
      </c>
      <c r="X9" s="123" t="s">
        <v>146</v>
      </c>
      <c r="Y9" s="122">
        <v>5.14</v>
      </c>
      <c r="Z9" s="122">
        <v>0.32</v>
      </c>
      <c r="AA9" s="122">
        <v>0</v>
      </c>
      <c r="AB9" s="122">
        <v>0</v>
      </c>
      <c r="AC9" s="123" t="s">
        <v>724</v>
      </c>
      <c r="AD9" s="123" t="s">
        <v>147</v>
      </c>
      <c r="AE9" s="143">
        <v>307920</v>
      </c>
      <c r="AF9" s="144" t="s">
        <v>146</v>
      </c>
      <c r="AG9" s="143">
        <v>30792000</v>
      </c>
      <c r="AH9" s="144"/>
      <c r="AI9" s="143">
        <v>30792000</v>
      </c>
    </row>
    <row r="10" spans="1:35">
      <c r="A10" s="123"/>
      <c r="B10" s="123"/>
      <c r="C10" s="123"/>
      <c r="D10" s="123"/>
      <c r="E10" s="123" t="s">
        <v>863</v>
      </c>
      <c r="F10" s="125" t="s">
        <v>720</v>
      </c>
      <c r="G10" s="123"/>
      <c r="H10" s="123" t="s">
        <v>722</v>
      </c>
      <c r="I10" s="123" t="s">
        <v>883</v>
      </c>
      <c r="J10" s="122">
        <v>1015000086</v>
      </c>
      <c r="K10" s="123" t="s">
        <v>723</v>
      </c>
      <c r="L10" s="123" t="s">
        <v>60</v>
      </c>
      <c r="M10" s="122">
        <v>1011002223</v>
      </c>
      <c r="N10" s="122">
        <v>1014002223</v>
      </c>
      <c r="O10" s="123" t="s">
        <v>144</v>
      </c>
      <c r="P10" s="123" t="s">
        <v>145</v>
      </c>
      <c r="Q10" s="123" t="s">
        <v>867</v>
      </c>
      <c r="R10" s="123" t="s">
        <v>142</v>
      </c>
      <c r="S10" s="123" t="s">
        <v>609</v>
      </c>
      <c r="T10" s="123" t="s">
        <v>346</v>
      </c>
      <c r="U10" s="124">
        <v>998880</v>
      </c>
      <c r="V10" s="123" t="s">
        <v>146</v>
      </c>
      <c r="W10" s="124">
        <v>998880</v>
      </c>
      <c r="X10" s="123" t="s">
        <v>146</v>
      </c>
      <c r="Y10" s="122">
        <v>4.8</v>
      </c>
      <c r="Z10" s="122">
        <v>0.97</v>
      </c>
      <c r="AA10" s="122">
        <v>0</v>
      </c>
      <c r="AB10" s="122">
        <v>0</v>
      </c>
      <c r="AC10" s="123" t="s">
        <v>724</v>
      </c>
      <c r="AD10" s="123" t="s">
        <v>147</v>
      </c>
      <c r="AE10" s="143">
        <v>78.58</v>
      </c>
      <c r="AF10" s="144" t="s">
        <v>146</v>
      </c>
      <c r="AG10" s="143">
        <v>1191194</v>
      </c>
      <c r="AH10" s="144"/>
      <c r="AI10" s="143">
        <v>1191194</v>
      </c>
    </row>
    <row r="11" spans="1:35">
      <c r="A11" s="123"/>
      <c r="B11" s="123"/>
      <c r="C11" s="123"/>
      <c r="D11" s="123"/>
      <c r="E11" s="123" t="s">
        <v>863</v>
      </c>
      <c r="F11" s="125" t="s">
        <v>720</v>
      </c>
      <c r="G11" s="123"/>
      <c r="H11" s="123" t="s">
        <v>722</v>
      </c>
      <c r="I11" s="123" t="s">
        <v>883</v>
      </c>
      <c r="J11" s="122">
        <v>9085000063</v>
      </c>
      <c r="K11" s="123" t="s">
        <v>725</v>
      </c>
      <c r="L11" s="123" t="s">
        <v>60</v>
      </c>
      <c r="M11" s="122">
        <v>9081001005</v>
      </c>
      <c r="N11" s="122">
        <v>9084101005</v>
      </c>
      <c r="O11" s="123" t="s">
        <v>144</v>
      </c>
      <c r="P11" s="123" t="s">
        <v>145</v>
      </c>
      <c r="Q11" s="123" t="s">
        <v>867</v>
      </c>
      <c r="R11" s="123" t="s">
        <v>142</v>
      </c>
      <c r="S11" s="123" t="s">
        <v>609</v>
      </c>
      <c r="T11" s="123" t="s">
        <v>160</v>
      </c>
      <c r="U11" s="124">
        <v>1000930</v>
      </c>
      <c r="V11" s="123" t="s">
        <v>146</v>
      </c>
      <c r="W11" s="124">
        <v>1000930</v>
      </c>
      <c r="X11" s="123" t="s">
        <v>146</v>
      </c>
      <c r="Y11" s="122">
        <v>5.37</v>
      </c>
      <c r="Z11" s="122">
        <v>0.31</v>
      </c>
      <c r="AA11" s="122">
        <v>0</v>
      </c>
      <c r="AB11" s="122">
        <v>0</v>
      </c>
      <c r="AC11" s="123" t="s">
        <v>724</v>
      </c>
      <c r="AD11" s="123" t="s">
        <v>147</v>
      </c>
      <c r="AE11" s="143">
        <v>594300</v>
      </c>
      <c r="AF11" s="144" t="s">
        <v>146</v>
      </c>
      <c r="AG11" s="143">
        <v>79693000</v>
      </c>
      <c r="AH11" s="144"/>
      <c r="AI11" s="143">
        <v>79693000</v>
      </c>
    </row>
    <row r="12" spans="1:35">
      <c r="A12" s="123"/>
      <c r="B12" s="123"/>
      <c r="C12" s="123"/>
      <c r="D12" s="123"/>
      <c r="E12" s="123" t="s">
        <v>863</v>
      </c>
      <c r="F12" s="125" t="s">
        <v>720</v>
      </c>
      <c r="G12" s="123"/>
      <c r="H12" s="123" t="s">
        <v>726</v>
      </c>
      <c r="I12" s="123" t="s">
        <v>883</v>
      </c>
      <c r="J12" s="122">
        <v>9085000260</v>
      </c>
      <c r="K12" s="123" t="s">
        <v>66</v>
      </c>
      <c r="L12" s="123" t="s">
        <v>28</v>
      </c>
      <c r="M12" s="122">
        <v>9081001391</v>
      </c>
      <c r="N12" s="122">
        <v>9084101391</v>
      </c>
      <c r="O12" s="123" t="s">
        <v>351</v>
      </c>
      <c r="P12" s="123" t="s">
        <v>352</v>
      </c>
      <c r="Q12" s="123" t="s">
        <v>866</v>
      </c>
      <c r="R12" s="123" t="s">
        <v>142</v>
      </c>
      <c r="S12" s="123" t="s">
        <v>609</v>
      </c>
      <c r="T12" s="123" t="s">
        <v>160</v>
      </c>
      <c r="U12" s="123"/>
      <c r="V12" s="123" t="s">
        <v>146</v>
      </c>
      <c r="W12" s="124">
        <v>497730</v>
      </c>
      <c r="X12" s="123" t="s">
        <v>146</v>
      </c>
      <c r="Y12" s="122">
        <v>4.3600000000000003</v>
      </c>
      <c r="Z12" s="122">
        <v>8.98</v>
      </c>
      <c r="AA12" s="122">
        <v>8.35</v>
      </c>
      <c r="AB12" s="122">
        <v>0</v>
      </c>
      <c r="AC12" s="123" t="s">
        <v>724</v>
      </c>
      <c r="AD12" s="123" t="s">
        <v>147</v>
      </c>
      <c r="AE12" s="143">
        <v>7890.49</v>
      </c>
      <c r="AF12" s="144" t="s">
        <v>146</v>
      </c>
      <c r="AG12" s="143">
        <v>101787321</v>
      </c>
      <c r="AH12" s="143">
        <v>11196605.310000001</v>
      </c>
      <c r="AI12" s="143">
        <v>112983926.31</v>
      </c>
    </row>
    <row r="13" spans="1:35">
      <c r="A13" s="123"/>
      <c r="B13" s="123"/>
      <c r="C13" s="123"/>
      <c r="D13" s="123"/>
      <c r="E13" s="123" t="s">
        <v>863</v>
      </c>
      <c r="F13" s="125" t="s">
        <v>720</v>
      </c>
      <c r="G13" s="123"/>
      <c r="H13" s="123" t="s">
        <v>726</v>
      </c>
      <c r="I13" s="123" t="s">
        <v>883</v>
      </c>
      <c r="J13" s="122">
        <v>9085000261</v>
      </c>
      <c r="K13" s="123" t="s">
        <v>10</v>
      </c>
      <c r="L13" s="123" t="s">
        <v>28</v>
      </c>
      <c r="M13" s="122">
        <v>9081001391</v>
      </c>
      <c r="N13" s="122">
        <v>9084101391</v>
      </c>
      <c r="O13" s="123" t="s">
        <v>351</v>
      </c>
      <c r="P13" s="123" t="s">
        <v>352</v>
      </c>
      <c r="Q13" s="123" t="s">
        <v>866</v>
      </c>
      <c r="R13" s="123" t="s">
        <v>142</v>
      </c>
      <c r="S13" s="123" t="s">
        <v>609</v>
      </c>
      <c r="T13" s="123" t="s">
        <v>160</v>
      </c>
      <c r="U13" s="123"/>
      <c r="V13" s="123" t="s">
        <v>146</v>
      </c>
      <c r="W13" s="124">
        <v>497730</v>
      </c>
      <c r="X13" s="123" t="s">
        <v>146</v>
      </c>
      <c r="Y13" s="122">
        <v>6.79</v>
      </c>
      <c r="Z13" s="122">
        <v>9.09</v>
      </c>
      <c r="AA13" s="122">
        <v>7.73</v>
      </c>
      <c r="AB13" s="122">
        <v>0</v>
      </c>
      <c r="AC13" s="123" t="s">
        <v>724</v>
      </c>
      <c r="AD13" s="123" t="s">
        <v>147</v>
      </c>
      <c r="AE13" s="143">
        <v>308.42</v>
      </c>
      <c r="AF13" s="144" t="s">
        <v>146</v>
      </c>
      <c r="AG13" s="143">
        <v>3978579</v>
      </c>
      <c r="AH13" s="143">
        <v>437643.69</v>
      </c>
      <c r="AI13" s="143">
        <v>4416222.6900000004</v>
      </c>
    </row>
    <row r="14" spans="1:35">
      <c r="A14" s="90"/>
      <c r="B14" s="90" t="s">
        <v>149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145">
        <v>910497.49</v>
      </c>
      <c r="AF14" s="146" t="s">
        <v>146</v>
      </c>
      <c r="AG14" s="145">
        <v>217442094</v>
      </c>
      <c r="AH14" s="145">
        <v>11634249</v>
      </c>
      <c r="AI14" s="145">
        <v>229076343</v>
      </c>
    </row>
    <row r="15" spans="1:35">
      <c r="A15" s="122">
        <v>2</v>
      </c>
      <c r="B15" s="123" t="s">
        <v>727</v>
      </c>
      <c r="C15" s="123" t="s">
        <v>728</v>
      </c>
      <c r="D15" s="123" t="s">
        <v>401</v>
      </c>
      <c r="E15" s="123" t="s">
        <v>863</v>
      </c>
      <c r="F15" s="123" t="s">
        <v>728</v>
      </c>
      <c r="G15" s="123" t="s">
        <v>864</v>
      </c>
      <c r="H15" s="123" t="s">
        <v>726</v>
      </c>
      <c r="I15" s="123" t="s">
        <v>883</v>
      </c>
      <c r="J15" s="122">
        <v>9145000159</v>
      </c>
      <c r="K15" s="123" t="s">
        <v>8</v>
      </c>
      <c r="L15" s="123" t="s">
        <v>80</v>
      </c>
      <c r="M15" s="122">
        <v>9141001737</v>
      </c>
      <c r="N15" s="122">
        <v>9144101737</v>
      </c>
      <c r="O15" s="123" t="s">
        <v>351</v>
      </c>
      <c r="P15" s="123" t="s">
        <v>352</v>
      </c>
      <c r="Q15" s="123" t="s">
        <v>866</v>
      </c>
      <c r="R15" s="123" t="s">
        <v>142</v>
      </c>
      <c r="S15" s="123" t="s">
        <v>609</v>
      </c>
      <c r="T15" s="123" t="s">
        <v>162</v>
      </c>
      <c r="U15" s="123"/>
      <c r="V15" s="123" t="s">
        <v>146</v>
      </c>
      <c r="W15" s="124">
        <v>201690</v>
      </c>
      <c r="X15" s="123" t="s">
        <v>146</v>
      </c>
      <c r="Y15" s="122">
        <v>6.02</v>
      </c>
      <c r="Z15" s="122">
        <v>6.84</v>
      </c>
      <c r="AA15" s="122">
        <v>7.72</v>
      </c>
      <c r="AB15" s="122">
        <v>0</v>
      </c>
      <c r="AC15" s="123" t="s">
        <v>724</v>
      </c>
      <c r="AD15" s="123" t="s">
        <v>147</v>
      </c>
      <c r="AE15" s="143">
        <v>704.24</v>
      </c>
      <c r="AF15" s="144" t="s">
        <v>146</v>
      </c>
      <c r="AG15" s="143">
        <v>7746640</v>
      </c>
      <c r="AH15" s="143">
        <v>852130.4</v>
      </c>
      <c r="AI15" s="143">
        <v>8598770.4000000004</v>
      </c>
    </row>
    <row r="16" spans="1:35">
      <c r="A16" s="123"/>
      <c r="B16" s="123"/>
      <c r="C16" s="123"/>
      <c r="D16" s="123"/>
      <c r="E16" s="123" t="s">
        <v>863</v>
      </c>
      <c r="F16" s="125" t="s">
        <v>728</v>
      </c>
      <c r="G16" s="123"/>
      <c r="H16" s="123" t="s">
        <v>722</v>
      </c>
      <c r="I16" s="123" t="s">
        <v>883</v>
      </c>
      <c r="J16" s="122">
        <v>9145000196</v>
      </c>
      <c r="K16" s="123" t="s">
        <v>70</v>
      </c>
      <c r="L16" s="123" t="s">
        <v>48</v>
      </c>
      <c r="M16" s="122">
        <v>9141001742</v>
      </c>
      <c r="N16" s="122">
        <v>9144101742</v>
      </c>
      <c r="O16" s="123" t="s">
        <v>144</v>
      </c>
      <c r="P16" s="123" t="s">
        <v>145</v>
      </c>
      <c r="Q16" s="123" t="s">
        <v>867</v>
      </c>
      <c r="R16" s="123" t="s">
        <v>142</v>
      </c>
      <c r="S16" s="123" t="s">
        <v>609</v>
      </c>
      <c r="T16" s="123" t="s">
        <v>162</v>
      </c>
      <c r="U16" s="124">
        <v>1001874</v>
      </c>
      <c r="V16" s="123" t="s">
        <v>146</v>
      </c>
      <c r="W16" s="124">
        <v>1001874</v>
      </c>
      <c r="X16" s="123" t="s">
        <v>146</v>
      </c>
      <c r="Y16" s="122">
        <v>4.46</v>
      </c>
      <c r="Z16" s="122">
        <v>0.91</v>
      </c>
      <c r="AA16" s="122">
        <v>0</v>
      </c>
      <c r="AB16" s="122">
        <v>0</v>
      </c>
      <c r="AC16" s="123" t="s">
        <v>724</v>
      </c>
      <c r="AD16" s="123" t="s">
        <v>147</v>
      </c>
      <c r="AE16" s="143">
        <v>115.37</v>
      </c>
      <c r="AF16" s="144" t="s">
        <v>146</v>
      </c>
      <c r="AG16" s="143">
        <v>1661328</v>
      </c>
      <c r="AH16" s="143">
        <v>182746.08</v>
      </c>
      <c r="AI16" s="143">
        <v>1844074.08</v>
      </c>
    </row>
    <row r="17" spans="1:35">
      <c r="A17" s="123"/>
      <c r="B17" s="123"/>
      <c r="C17" s="123"/>
      <c r="D17" s="123"/>
      <c r="E17" s="123" t="s">
        <v>863</v>
      </c>
      <c r="F17" s="125" t="s">
        <v>728</v>
      </c>
      <c r="G17" s="123"/>
      <c r="H17" s="123" t="s">
        <v>726</v>
      </c>
      <c r="I17" s="123" t="s">
        <v>883</v>
      </c>
      <c r="J17" s="122">
        <v>9145000173</v>
      </c>
      <c r="K17" s="123" t="s">
        <v>729</v>
      </c>
      <c r="L17" s="123" t="s">
        <v>90</v>
      </c>
      <c r="M17" s="122">
        <v>9141001767</v>
      </c>
      <c r="N17" s="122">
        <v>9144101767</v>
      </c>
      <c r="O17" s="123" t="s">
        <v>351</v>
      </c>
      <c r="P17" s="123" t="s">
        <v>352</v>
      </c>
      <c r="Q17" s="123" t="s">
        <v>866</v>
      </c>
      <c r="R17" s="123" t="s">
        <v>142</v>
      </c>
      <c r="S17" s="123" t="s">
        <v>609</v>
      </c>
      <c r="T17" s="123" t="s">
        <v>162</v>
      </c>
      <c r="U17" s="123"/>
      <c r="V17" s="123" t="s">
        <v>146</v>
      </c>
      <c r="W17" s="124">
        <v>301300</v>
      </c>
      <c r="X17" s="123" t="s">
        <v>146</v>
      </c>
      <c r="Y17" s="122">
        <v>4.3499999999999996</v>
      </c>
      <c r="Z17" s="122">
        <v>6.81</v>
      </c>
      <c r="AA17" s="122">
        <v>8.64</v>
      </c>
      <c r="AB17" s="122">
        <v>0</v>
      </c>
      <c r="AC17" s="123" t="s">
        <v>724</v>
      </c>
      <c r="AD17" s="123" t="s">
        <v>147</v>
      </c>
      <c r="AE17" s="143">
        <v>104.79</v>
      </c>
      <c r="AF17" s="144" t="s">
        <v>146</v>
      </c>
      <c r="AG17" s="143">
        <v>1194606</v>
      </c>
      <c r="AH17" s="143">
        <v>131406.66</v>
      </c>
      <c r="AI17" s="143">
        <v>1326012.6599999999</v>
      </c>
    </row>
    <row r="18" spans="1:35">
      <c r="A18" s="123"/>
      <c r="B18" s="123"/>
      <c r="C18" s="123"/>
      <c r="D18" s="123"/>
      <c r="E18" s="123" t="s">
        <v>863</v>
      </c>
      <c r="F18" s="125" t="s">
        <v>728</v>
      </c>
      <c r="G18" s="123"/>
      <c r="H18" s="123" t="s">
        <v>726</v>
      </c>
      <c r="I18" s="123" t="s">
        <v>883</v>
      </c>
      <c r="J18" s="122">
        <v>9145000174</v>
      </c>
      <c r="K18" s="123" t="s">
        <v>729</v>
      </c>
      <c r="L18" s="123" t="s">
        <v>90</v>
      </c>
      <c r="M18" s="122">
        <v>9141001767</v>
      </c>
      <c r="N18" s="122">
        <v>9144101767</v>
      </c>
      <c r="O18" s="123" t="s">
        <v>351</v>
      </c>
      <c r="P18" s="123" t="s">
        <v>352</v>
      </c>
      <c r="Q18" s="123" t="s">
        <v>866</v>
      </c>
      <c r="R18" s="123" t="s">
        <v>142</v>
      </c>
      <c r="S18" s="123" t="s">
        <v>609</v>
      </c>
      <c r="T18" s="123" t="s">
        <v>162</v>
      </c>
      <c r="U18" s="123"/>
      <c r="V18" s="123" t="s">
        <v>146</v>
      </c>
      <c r="W18" s="124">
        <v>301300</v>
      </c>
      <c r="X18" s="123" t="s">
        <v>146</v>
      </c>
      <c r="Y18" s="122">
        <v>6.04</v>
      </c>
      <c r="Z18" s="122">
        <v>6.87</v>
      </c>
      <c r="AA18" s="122">
        <v>7.69</v>
      </c>
      <c r="AB18" s="122">
        <v>0</v>
      </c>
      <c r="AC18" s="123" t="s">
        <v>724</v>
      </c>
      <c r="AD18" s="123" t="s">
        <v>147</v>
      </c>
      <c r="AE18" s="143">
        <v>519.91</v>
      </c>
      <c r="AF18" s="144" t="s">
        <v>146</v>
      </c>
      <c r="AG18" s="143">
        <v>5926974</v>
      </c>
      <c r="AH18" s="143">
        <v>651967.14</v>
      </c>
      <c r="AI18" s="143">
        <v>6578941.1399999997</v>
      </c>
    </row>
    <row r="19" spans="1:35">
      <c r="A19" s="90"/>
      <c r="B19" s="90" t="s">
        <v>149</v>
      </c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145">
        <v>1444.31</v>
      </c>
      <c r="AF19" s="146" t="s">
        <v>146</v>
      </c>
      <c r="AG19" s="145">
        <v>16529548</v>
      </c>
      <c r="AH19" s="145">
        <v>1818250.28</v>
      </c>
      <c r="AI19" s="145">
        <v>18347798.280000001</v>
      </c>
    </row>
    <row r="20" spans="1:35">
      <c r="A20" s="122">
        <v>3</v>
      </c>
      <c r="B20" s="123" t="s">
        <v>306</v>
      </c>
      <c r="C20" s="123" t="s">
        <v>307</v>
      </c>
      <c r="D20" s="123" t="s">
        <v>252</v>
      </c>
      <c r="E20" s="123" t="s">
        <v>863</v>
      </c>
      <c r="F20" s="123" t="s">
        <v>307</v>
      </c>
      <c r="G20" s="123" t="s">
        <v>864</v>
      </c>
      <c r="H20" s="123" t="s">
        <v>722</v>
      </c>
      <c r="I20" s="123" t="s">
        <v>883</v>
      </c>
      <c r="J20" s="122">
        <v>1005001962</v>
      </c>
      <c r="K20" s="123" t="s">
        <v>769</v>
      </c>
      <c r="L20" s="123" t="s">
        <v>11</v>
      </c>
      <c r="M20" s="122">
        <v>1001026169</v>
      </c>
      <c r="N20" s="122">
        <v>1004026169</v>
      </c>
      <c r="O20" s="123" t="s">
        <v>144</v>
      </c>
      <c r="P20" s="123" t="s">
        <v>145</v>
      </c>
      <c r="Q20" s="123" t="s">
        <v>867</v>
      </c>
      <c r="R20" s="123" t="s">
        <v>142</v>
      </c>
      <c r="S20" s="123" t="s">
        <v>609</v>
      </c>
      <c r="T20" s="123" t="s">
        <v>148</v>
      </c>
      <c r="U20" s="124">
        <v>300000</v>
      </c>
      <c r="V20" s="123" t="s">
        <v>146</v>
      </c>
      <c r="W20" s="124">
        <v>298598</v>
      </c>
      <c r="X20" s="123" t="s">
        <v>146</v>
      </c>
      <c r="Y20" s="122">
        <v>5.52</v>
      </c>
      <c r="Z20" s="122">
        <v>0.24</v>
      </c>
      <c r="AA20" s="122">
        <v>0</v>
      </c>
      <c r="AB20" s="122">
        <v>0</v>
      </c>
      <c r="AC20" s="123" t="s">
        <v>724</v>
      </c>
      <c r="AD20" s="123" t="s">
        <v>147</v>
      </c>
      <c r="AE20" s="143">
        <v>196346</v>
      </c>
      <c r="AF20" s="144" t="s">
        <v>146</v>
      </c>
      <c r="AG20" s="143">
        <v>11981050</v>
      </c>
      <c r="AH20" s="144"/>
      <c r="AI20" s="143">
        <v>11981050</v>
      </c>
    </row>
    <row r="21" spans="1:35">
      <c r="A21" s="123"/>
      <c r="B21" s="123"/>
      <c r="C21" s="123"/>
      <c r="D21" s="123"/>
      <c r="E21" s="123" t="s">
        <v>863</v>
      </c>
      <c r="F21" s="125" t="s">
        <v>307</v>
      </c>
      <c r="G21" s="123"/>
      <c r="H21" s="123" t="s">
        <v>722</v>
      </c>
      <c r="I21" s="123" t="s">
        <v>883</v>
      </c>
      <c r="J21" s="122">
        <v>1005001963</v>
      </c>
      <c r="K21" s="123" t="s">
        <v>769</v>
      </c>
      <c r="L21" s="123" t="s">
        <v>11</v>
      </c>
      <c r="M21" s="122">
        <v>1001026200</v>
      </c>
      <c r="N21" s="122">
        <v>1004026200</v>
      </c>
      <c r="O21" s="123" t="s">
        <v>144</v>
      </c>
      <c r="P21" s="123" t="s">
        <v>145</v>
      </c>
      <c r="Q21" s="123" t="s">
        <v>867</v>
      </c>
      <c r="R21" s="123" t="s">
        <v>142</v>
      </c>
      <c r="S21" s="123" t="s">
        <v>609</v>
      </c>
      <c r="T21" s="123" t="s">
        <v>148</v>
      </c>
      <c r="U21" s="124">
        <v>275000</v>
      </c>
      <c r="V21" s="123" t="s">
        <v>146</v>
      </c>
      <c r="W21" s="124">
        <v>273674</v>
      </c>
      <c r="X21" s="123" t="s">
        <v>146</v>
      </c>
      <c r="Y21" s="122">
        <v>5.27</v>
      </c>
      <c r="Z21" s="122">
        <v>0.24</v>
      </c>
      <c r="AA21" s="122">
        <v>0</v>
      </c>
      <c r="AB21" s="122">
        <v>0</v>
      </c>
      <c r="AC21" s="123" t="s">
        <v>724</v>
      </c>
      <c r="AD21" s="123" t="s">
        <v>147</v>
      </c>
      <c r="AE21" s="143">
        <v>273674</v>
      </c>
      <c r="AF21" s="144" t="s">
        <v>146</v>
      </c>
      <c r="AG21" s="143">
        <v>10943700</v>
      </c>
      <c r="AH21" s="144"/>
      <c r="AI21" s="143">
        <v>10943700</v>
      </c>
    </row>
    <row r="22" spans="1:35">
      <c r="A22" s="123"/>
      <c r="B22" s="123"/>
      <c r="C22" s="123"/>
      <c r="D22" s="123"/>
      <c r="E22" s="123" t="s">
        <v>863</v>
      </c>
      <c r="F22" s="125" t="s">
        <v>307</v>
      </c>
      <c r="G22" s="123"/>
      <c r="H22" s="123" t="s">
        <v>722</v>
      </c>
      <c r="I22" s="123" t="s">
        <v>883</v>
      </c>
      <c r="J22" s="122">
        <v>1005002000</v>
      </c>
      <c r="K22" s="123" t="s">
        <v>741</v>
      </c>
      <c r="L22" s="123" t="s">
        <v>11</v>
      </c>
      <c r="M22" s="122">
        <v>1001026222</v>
      </c>
      <c r="N22" s="122">
        <v>1004026222</v>
      </c>
      <c r="O22" s="123" t="s">
        <v>144</v>
      </c>
      <c r="P22" s="123" t="s">
        <v>145</v>
      </c>
      <c r="Q22" s="123" t="s">
        <v>867</v>
      </c>
      <c r="R22" s="123" t="s">
        <v>142</v>
      </c>
      <c r="S22" s="123" t="s">
        <v>609</v>
      </c>
      <c r="T22" s="123" t="s">
        <v>148</v>
      </c>
      <c r="U22" s="124">
        <v>250000</v>
      </c>
      <c r="V22" s="123" t="s">
        <v>146</v>
      </c>
      <c r="W22" s="124">
        <v>249167</v>
      </c>
      <c r="X22" s="123" t="s">
        <v>146</v>
      </c>
      <c r="Y22" s="122">
        <v>5.29</v>
      </c>
      <c r="Z22" s="122">
        <v>0.25</v>
      </c>
      <c r="AA22" s="122">
        <v>0</v>
      </c>
      <c r="AB22" s="122">
        <v>0</v>
      </c>
      <c r="AC22" s="123" t="s">
        <v>724</v>
      </c>
      <c r="AD22" s="123" t="s">
        <v>147</v>
      </c>
      <c r="AE22" s="143">
        <v>249167</v>
      </c>
      <c r="AF22" s="144" t="s">
        <v>146</v>
      </c>
      <c r="AG22" s="143">
        <v>10790350</v>
      </c>
      <c r="AH22" s="144"/>
      <c r="AI22" s="143">
        <v>10790350</v>
      </c>
    </row>
    <row r="23" spans="1:35">
      <c r="A23" s="123"/>
      <c r="B23" s="123"/>
      <c r="C23" s="123"/>
      <c r="D23" s="123"/>
      <c r="E23" s="123" t="s">
        <v>863</v>
      </c>
      <c r="F23" s="125" t="s">
        <v>307</v>
      </c>
      <c r="G23" s="123"/>
      <c r="H23" s="123" t="s">
        <v>722</v>
      </c>
      <c r="I23" s="123" t="s">
        <v>883</v>
      </c>
      <c r="J23" s="122">
        <v>1005001966</v>
      </c>
      <c r="K23" s="123" t="s">
        <v>769</v>
      </c>
      <c r="L23" s="123" t="s">
        <v>11</v>
      </c>
      <c r="M23" s="122">
        <v>1001026275</v>
      </c>
      <c r="N23" s="122">
        <v>1004026275</v>
      </c>
      <c r="O23" s="123" t="s">
        <v>144</v>
      </c>
      <c r="P23" s="123" t="s">
        <v>145</v>
      </c>
      <c r="Q23" s="123" t="s">
        <v>867</v>
      </c>
      <c r="R23" s="123" t="s">
        <v>142</v>
      </c>
      <c r="S23" s="123" t="s">
        <v>609</v>
      </c>
      <c r="T23" s="123" t="s">
        <v>148</v>
      </c>
      <c r="U23" s="124">
        <v>550000</v>
      </c>
      <c r="V23" s="123" t="s">
        <v>146</v>
      </c>
      <c r="W23" s="124">
        <v>547315</v>
      </c>
      <c r="X23" s="123" t="s">
        <v>146</v>
      </c>
      <c r="Y23" s="122">
        <v>5.31</v>
      </c>
      <c r="Z23" s="122">
        <v>0.26</v>
      </c>
      <c r="AA23" s="122">
        <v>0</v>
      </c>
      <c r="AB23" s="122">
        <v>0</v>
      </c>
      <c r="AC23" s="123" t="s">
        <v>724</v>
      </c>
      <c r="AD23" s="123" t="s">
        <v>147</v>
      </c>
      <c r="AE23" s="143">
        <v>547315</v>
      </c>
      <c r="AF23" s="144" t="s">
        <v>146</v>
      </c>
      <c r="AG23" s="143">
        <v>26319750</v>
      </c>
      <c r="AH23" s="144"/>
      <c r="AI23" s="143">
        <v>26319750</v>
      </c>
    </row>
    <row r="24" spans="1:35">
      <c r="A24" s="123"/>
      <c r="B24" s="123"/>
      <c r="C24" s="123"/>
      <c r="D24" s="123"/>
      <c r="E24" s="123" t="s">
        <v>863</v>
      </c>
      <c r="F24" s="125" t="s">
        <v>307</v>
      </c>
      <c r="G24" s="123"/>
      <c r="H24" s="123" t="s">
        <v>722</v>
      </c>
      <c r="I24" s="123" t="s">
        <v>883</v>
      </c>
      <c r="J24" s="122">
        <v>1005001964</v>
      </c>
      <c r="K24" s="123" t="s">
        <v>769</v>
      </c>
      <c r="L24" s="123" t="s">
        <v>11</v>
      </c>
      <c r="M24" s="122">
        <v>1001026303</v>
      </c>
      <c r="N24" s="122">
        <v>1004026303</v>
      </c>
      <c r="O24" s="123" t="s">
        <v>144</v>
      </c>
      <c r="P24" s="123" t="s">
        <v>145</v>
      </c>
      <c r="Q24" s="123" t="s">
        <v>867</v>
      </c>
      <c r="R24" s="123" t="s">
        <v>142</v>
      </c>
      <c r="S24" s="123" t="s">
        <v>609</v>
      </c>
      <c r="T24" s="123" t="s">
        <v>148</v>
      </c>
      <c r="U24" s="124">
        <v>175000</v>
      </c>
      <c r="V24" s="123" t="s">
        <v>146</v>
      </c>
      <c r="W24" s="124">
        <v>174247</v>
      </c>
      <c r="X24" s="123" t="s">
        <v>146</v>
      </c>
      <c r="Y24" s="122">
        <v>5.38</v>
      </c>
      <c r="Z24" s="122">
        <v>0.23</v>
      </c>
      <c r="AA24" s="122">
        <v>0</v>
      </c>
      <c r="AB24" s="122">
        <v>0</v>
      </c>
      <c r="AC24" s="123" t="s">
        <v>724</v>
      </c>
      <c r="AD24" s="123" t="s">
        <v>147</v>
      </c>
      <c r="AE24" s="143">
        <v>174247</v>
      </c>
      <c r="AF24" s="144" t="s">
        <v>146</v>
      </c>
      <c r="AG24" s="143">
        <v>8341350</v>
      </c>
      <c r="AH24" s="144"/>
      <c r="AI24" s="143">
        <v>8341350</v>
      </c>
    </row>
    <row r="25" spans="1:35">
      <c r="A25" s="123"/>
      <c r="B25" s="123"/>
      <c r="C25" s="123"/>
      <c r="D25" s="123"/>
      <c r="E25" s="123" t="s">
        <v>863</v>
      </c>
      <c r="F25" s="125" t="s">
        <v>307</v>
      </c>
      <c r="G25" s="123"/>
      <c r="H25" s="123" t="s">
        <v>722</v>
      </c>
      <c r="I25" s="123" t="s">
        <v>883</v>
      </c>
      <c r="J25" s="122">
        <v>1005001965</v>
      </c>
      <c r="K25" s="123" t="s">
        <v>769</v>
      </c>
      <c r="L25" s="123" t="s">
        <v>11</v>
      </c>
      <c r="M25" s="122">
        <v>1001026329</v>
      </c>
      <c r="N25" s="122">
        <v>1004026329</v>
      </c>
      <c r="O25" s="123" t="s">
        <v>144</v>
      </c>
      <c r="P25" s="123" t="s">
        <v>145</v>
      </c>
      <c r="Q25" s="123" t="s">
        <v>867</v>
      </c>
      <c r="R25" s="123" t="s">
        <v>142</v>
      </c>
      <c r="S25" s="123" t="s">
        <v>609</v>
      </c>
      <c r="T25" s="123" t="s">
        <v>148</v>
      </c>
      <c r="U25" s="124">
        <v>200000</v>
      </c>
      <c r="V25" s="123" t="s">
        <v>146</v>
      </c>
      <c r="W25" s="124">
        <v>199228</v>
      </c>
      <c r="X25" s="123" t="s">
        <v>146</v>
      </c>
      <c r="Y25" s="122">
        <v>5.39</v>
      </c>
      <c r="Z25" s="122">
        <v>0.22</v>
      </c>
      <c r="AA25" s="122">
        <v>0</v>
      </c>
      <c r="AB25" s="122">
        <v>0</v>
      </c>
      <c r="AC25" s="123" t="s">
        <v>724</v>
      </c>
      <c r="AD25" s="123" t="s">
        <v>147</v>
      </c>
      <c r="AE25" s="143">
        <v>199228</v>
      </c>
      <c r="AF25" s="144" t="s">
        <v>146</v>
      </c>
      <c r="AG25" s="143">
        <v>9732150</v>
      </c>
      <c r="AH25" s="144"/>
      <c r="AI25" s="143">
        <v>9732150</v>
      </c>
    </row>
    <row r="26" spans="1:35">
      <c r="A26" s="123"/>
      <c r="B26" s="123"/>
      <c r="C26" s="123"/>
      <c r="D26" s="123"/>
      <c r="E26" s="123" t="s">
        <v>863</v>
      </c>
      <c r="F26" s="125" t="s">
        <v>307</v>
      </c>
      <c r="G26" s="123"/>
      <c r="H26" s="123" t="s">
        <v>722</v>
      </c>
      <c r="I26" s="123" t="s">
        <v>883</v>
      </c>
      <c r="J26" s="122">
        <v>1005002006</v>
      </c>
      <c r="K26" s="123" t="s">
        <v>741</v>
      </c>
      <c r="L26" s="123" t="s">
        <v>11</v>
      </c>
      <c r="M26" s="122">
        <v>1001026362</v>
      </c>
      <c r="N26" s="122">
        <v>1004026362</v>
      </c>
      <c r="O26" s="123" t="s">
        <v>144</v>
      </c>
      <c r="P26" s="123" t="s">
        <v>145</v>
      </c>
      <c r="Q26" s="123" t="s">
        <v>867</v>
      </c>
      <c r="R26" s="123" t="s">
        <v>142</v>
      </c>
      <c r="S26" s="123" t="s">
        <v>609</v>
      </c>
      <c r="T26" s="123" t="s">
        <v>148</v>
      </c>
      <c r="U26" s="124">
        <v>200000</v>
      </c>
      <c r="V26" s="123" t="s">
        <v>146</v>
      </c>
      <c r="W26" s="124">
        <v>198750</v>
      </c>
      <c r="X26" s="123" t="s">
        <v>146</v>
      </c>
      <c r="Y26" s="122">
        <v>5.36</v>
      </c>
      <c r="Z26" s="122">
        <v>0.24</v>
      </c>
      <c r="AA26" s="122">
        <v>0</v>
      </c>
      <c r="AB26" s="122">
        <v>0</v>
      </c>
      <c r="AC26" s="123" t="s">
        <v>724</v>
      </c>
      <c r="AD26" s="123" t="s">
        <v>147</v>
      </c>
      <c r="AE26" s="143">
        <v>198750</v>
      </c>
      <c r="AF26" s="144" t="s">
        <v>146</v>
      </c>
      <c r="AG26" s="143">
        <v>9533000</v>
      </c>
      <c r="AH26" s="144"/>
      <c r="AI26" s="143">
        <v>9533000</v>
      </c>
    </row>
    <row r="27" spans="1:35">
      <c r="A27" s="123"/>
      <c r="B27" s="123"/>
      <c r="C27" s="123"/>
      <c r="D27" s="123"/>
      <c r="E27" s="123" t="s">
        <v>863</v>
      </c>
      <c r="F27" s="125" t="s">
        <v>307</v>
      </c>
      <c r="G27" s="123"/>
      <c r="H27" s="123" t="s">
        <v>722</v>
      </c>
      <c r="I27" s="123" t="s">
        <v>883</v>
      </c>
      <c r="J27" s="122">
        <v>1005002009</v>
      </c>
      <c r="K27" s="123" t="s">
        <v>741</v>
      </c>
      <c r="L27" s="123" t="s">
        <v>11</v>
      </c>
      <c r="M27" s="122">
        <v>1001026377</v>
      </c>
      <c r="N27" s="122">
        <v>1004026377</v>
      </c>
      <c r="O27" s="123" t="s">
        <v>144</v>
      </c>
      <c r="P27" s="123" t="s">
        <v>145</v>
      </c>
      <c r="Q27" s="123" t="s">
        <v>867</v>
      </c>
      <c r="R27" s="123" t="s">
        <v>142</v>
      </c>
      <c r="S27" s="123" t="s">
        <v>609</v>
      </c>
      <c r="T27" s="123" t="s">
        <v>148</v>
      </c>
      <c r="U27" s="124">
        <v>175000</v>
      </c>
      <c r="V27" s="123" t="s">
        <v>146</v>
      </c>
      <c r="W27" s="124">
        <v>173969</v>
      </c>
      <c r="X27" s="123" t="s">
        <v>146</v>
      </c>
      <c r="Y27" s="122">
        <v>5.36</v>
      </c>
      <c r="Z27" s="122">
        <v>0.26</v>
      </c>
      <c r="AA27" s="122">
        <v>0</v>
      </c>
      <c r="AB27" s="122">
        <v>0</v>
      </c>
      <c r="AC27" s="123" t="s">
        <v>724</v>
      </c>
      <c r="AD27" s="123" t="s">
        <v>147</v>
      </c>
      <c r="AE27" s="143">
        <v>173969</v>
      </c>
      <c r="AF27" s="144" t="s">
        <v>146</v>
      </c>
      <c r="AG27" s="143">
        <v>8327275</v>
      </c>
      <c r="AH27" s="144"/>
      <c r="AI27" s="143">
        <v>8327275</v>
      </c>
    </row>
    <row r="28" spans="1:35">
      <c r="A28" s="123"/>
      <c r="B28" s="123"/>
      <c r="C28" s="123"/>
      <c r="D28" s="123"/>
      <c r="E28" s="123" t="s">
        <v>863</v>
      </c>
      <c r="F28" s="125" t="s">
        <v>307</v>
      </c>
      <c r="G28" s="123"/>
      <c r="H28" s="123" t="s">
        <v>722</v>
      </c>
      <c r="I28" s="123" t="s">
        <v>883</v>
      </c>
      <c r="J28" s="122">
        <v>1005002010</v>
      </c>
      <c r="K28" s="123" t="s">
        <v>741</v>
      </c>
      <c r="L28" s="123" t="s">
        <v>11</v>
      </c>
      <c r="M28" s="122">
        <v>1001026416</v>
      </c>
      <c r="N28" s="122">
        <v>1004026416</v>
      </c>
      <c r="O28" s="123" t="s">
        <v>144</v>
      </c>
      <c r="P28" s="123" t="s">
        <v>145</v>
      </c>
      <c r="Q28" s="123" t="s">
        <v>867</v>
      </c>
      <c r="R28" s="123" t="s">
        <v>142</v>
      </c>
      <c r="S28" s="123" t="s">
        <v>609</v>
      </c>
      <c r="T28" s="123" t="s">
        <v>148</v>
      </c>
      <c r="U28" s="124">
        <v>575000</v>
      </c>
      <c r="V28" s="123" t="s">
        <v>146</v>
      </c>
      <c r="W28" s="124">
        <v>572502</v>
      </c>
      <c r="X28" s="123" t="s">
        <v>146</v>
      </c>
      <c r="Y28" s="122">
        <v>5.39</v>
      </c>
      <c r="Z28" s="122">
        <v>0.28000000000000003</v>
      </c>
      <c r="AA28" s="122">
        <v>0</v>
      </c>
      <c r="AB28" s="122">
        <v>0</v>
      </c>
      <c r="AC28" s="123" t="s">
        <v>724</v>
      </c>
      <c r="AD28" s="123" t="s">
        <v>147</v>
      </c>
      <c r="AE28" s="143">
        <v>572502</v>
      </c>
      <c r="AF28" s="144" t="s">
        <v>146</v>
      </c>
      <c r="AG28" s="143">
        <v>28026575</v>
      </c>
      <c r="AH28" s="144"/>
      <c r="AI28" s="143">
        <v>28026575</v>
      </c>
    </row>
    <row r="29" spans="1:35">
      <c r="A29" s="123"/>
      <c r="B29" s="123"/>
      <c r="C29" s="123"/>
      <c r="D29" s="123"/>
      <c r="E29" s="123" t="s">
        <v>863</v>
      </c>
      <c r="F29" s="125" t="s">
        <v>307</v>
      </c>
      <c r="G29" s="123"/>
      <c r="H29" s="123" t="s">
        <v>722</v>
      </c>
      <c r="I29" s="123" t="s">
        <v>883</v>
      </c>
      <c r="J29" s="122">
        <v>1005002001</v>
      </c>
      <c r="K29" s="123" t="s">
        <v>741</v>
      </c>
      <c r="L29" s="123" t="s">
        <v>11</v>
      </c>
      <c r="M29" s="122">
        <v>1001026433</v>
      </c>
      <c r="N29" s="122">
        <v>1004026433</v>
      </c>
      <c r="O29" s="123" t="s">
        <v>144</v>
      </c>
      <c r="P29" s="123" t="s">
        <v>145</v>
      </c>
      <c r="Q29" s="123" t="s">
        <v>867</v>
      </c>
      <c r="R29" s="123" t="s">
        <v>142</v>
      </c>
      <c r="S29" s="123" t="s">
        <v>609</v>
      </c>
      <c r="T29" s="123" t="s">
        <v>148</v>
      </c>
      <c r="U29" s="124">
        <v>275000</v>
      </c>
      <c r="V29" s="123" t="s">
        <v>146</v>
      </c>
      <c r="W29" s="124">
        <v>273652</v>
      </c>
      <c r="X29" s="123" t="s">
        <v>146</v>
      </c>
      <c r="Y29" s="122">
        <v>5.25</v>
      </c>
      <c r="Z29" s="122">
        <v>0.28000000000000003</v>
      </c>
      <c r="AA29" s="122">
        <v>0</v>
      </c>
      <c r="AB29" s="122">
        <v>0</v>
      </c>
      <c r="AC29" s="123" t="s">
        <v>724</v>
      </c>
      <c r="AD29" s="123" t="s">
        <v>147</v>
      </c>
      <c r="AE29" s="143">
        <v>213682</v>
      </c>
      <c r="AF29" s="144" t="s">
        <v>146</v>
      </c>
      <c r="AG29" s="143">
        <v>8533550</v>
      </c>
      <c r="AH29" s="144"/>
      <c r="AI29" s="143">
        <v>8533550</v>
      </c>
    </row>
    <row r="30" spans="1:35">
      <c r="A30" s="123"/>
      <c r="B30" s="123"/>
      <c r="C30" s="123"/>
      <c r="D30" s="123"/>
      <c r="E30" s="123" t="s">
        <v>863</v>
      </c>
      <c r="F30" s="125" t="s">
        <v>307</v>
      </c>
      <c r="G30" s="123"/>
      <c r="H30" s="123" t="s">
        <v>722</v>
      </c>
      <c r="I30" s="123" t="s">
        <v>883</v>
      </c>
      <c r="J30" s="122">
        <v>1005002051</v>
      </c>
      <c r="K30" s="123" t="s">
        <v>8</v>
      </c>
      <c r="L30" s="123" t="s">
        <v>11</v>
      </c>
      <c r="M30" s="122">
        <v>1001026468</v>
      </c>
      <c r="N30" s="122">
        <v>1004026468</v>
      </c>
      <c r="O30" s="123" t="s">
        <v>144</v>
      </c>
      <c r="P30" s="123" t="s">
        <v>145</v>
      </c>
      <c r="Q30" s="123" t="s">
        <v>867</v>
      </c>
      <c r="R30" s="123" t="s">
        <v>142</v>
      </c>
      <c r="S30" s="123" t="s">
        <v>609</v>
      </c>
      <c r="T30" s="123" t="s">
        <v>148</v>
      </c>
      <c r="U30" s="124">
        <v>325000</v>
      </c>
      <c r="V30" s="123" t="s">
        <v>146</v>
      </c>
      <c r="W30" s="124">
        <v>323655</v>
      </c>
      <c r="X30" s="123" t="s">
        <v>146</v>
      </c>
      <c r="Y30" s="122">
        <v>5.4</v>
      </c>
      <c r="Z30" s="122">
        <v>0.34</v>
      </c>
      <c r="AA30" s="122">
        <v>0</v>
      </c>
      <c r="AB30" s="122">
        <v>0</v>
      </c>
      <c r="AC30" s="123" t="s">
        <v>724</v>
      </c>
      <c r="AD30" s="123" t="s">
        <v>147</v>
      </c>
      <c r="AE30" s="143">
        <v>86300</v>
      </c>
      <c r="AF30" s="144" t="s">
        <v>146</v>
      </c>
      <c r="AG30" s="143">
        <v>4315000</v>
      </c>
      <c r="AH30" s="144"/>
      <c r="AI30" s="143">
        <v>4315000</v>
      </c>
    </row>
    <row r="31" spans="1:35">
      <c r="A31" s="123"/>
      <c r="B31" s="123"/>
      <c r="C31" s="123"/>
      <c r="D31" s="123"/>
      <c r="E31" s="123" t="s">
        <v>863</v>
      </c>
      <c r="F31" s="125" t="s">
        <v>307</v>
      </c>
      <c r="G31" s="123"/>
      <c r="H31" s="123" t="s">
        <v>722</v>
      </c>
      <c r="I31" s="123" t="s">
        <v>883</v>
      </c>
      <c r="J31" s="122">
        <v>1005002052</v>
      </c>
      <c r="K31" s="123" t="s">
        <v>8</v>
      </c>
      <c r="L31" s="123" t="s">
        <v>11</v>
      </c>
      <c r="M31" s="122">
        <v>1001026511</v>
      </c>
      <c r="N31" s="122">
        <v>1004026511</v>
      </c>
      <c r="O31" s="123" t="s">
        <v>144</v>
      </c>
      <c r="P31" s="123" t="s">
        <v>145</v>
      </c>
      <c r="Q31" s="123" t="s">
        <v>867</v>
      </c>
      <c r="R31" s="123" t="s">
        <v>142</v>
      </c>
      <c r="S31" s="123" t="s">
        <v>609</v>
      </c>
      <c r="T31" s="123" t="s">
        <v>148</v>
      </c>
      <c r="U31" s="124">
        <v>250000</v>
      </c>
      <c r="V31" s="123" t="s">
        <v>146</v>
      </c>
      <c r="W31" s="124">
        <v>248795</v>
      </c>
      <c r="X31" s="123" t="s">
        <v>146</v>
      </c>
      <c r="Y31" s="122">
        <v>5.43</v>
      </c>
      <c r="Z31" s="122">
        <v>0.27</v>
      </c>
      <c r="AA31" s="122">
        <v>0</v>
      </c>
      <c r="AB31" s="122">
        <v>0</v>
      </c>
      <c r="AC31" s="123" t="s">
        <v>724</v>
      </c>
      <c r="AD31" s="123" t="s">
        <v>147</v>
      </c>
      <c r="AE31" s="143">
        <v>236700</v>
      </c>
      <c r="AF31" s="144" t="s">
        <v>146</v>
      </c>
      <c r="AG31" s="143">
        <v>11835000</v>
      </c>
      <c r="AH31" s="144"/>
      <c r="AI31" s="143">
        <v>11835000</v>
      </c>
    </row>
    <row r="32" spans="1:35">
      <c r="A32" s="123"/>
      <c r="B32" s="123"/>
      <c r="C32" s="123"/>
      <c r="D32" s="123"/>
      <c r="E32" s="123" t="s">
        <v>863</v>
      </c>
      <c r="F32" s="125" t="s">
        <v>307</v>
      </c>
      <c r="G32" s="123"/>
      <c r="H32" s="123" t="s">
        <v>722</v>
      </c>
      <c r="I32" s="123" t="s">
        <v>883</v>
      </c>
      <c r="J32" s="122">
        <v>1005002053</v>
      </c>
      <c r="K32" s="123" t="s">
        <v>8</v>
      </c>
      <c r="L32" s="123" t="s">
        <v>11</v>
      </c>
      <c r="M32" s="122">
        <v>1001026520</v>
      </c>
      <c r="N32" s="122">
        <v>1004026520</v>
      </c>
      <c r="O32" s="123" t="s">
        <v>144</v>
      </c>
      <c r="P32" s="123" t="s">
        <v>145</v>
      </c>
      <c r="Q32" s="123" t="s">
        <v>867</v>
      </c>
      <c r="R32" s="123" t="s">
        <v>142</v>
      </c>
      <c r="S32" s="123" t="s">
        <v>609</v>
      </c>
      <c r="T32" s="123" t="s">
        <v>148</v>
      </c>
      <c r="U32" s="124">
        <v>250000</v>
      </c>
      <c r="V32" s="123" t="s">
        <v>146</v>
      </c>
      <c r="W32" s="124">
        <v>248727</v>
      </c>
      <c r="X32" s="123" t="s">
        <v>146</v>
      </c>
      <c r="Y32" s="122">
        <v>5.44</v>
      </c>
      <c r="Z32" s="122">
        <v>0.26</v>
      </c>
      <c r="AA32" s="122">
        <v>0</v>
      </c>
      <c r="AB32" s="122">
        <v>0</v>
      </c>
      <c r="AC32" s="123" t="s">
        <v>724</v>
      </c>
      <c r="AD32" s="123" t="s">
        <v>147</v>
      </c>
      <c r="AE32" s="143">
        <v>248727</v>
      </c>
      <c r="AF32" s="144" t="s">
        <v>146</v>
      </c>
      <c r="AG32" s="143">
        <v>12436350</v>
      </c>
      <c r="AH32" s="144"/>
      <c r="AI32" s="143">
        <v>12436350</v>
      </c>
    </row>
    <row r="33" spans="1:35">
      <c r="A33" s="123"/>
      <c r="B33" s="123"/>
      <c r="C33" s="123"/>
      <c r="D33" s="123"/>
      <c r="E33" s="123" t="s">
        <v>863</v>
      </c>
      <c r="F33" s="125" t="s">
        <v>307</v>
      </c>
      <c r="G33" s="123"/>
      <c r="H33" s="123" t="s">
        <v>722</v>
      </c>
      <c r="I33" s="123" t="s">
        <v>883</v>
      </c>
      <c r="J33" s="122">
        <v>1005002057</v>
      </c>
      <c r="K33" s="123" t="s">
        <v>8</v>
      </c>
      <c r="L33" s="123" t="s">
        <v>11</v>
      </c>
      <c r="M33" s="122">
        <v>1001026541</v>
      </c>
      <c r="N33" s="122">
        <v>1004026541</v>
      </c>
      <c r="O33" s="123" t="s">
        <v>144</v>
      </c>
      <c r="P33" s="123" t="s">
        <v>145</v>
      </c>
      <c r="Q33" s="123" t="s">
        <v>867</v>
      </c>
      <c r="R33" s="123" t="s">
        <v>142</v>
      </c>
      <c r="S33" s="123" t="s">
        <v>609</v>
      </c>
      <c r="T33" s="123" t="s">
        <v>148</v>
      </c>
      <c r="U33" s="124">
        <v>600000</v>
      </c>
      <c r="V33" s="123" t="s">
        <v>146</v>
      </c>
      <c r="W33" s="124">
        <v>597718</v>
      </c>
      <c r="X33" s="123" t="s">
        <v>146</v>
      </c>
      <c r="Y33" s="122">
        <v>5.48</v>
      </c>
      <c r="Z33" s="122">
        <v>0.28000000000000003</v>
      </c>
      <c r="AA33" s="122">
        <v>0</v>
      </c>
      <c r="AB33" s="122">
        <v>0</v>
      </c>
      <c r="AC33" s="123" t="s">
        <v>724</v>
      </c>
      <c r="AD33" s="123" t="s">
        <v>147</v>
      </c>
      <c r="AE33" s="143">
        <v>454143</v>
      </c>
      <c r="AF33" s="144" t="s">
        <v>146</v>
      </c>
      <c r="AG33" s="143">
        <v>24830900</v>
      </c>
      <c r="AH33" s="144"/>
      <c r="AI33" s="143">
        <v>24830900</v>
      </c>
    </row>
    <row r="34" spans="1:35">
      <c r="A34" s="123"/>
      <c r="B34" s="123"/>
      <c r="C34" s="123"/>
      <c r="D34" s="123"/>
      <c r="E34" s="123" t="s">
        <v>863</v>
      </c>
      <c r="F34" s="125" t="s">
        <v>307</v>
      </c>
      <c r="G34" s="123"/>
      <c r="H34" s="123" t="s">
        <v>722</v>
      </c>
      <c r="I34" s="123" t="s">
        <v>883</v>
      </c>
      <c r="J34" s="122">
        <v>1005002058</v>
      </c>
      <c r="K34" s="123" t="s">
        <v>8</v>
      </c>
      <c r="L34" s="123" t="s">
        <v>11</v>
      </c>
      <c r="M34" s="122">
        <v>1001026581</v>
      </c>
      <c r="N34" s="122">
        <v>1004026581</v>
      </c>
      <c r="O34" s="123" t="s">
        <v>144</v>
      </c>
      <c r="P34" s="123" t="s">
        <v>145</v>
      </c>
      <c r="Q34" s="123" t="s">
        <v>867</v>
      </c>
      <c r="R34" s="123" t="s">
        <v>142</v>
      </c>
      <c r="S34" s="123" t="s">
        <v>609</v>
      </c>
      <c r="T34" s="123" t="s">
        <v>148</v>
      </c>
      <c r="U34" s="124">
        <v>200000</v>
      </c>
      <c r="V34" s="123" t="s">
        <v>146</v>
      </c>
      <c r="W34" s="124">
        <v>199170</v>
      </c>
      <c r="X34" s="123" t="s">
        <v>146</v>
      </c>
      <c r="Y34" s="122">
        <v>5.41</v>
      </c>
      <c r="Z34" s="122">
        <v>0.28000000000000003</v>
      </c>
      <c r="AA34" s="122">
        <v>0</v>
      </c>
      <c r="AB34" s="122">
        <v>0</v>
      </c>
      <c r="AC34" s="123" t="s">
        <v>724</v>
      </c>
      <c r="AD34" s="123" t="s">
        <v>147</v>
      </c>
      <c r="AE34" s="143">
        <v>158436</v>
      </c>
      <c r="AF34" s="144" t="s">
        <v>146</v>
      </c>
      <c r="AG34" s="143">
        <v>8141050</v>
      </c>
      <c r="AH34" s="144"/>
      <c r="AI34" s="143">
        <v>8141050</v>
      </c>
    </row>
    <row r="35" spans="1:35">
      <c r="A35" s="123"/>
      <c r="B35" s="123"/>
      <c r="C35" s="123"/>
      <c r="D35" s="123"/>
      <c r="E35" s="123" t="s">
        <v>863</v>
      </c>
      <c r="F35" s="125" t="s">
        <v>307</v>
      </c>
      <c r="G35" s="123"/>
      <c r="H35" s="123" t="s">
        <v>722</v>
      </c>
      <c r="I35" s="123" t="s">
        <v>883</v>
      </c>
      <c r="J35" s="122">
        <v>1005002059</v>
      </c>
      <c r="K35" s="123" t="s">
        <v>8</v>
      </c>
      <c r="L35" s="123" t="s">
        <v>11</v>
      </c>
      <c r="M35" s="122">
        <v>1001026618</v>
      </c>
      <c r="N35" s="122">
        <v>1004026618</v>
      </c>
      <c r="O35" s="123" t="s">
        <v>144</v>
      </c>
      <c r="P35" s="123" t="s">
        <v>145</v>
      </c>
      <c r="Q35" s="123" t="s">
        <v>867</v>
      </c>
      <c r="R35" s="123" t="s">
        <v>142</v>
      </c>
      <c r="S35" s="123" t="s">
        <v>609</v>
      </c>
      <c r="T35" s="123" t="s">
        <v>148</v>
      </c>
      <c r="U35" s="124">
        <v>125000</v>
      </c>
      <c r="V35" s="123" t="s">
        <v>146</v>
      </c>
      <c r="W35" s="124">
        <v>124331</v>
      </c>
      <c r="X35" s="123" t="s">
        <v>146</v>
      </c>
      <c r="Y35" s="122">
        <v>5.42</v>
      </c>
      <c r="Z35" s="122">
        <v>0.3</v>
      </c>
      <c r="AA35" s="122">
        <v>0</v>
      </c>
      <c r="AB35" s="122">
        <v>0</v>
      </c>
      <c r="AC35" s="123" t="s">
        <v>724</v>
      </c>
      <c r="AD35" s="123" t="s">
        <v>147</v>
      </c>
      <c r="AE35" s="143">
        <v>124331</v>
      </c>
      <c r="AF35" s="144" t="s">
        <v>146</v>
      </c>
      <c r="AG35" s="143">
        <v>6811800</v>
      </c>
      <c r="AH35" s="144"/>
      <c r="AI35" s="143">
        <v>6811800</v>
      </c>
    </row>
    <row r="36" spans="1:35">
      <c r="A36" s="123"/>
      <c r="B36" s="123"/>
      <c r="C36" s="123"/>
      <c r="D36" s="123"/>
      <c r="E36" s="123" t="s">
        <v>863</v>
      </c>
      <c r="F36" s="125" t="s">
        <v>307</v>
      </c>
      <c r="G36" s="123"/>
      <c r="H36" s="123" t="s">
        <v>722</v>
      </c>
      <c r="I36" s="123" t="s">
        <v>883</v>
      </c>
      <c r="J36" s="122">
        <v>1005002103</v>
      </c>
      <c r="K36" s="123" t="s">
        <v>770</v>
      </c>
      <c r="L36" s="123" t="s">
        <v>11</v>
      </c>
      <c r="M36" s="122">
        <v>1001026637</v>
      </c>
      <c r="N36" s="122">
        <v>1004026637</v>
      </c>
      <c r="O36" s="123" t="s">
        <v>144</v>
      </c>
      <c r="P36" s="123" t="s">
        <v>145</v>
      </c>
      <c r="Q36" s="123" t="s">
        <v>867</v>
      </c>
      <c r="R36" s="123" t="s">
        <v>142</v>
      </c>
      <c r="S36" s="123" t="s">
        <v>609</v>
      </c>
      <c r="T36" s="123" t="s">
        <v>148</v>
      </c>
      <c r="U36" s="124">
        <v>325000</v>
      </c>
      <c r="V36" s="123" t="s">
        <v>146</v>
      </c>
      <c r="W36" s="124">
        <v>323191</v>
      </c>
      <c r="X36" s="123" t="s">
        <v>146</v>
      </c>
      <c r="Y36" s="122">
        <v>5.45</v>
      </c>
      <c r="Z36" s="122">
        <v>0.28000000000000003</v>
      </c>
      <c r="AA36" s="122">
        <v>0</v>
      </c>
      <c r="AB36" s="122">
        <v>0</v>
      </c>
      <c r="AC36" s="123" t="s">
        <v>724</v>
      </c>
      <c r="AD36" s="123" t="s">
        <v>147</v>
      </c>
      <c r="AE36" s="143">
        <v>181723</v>
      </c>
      <c r="AF36" s="144" t="s">
        <v>146</v>
      </c>
      <c r="AG36" s="143">
        <v>8879150</v>
      </c>
      <c r="AH36" s="144"/>
      <c r="AI36" s="143">
        <v>8879150</v>
      </c>
    </row>
    <row r="37" spans="1:35">
      <c r="A37" s="123"/>
      <c r="B37" s="123"/>
      <c r="C37" s="123"/>
      <c r="D37" s="123"/>
      <c r="E37" s="123" t="s">
        <v>863</v>
      </c>
      <c r="F37" s="125" t="s">
        <v>307</v>
      </c>
      <c r="G37" s="123"/>
      <c r="H37" s="123" t="s">
        <v>722</v>
      </c>
      <c r="I37" s="123" t="s">
        <v>883</v>
      </c>
      <c r="J37" s="122">
        <v>1005002104</v>
      </c>
      <c r="K37" s="123" t="s">
        <v>770</v>
      </c>
      <c r="L37" s="123" t="s">
        <v>11</v>
      </c>
      <c r="M37" s="122">
        <v>1001026704</v>
      </c>
      <c r="N37" s="122">
        <v>1004026704</v>
      </c>
      <c r="O37" s="123" t="s">
        <v>144</v>
      </c>
      <c r="P37" s="123" t="s">
        <v>145</v>
      </c>
      <c r="Q37" s="123" t="s">
        <v>867</v>
      </c>
      <c r="R37" s="123" t="s">
        <v>142</v>
      </c>
      <c r="S37" s="123" t="s">
        <v>609</v>
      </c>
      <c r="T37" s="123" t="s">
        <v>148</v>
      </c>
      <c r="U37" s="124">
        <v>425000</v>
      </c>
      <c r="V37" s="123" t="s">
        <v>146</v>
      </c>
      <c r="W37" s="124">
        <v>422627</v>
      </c>
      <c r="X37" s="123" t="s">
        <v>146</v>
      </c>
      <c r="Y37" s="122">
        <v>5.43</v>
      </c>
      <c r="Z37" s="122">
        <v>0.28999999999999998</v>
      </c>
      <c r="AA37" s="122">
        <v>0</v>
      </c>
      <c r="AB37" s="122">
        <v>0</v>
      </c>
      <c r="AC37" s="123" t="s">
        <v>724</v>
      </c>
      <c r="AD37" s="123" t="s">
        <v>147</v>
      </c>
      <c r="AE37" s="143">
        <v>180345</v>
      </c>
      <c r="AF37" s="144" t="s">
        <v>146</v>
      </c>
      <c r="AG37" s="143">
        <v>9017250</v>
      </c>
      <c r="AH37" s="144"/>
      <c r="AI37" s="143">
        <v>9017250</v>
      </c>
    </row>
    <row r="38" spans="1:35">
      <c r="A38" s="123"/>
      <c r="B38" s="123"/>
      <c r="C38" s="123"/>
      <c r="D38" s="123"/>
      <c r="E38" s="123" t="s">
        <v>863</v>
      </c>
      <c r="F38" s="125" t="s">
        <v>307</v>
      </c>
      <c r="G38" s="123"/>
      <c r="H38" s="123" t="s">
        <v>722</v>
      </c>
      <c r="I38" s="123" t="s">
        <v>883</v>
      </c>
      <c r="J38" s="122">
        <v>1005002108</v>
      </c>
      <c r="K38" s="123" t="s">
        <v>770</v>
      </c>
      <c r="L38" s="123" t="s">
        <v>11</v>
      </c>
      <c r="M38" s="122">
        <v>1001026731</v>
      </c>
      <c r="N38" s="122">
        <v>1004026731</v>
      </c>
      <c r="O38" s="123" t="s">
        <v>144</v>
      </c>
      <c r="P38" s="123" t="s">
        <v>145</v>
      </c>
      <c r="Q38" s="123" t="s">
        <v>867</v>
      </c>
      <c r="R38" s="123" t="s">
        <v>142</v>
      </c>
      <c r="S38" s="123" t="s">
        <v>609</v>
      </c>
      <c r="T38" s="123" t="s">
        <v>148</v>
      </c>
      <c r="U38" s="124">
        <v>175000</v>
      </c>
      <c r="V38" s="123" t="s">
        <v>146</v>
      </c>
      <c r="W38" s="124">
        <v>174101</v>
      </c>
      <c r="X38" s="123" t="s">
        <v>146</v>
      </c>
      <c r="Y38" s="122">
        <v>5.44</v>
      </c>
      <c r="Z38" s="122">
        <v>0.28000000000000003</v>
      </c>
      <c r="AA38" s="122">
        <v>0</v>
      </c>
      <c r="AB38" s="122">
        <v>0</v>
      </c>
      <c r="AC38" s="123" t="s">
        <v>724</v>
      </c>
      <c r="AD38" s="123" t="s">
        <v>147</v>
      </c>
      <c r="AE38" s="143">
        <v>174101</v>
      </c>
      <c r="AF38" s="144" t="s">
        <v>146</v>
      </c>
      <c r="AG38" s="143">
        <v>8705050</v>
      </c>
      <c r="AH38" s="144"/>
      <c r="AI38" s="143">
        <v>8705050</v>
      </c>
    </row>
    <row r="39" spans="1:35">
      <c r="A39" s="123"/>
      <c r="B39" s="123"/>
      <c r="C39" s="123"/>
      <c r="D39" s="123"/>
      <c r="E39" s="123" t="s">
        <v>863</v>
      </c>
      <c r="F39" s="125" t="s">
        <v>307</v>
      </c>
      <c r="G39" s="123"/>
      <c r="H39" s="123" t="s">
        <v>722</v>
      </c>
      <c r="I39" s="123" t="s">
        <v>883</v>
      </c>
      <c r="J39" s="122">
        <v>1005002105</v>
      </c>
      <c r="K39" s="123" t="s">
        <v>770</v>
      </c>
      <c r="L39" s="123" t="s">
        <v>11</v>
      </c>
      <c r="M39" s="122">
        <v>1001026771</v>
      </c>
      <c r="N39" s="122">
        <v>1004026771</v>
      </c>
      <c r="O39" s="123" t="s">
        <v>144</v>
      </c>
      <c r="P39" s="123" t="s">
        <v>145</v>
      </c>
      <c r="Q39" s="123" t="s">
        <v>867</v>
      </c>
      <c r="R39" s="123" t="s">
        <v>142</v>
      </c>
      <c r="S39" s="123" t="s">
        <v>609</v>
      </c>
      <c r="T39" s="123" t="s">
        <v>148</v>
      </c>
      <c r="U39" s="124">
        <v>250000</v>
      </c>
      <c r="V39" s="123" t="s">
        <v>146</v>
      </c>
      <c r="W39" s="124">
        <v>248870</v>
      </c>
      <c r="X39" s="123" t="s">
        <v>146</v>
      </c>
      <c r="Y39" s="122">
        <v>5.47</v>
      </c>
      <c r="Z39" s="122">
        <v>0.28999999999999998</v>
      </c>
      <c r="AA39" s="122">
        <v>0</v>
      </c>
      <c r="AB39" s="122">
        <v>0</v>
      </c>
      <c r="AC39" s="123" t="s">
        <v>724</v>
      </c>
      <c r="AD39" s="123" t="s">
        <v>147</v>
      </c>
      <c r="AE39" s="143">
        <v>248870</v>
      </c>
      <c r="AF39" s="144" t="s">
        <v>146</v>
      </c>
      <c r="AG39" s="143">
        <v>13901500</v>
      </c>
      <c r="AH39" s="144"/>
      <c r="AI39" s="143">
        <v>13901500</v>
      </c>
    </row>
    <row r="40" spans="1:35">
      <c r="A40" s="123"/>
      <c r="B40" s="123"/>
      <c r="C40" s="123"/>
      <c r="D40" s="123"/>
      <c r="E40" s="123" t="s">
        <v>863</v>
      </c>
      <c r="F40" s="125" t="s">
        <v>307</v>
      </c>
      <c r="G40" s="123"/>
      <c r="H40" s="123" t="s">
        <v>722</v>
      </c>
      <c r="I40" s="123" t="s">
        <v>883</v>
      </c>
      <c r="J40" s="122">
        <v>1005002106</v>
      </c>
      <c r="K40" s="123" t="s">
        <v>770</v>
      </c>
      <c r="L40" s="123" t="s">
        <v>11</v>
      </c>
      <c r="M40" s="122">
        <v>1001026791</v>
      </c>
      <c r="N40" s="122">
        <v>1004026791</v>
      </c>
      <c r="O40" s="123" t="s">
        <v>144</v>
      </c>
      <c r="P40" s="123" t="s">
        <v>145</v>
      </c>
      <c r="Q40" s="123" t="s">
        <v>867</v>
      </c>
      <c r="R40" s="123" t="s">
        <v>142</v>
      </c>
      <c r="S40" s="123" t="s">
        <v>609</v>
      </c>
      <c r="T40" s="123" t="s">
        <v>148</v>
      </c>
      <c r="U40" s="124">
        <v>175000</v>
      </c>
      <c r="V40" s="123" t="s">
        <v>146</v>
      </c>
      <c r="W40" s="124">
        <v>174061</v>
      </c>
      <c r="X40" s="123" t="s">
        <v>146</v>
      </c>
      <c r="Y40" s="122">
        <v>5.46</v>
      </c>
      <c r="Z40" s="122">
        <v>0.27</v>
      </c>
      <c r="AA40" s="122">
        <v>0</v>
      </c>
      <c r="AB40" s="122">
        <v>0</v>
      </c>
      <c r="AC40" s="123" t="s">
        <v>724</v>
      </c>
      <c r="AD40" s="123" t="s">
        <v>147</v>
      </c>
      <c r="AE40" s="143">
        <v>174061</v>
      </c>
      <c r="AF40" s="144" t="s">
        <v>146</v>
      </c>
      <c r="AG40" s="143">
        <v>9783800</v>
      </c>
      <c r="AH40" s="144"/>
      <c r="AI40" s="143">
        <v>9783800</v>
      </c>
    </row>
    <row r="41" spans="1:35">
      <c r="A41" s="123"/>
      <c r="B41" s="123"/>
      <c r="C41" s="123"/>
      <c r="D41" s="123"/>
      <c r="E41" s="123" t="s">
        <v>863</v>
      </c>
      <c r="F41" s="125" t="s">
        <v>307</v>
      </c>
      <c r="G41" s="123"/>
      <c r="H41" s="123" t="s">
        <v>722</v>
      </c>
      <c r="I41" s="123" t="s">
        <v>883</v>
      </c>
      <c r="J41" s="122">
        <v>1005002131</v>
      </c>
      <c r="K41" s="123" t="s">
        <v>771</v>
      </c>
      <c r="L41" s="123" t="s">
        <v>11</v>
      </c>
      <c r="M41" s="122">
        <v>1001026811</v>
      </c>
      <c r="N41" s="122">
        <v>1004026811</v>
      </c>
      <c r="O41" s="123" t="s">
        <v>144</v>
      </c>
      <c r="P41" s="123" t="s">
        <v>145</v>
      </c>
      <c r="Q41" s="123" t="s">
        <v>867</v>
      </c>
      <c r="R41" s="123" t="s">
        <v>142</v>
      </c>
      <c r="S41" s="123" t="s">
        <v>609</v>
      </c>
      <c r="T41" s="123" t="s">
        <v>148</v>
      </c>
      <c r="U41" s="124">
        <v>225000</v>
      </c>
      <c r="V41" s="123" t="s">
        <v>146</v>
      </c>
      <c r="W41" s="124">
        <v>223903</v>
      </c>
      <c r="X41" s="123" t="s">
        <v>146</v>
      </c>
      <c r="Y41" s="122">
        <v>5.46</v>
      </c>
      <c r="Z41" s="122">
        <v>0.28999999999999998</v>
      </c>
      <c r="AA41" s="122">
        <v>0</v>
      </c>
      <c r="AB41" s="122">
        <v>0</v>
      </c>
      <c r="AC41" s="123" t="s">
        <v>724</v>
      </c>
      <c r="AD41" s="123" t="s">
        <v>147</v>
      </c>
      <c r="AE41" s="143">
        <v>223903</v>
      </c>
      <c r="AF41" s="144" t="s">
        <v>146</v>
      </c>
      <c r="AG41" s="143">
        <v>12454650</v>
      </c>
      <c r="AH41" s="144"/>
      <c r="AI41" s="143">
        <v>12454650</v>
      </c>
    </row>
    <row r="42" spans="1:35">
      <c r="A42" s="123"/>
      <c r="B42" s="123"/>
      <c r="C42" s="123"/>
      <c r="D42" s="123"/>
      <c r="E42" s="123" t="s">
        <v>863</v>
      </c>
      <c r="F42" s="125" t="s">
        <v>307</v>
      </c>
      <c r="G42" s="123"/>
      <c r="H42" s="123" t="s">
        <v>722</v>
      </c>
      <c r="I42" s="123" t="s">
        <v>883</v>
      </c>
      <c r="J42" s="122">
        <v>1005002135</v>
      </c>
      <c r="K42" s="123" t="s">
        <v>772</v>
      </c>
      <c r="L42" s="123" t="s">
        <v>11</v>
      </c>
      <c r="M42" s="122">
        <v>1001026853</v>
      </c>
      <c r="N42" s="122">
        <v>1004026853</v>
      </c>
      <c r="O42" s="123" t="s">
        <v>144</v>
      </c>
      <c r="P42" s="123" t="s">
        <v>145</v>
      </c>
      <c r="Q42" s="123" t="s">
        <v>867</v>
      </c>
      <c r="R42" s="123" t="s">
        <v>142</v>
      </c>
      <c r="S42" s="123" t="s">
        <v>609</v>
      </c>
      <c r="T42" s="123" t="s">
        <v>148</v>
      </c>
      <c r="U42" s="124">
        <v>400000</v>
      </c>
      <c r="V42" s="123" t="s">
        <v>146</v>
      </c>
      <c r="W42" s="124">
        <v>398285</v>
      </c>
      <c r="X42" s="123" t="s">
        <v>146</v>
      </c>
      <c r="Y42" s="122">
        <v>5.4</v>
      </c>
      <c r="Z42" s="122">
        <v>0.27</v>
      </c>
      <c r="AA42" s="122">
        <v>0</v>
      </c>
      <c r="AB42" s="122">
        <v>0</v>
      </c>
      <c r="AC42" s="123" t="s">
        <v>724</v>
      </c>
      <c r="AD42" s="123" t="s">
        <v>147</v>
      </c>
      <c r="AE42" s="143">
        <v>398285</v>
      </c>
      <c r="AF42" s="144" t="s">
        <v>146</v>
      </c>
      <c r="AG42" s="143">
        <v>19152875</v>
      </c>
      <c r="AH42" s="144"/>
      <c r="AI42" s="143">
        <v>19152875</v>
      </c>
    </row>
    <row r="43" spans="1:35">
      <c r="A43" s="123"/>
      <c r="B43" s="123"/>
      <c r="C43" s="123"/>
      <c r="D43" s="123"/>
      <c r="E43" s="123" t="s">
        <v>863</v>
      </c>
      <c r="F43" s="125" t="s">
        <v>307</v>
      </c>
      <c r="G43" s="123"/>
      <c r="H43" s="123" t="s">
        <v>722</v>
      </c>
      <c r="I43" s="123" t="s">
        <v>883</v>
      </c>
      <c r="J43" s="122">
        <v>1005002138</v>
      </c>
      <c r="K43" s="123" t="s">
        <v>772</v>
      </c>
      <c r="L43" s="123" t="s">
        <v>11</v>
      </c>
      <c r="M43" s="122">
        <v>1001026873</v>
      </c>
      <c r="N43" s="122">
        <v>1004026873</v>
      </c>
      <c r="O43" s="123" t="s">
        <v>144</v>
      </c>
      <c r="P43" s="123" t="s">
        <v>145</v>
      </c>
      <c r="Q43" s="123" t="s">
        <v>867</v>
      </c>
      <c r="R43" s="123" t="s">
        <v>142</v>
      </c>
      <c r="S43" s="123" t="s">
        <v>609</v>
      </c>
      <c r="T43" s="123" t="s">
        <v>148</v>
      </c>
      <c r="U43" s="124">
        <v>225000</v>
      </c>
      <c r="V43" s="123" t="s">
        <v>146</v>
      </c>
      <c r="W43" s="124">
        <v>224047</v>
      </c>
      <c r="X43" s="123" t="s">
        <v>146</v>
      </c>
      <c r="Y43" s="122">
        <v>5.29</v>
      </c>
      <c r="Z43" s="122">
        <v>0.26</v>
      </c>
      <c r="AA43" s="122">
        <v>0</v>
      </c>
      <c r="AB43" s="122">
        <v>0</v>
      </c>
      <c r="AC43" s="123" t="s">
        <v>724</v>
      </c>
      <c r="AD43" s="123" t="s">
        <v>147</v>
      </c>
      <c r="AE43" s="143">
        <v>224047</v>
      </c>
      <c r="AF43" s="144" t="s">
        <v>146</v>
      </c>
      <c r="AG43" s="143">
        <v>8825225</v>
      </c>
      <c r="AH43" s="144"/>
      <c r="AI43" s="143">
        <v>8825225</v>
      </c>
    </row>
    <row r="44" spans="1:35">
      <c r="A44" s="123"/>
      <c r="B44" s="123"/>
      <c r="C44" s="123"/>
      <c r="D44" s="123"/>
      <c r="E44" s="123" t="s">
        <v>863</v>
      </c>
      <c r="F44" s="125" t="s">
        <v>307</v>
      </c>
      <c r="G44" s="123"/>
      <c r="H44" s="123" t="s">
        <v>722</v>
      </c>
      <c r="I44" s="123" t="s">
        <v>883</v>
      </c>
      <c r="J44" s="122">
        <v>1005002201</v>
      </c>
      <c r="K44" s="123" t="s">
        <v>729</v>
      </c>
      <c r="L44" s="123" t="s">
        <v>11</v>
      </c>
      <c r="M44" s="122">
        <v>1001027047</v>
      </c>
      <c r="N44" s="122">
        <v>1004027047</v>
      </c>
      <c r="O44" s="123" t="s">
        <v>144</v>
      </c>
      <c r="P44" s="123" t="s">
        <v>145</v>
      </c>
      <c r="Q44" s="123" t="s">
        <v>867</v>
      </c>
      <c r="R44" s="123" t="s">
        <v>142</v>
      </c>
      <c r="S44" s="123" t="s">
        <v>609</v>
      </c>
      <c r="T44" s="123" t="s">
        <v>148</v>
      </c>
      <c r="U44" s="124">
        <v>175000</v>
      </c>
      <c r="V44" s="123" t="s">
        <v>146</v>
      </c>
      <c r="W44" s="124">
        <v>174404</v>
      </c>
      <c r="X44" s="123" t="s">
        <v>146</v>
      </c>
      <c r="Y44" s="122">
        <v>5.39</v>
      </c>
      <c r="Z44" s="122">
        <v>0.26</v>
      </c>
      <c r="AA44" s="122">
        <v>0</v>
      </c>
      <c r="AB44" s="122">
        <v>0</v>
      </c>
      <c r="AC44" s="123" t="s">
        <v>724</v>
      </c>
      <c r="AD44" s="123" t="s">
        <v>147</v>
      </c>
      <c r="AE44" s="143">
        <v>174404</v>
      </c>
      <c r="AF44" s="144" t="s">
        <v>146</v>
      </c>
      <c r="AG44" s="143">
        <v>7882700</v>
      </c>
      <c r="AH44" s="144"/>
      <c r="AI44" s="143">
        <v>7882700</v>
      </c>
    </row>
    <row r="45" spans="1:35">
      <c r="A45" s="123"/>
      <c r="B45" s="123"/>
      <c r="C45" s="123"/>
      <c r="D45" s="123"/>
      <c r="E45" s="123" t="s">
        <v>863</v>
      </c>
      <c r="F45" s="125" t="s">
        <v>307</v>
      </c>
      <c r="G45" s="123"/>
      <c r="H45" s="123" t="s">
        <v>722</v>
      </c>
      <c r="I45" s="123" t="s">
        <v>883</v>
      </c>
      <c r="J45" s="122">
        <v>1005002197</v>
      </c>
      <c r="K45" s="123" t="s">
        <v>729</v>
      </c>
      <c r="L45" s="123" t="s">
        <v>11</v>
      </c>
      <c r="M45" s="122">
        <v>1001027081</v>
      </c>
      <c r="N45" s="122">
        <v>1004027081</v>
      </c>
      <c r="O45" s="123" t="s">
        <v>144</v>
      </c>
      <c r="P45" s="123" t="s">
        <v>145</v>
      </c>
      <c r="Q45" s="123" t="s">
        <v>867</v>
      </c>
      <c r="R45" s="123" t="s">
        <v>142</v>
      </c>
      <c r="S45" s="123" t="s">
        <v>609</v>
      </c>
      <c r="T45" s="123" t="s">
        <v>148</v>
      </c>
      <c r="U45" s="124">
        <v>325000</v>
      </c>
      <c r="V45" s="123" t="s">
        <v>146</v>
      </c>
      <c r="W45" s="124">
        <v>323737</v>
      </c>
      <c r="X45" s="123" t="s">
        <v>146</v>
      </c>
      <c r="Y45" s="122">
        <v>5.42</v>
      </c>
      <c r="Z45" s="122">
        <v>0.28999999999999998</v>
      </c>
      <c r="AA45" s="122">
        <v>0</v>
      </c>
      <c r="AB45" s="122">
        <v>0</v>
      </c>
      <c r="AC45" s="123" t="s">
        <v>724</v>
      </c>
      <c r="AD45" s="123" t="s">
        <v>147</v>
      </c>
      <c r="AE45" s="143">
        <v>323737</v>
      </c>
      <c r="AF45" s="144" t="s">
        <v>146</v>
      </c>
      <c r="AG45" s="143">
        <v>16276325</v>
      </c>
      <c r="AH45" s="144"/>
      <c r="AI45" s="143">
        <v>16276325</v>
      </c>
    </row>
    <row r="46" spans="1:35">
      <c r="A46" s="123"/>
      <c r="B46" s="123"/>
      <c r="C46" s="123"/>
      <c r="D46" s="123"/>
      <c r="E46" s="123" t="s">
        <v>863</v>
      </c>
      <c r="F46" s="125" t="s">
        <v>307</v>
      </c>
      <c r="G46" s="123"/>
      <c r="H46" s="123" t="s">
        <v>722</v>
      </c>
      <c r="I46" s="123" t="s">
        <v>883</v>
      </c>
      <c r="J46" s="122">
        <v>1005002198</v>
      </c>
      <c r="K46" s="123" t="s">
        <v>729</v>
      </c>
      <c r="L46" s="123" t="s">
        <v>11</v>
      </c>
      <c r="M46" s="122">
        <v>1001027129</v>
      </c>
      <c r="N46" s="122">
        <v>1004027129</v>
      </c>
      <c r="O46" s="123" t="s">
        <v>144</v>
      </c>
      <c r="P46" s="123" t="s">
        <v>145</v>
      </c>
      <c r="Q46" s="123" t="s">
        <v>867</v>
      </c>
      <c r="R46" s="123" t="s">
        <v>142</v>
      </c>
      <c r="S46" s="123" t="s">
        <v>609</v>
      </c>
      <c r="T46" s="123" t="s">
        <v>148</v>
      </c>
      <c r="U46" s="124">
        <v>700000</v>
      </c>
      <c r="V46" s="123" t="s">
        <v>146</v>
      </c>
      <c r="W46" s="124">
        <v>697586</v>
      </c>
      <c r="X46" s="123" t="s">
        <v>146</v>
      </c>
      <c r="Y46" s="122">
        <v>5.41</v>
      </c>
      <c r="Z46" s="122">
        <v>0.27</v>
      </c>
      <c r="AA46" s="122">
        <v>0</v>
      </c>
      <c r="AB46" s="122">
        <v>0</v>
      </c>
      <c r="AC46" s="123" t="s">
        <v>724</v>
      </c>
      <c r="AD46" s="123" t="s">
        <v>147</v>
      </c>
      <c r="AE46" s="143">
        <v>573579</v>
      </c>
      <c r="AF46" s="144" t="s">
        <v>146</v>
      </c>
      <c r="AG46" s="143">
        <v>29249975</v>
      </c>
      <c r="AH46" s="144"/>
      <c r="AI46" s="143">
        <v>29249975</v>
      </c>
    </row>
    <row r="47" spans="1:35">
      <c r="A47" s="123"/>
      <c r="B47" s="123"/>
      <c r="C47" s="123"/>
      <c r="D47" s="123"/>
      <c r="E47" s="123" t="s">
        <v>863</v>
      </c>
      <c r="F47" s="125" t="s">
        <v>307</v>
      </c>
      <c r="G47" s="123"/>
      <c r="H47" s="123" t="s">
        <v>722</v>
      </c>
      <c r="I47" s="123" t="s">
        <v>883</v>
      </c>
      <c r="J47" s="122">
        <v>1005002200</v>
      </c>
      <c r="K47" s="123" t="s">
        <v>729</v>
      </c>
      <c r="L47" s="123" t="s">
        <v>11</v>
      </c>
      <c r="M47" s="122">
        <v>1001027170</v>
      </c>
      <c r="N47" s="122">
        <v>1004027170</v>
      </c>
      <c r="O47" s="123" t="s">
        <v>144</v>
      </c>
      <c r="P47" s="123" t="s">
        <v>145</v>
      </c>
      <c r="Q47" s="123" t="s">
        <v>867</v>
      </c>
      <c r="R47" s="123" t="s">
        <v>142</v>
      </c>
      <c r="S47" s="123" t="s">
        <v>609</v>
      </c>
      <c r="T47" s="123" t="s">
        <v>148</v>
      </c>
      <c r="U47" s="124">
        <v>125000</v>
      </c>
      <c r="V47" s="123" t="s">
        <v>146</v>
      </c>
      <c r="W47" s="124">
        <v>124529</v>
      </c>
      <c r="X47" s="123" t="s">
        <v>146</v>
      </c>
      <c r="Y47" s="122">
        <v>5.44</v>
      </c>
      <c r="Z47" s="122">
        <v>0.26</v>
      </c>
      <c r="AA47" s="122">
        <v>0</v>
      </c>
      <c r="AB47" s="122">
        <v>0</v>
      </c>
      <c r="AC47" s="123" t="s">
        <v>724</v>
      </c>
      <c r="AD47" s="123" t="s">
        <v>147</v>
      </c>
      <c r="AE47" s="143">
        <v>122186</v>
      </c>
      <c r="AF47" s="144" t="s">
        <v>146</v>
      </c>
      <c r="AG47" s="143">
        <v>6109300</v>
      </c>
      <c r="AH47" s="144"/>
      <c r="AI47" s="143">
        <v>6109300</v>
      </c>
    </row>
    <row r="48" spans="1:35">
      <c r="A48" s="123"/>
      <c r="B48" s="123"/>
      <c r="C48" s="123"/>
      <c r="D48" s="123"/>
      <c r="E48" s="123" t="s">
        <v>863</v>
      </c>
      <c r="F48" s="125" t="s">
        <v>307</v>
      </c>
      <c r="G48" s="123"/>
      <c r="H48" s="123" t="s">
        <v>722</v>
      </c>
      <c r="I48" s="123" t="s">
        <v>883</v>
      </c>
      <c r="J48" s="122">
        <v>1005002227</v>
      </c>
      <c r="K48" s="123" t="s">
        <v>51</v>
      </c>
      <c r="L48" s="123" t="s">
        <v>11</v>
      </c>
      <c r="M48" s="122">
        <v>1001027196</v>
      </c>
      <c r="N48" s="122">
        <v>1004027196</v>
      </c>
      <c r="O48" s="123" t="s">
        <v>144</v>
      </c>
      <c r="P48" s="123" t="s">
        <v>145</v>
      </c>
      <c r="Q48" s="123" t="s">
        <v>867</v>
      </c>
      <c r="R48" s="123" t="s">
        <v>142</v>
      </c>
      <c r="S48" s="123" t="s">
        <v>609</v>
      </c>
      <c r="T48" s="123" t="s">
        <v>148</v>
      </c>
      <c r="U48" s="124">
        <v>225000</v>
      </c>
      <c r="V48" s="123" t="s">
        <v>146</v>
      </c>
      <c r="W48" s="124">
        <v>224251</v>
      </c>
      <c r="X48" s="123" t="s">
        <v>146</v>
      </c>
      <c r="Y48" s="122">
        <v>5.0999999999999996</v>
      </c>
      <c r="Z48" s="122">
        <v>0.26</v>
      </c>
      <c r="AA48" s="122">
        <v>0</v>
      </c>
      <c r="AB48" s="122">
        <v>0</v>
      </c>
      <c r="AC48" s="123" t="s">
        <v>724</v>
      </c>
      <c r="AD48" s="123" t="s">
        <v>147</v>
      </c>
      <c r="AE48" s="143">
        <v>182101</v>
      </c>
      <c r="AF48" s="144" t="s">
        <v>146</v>
      </c>
      <c r="AG48" s="143">
        <v>4616125</v>
      </c>
      <c r="AH48" s="144"/>
      <c r="AI48" s="143">
        <v>4616125</v>
      </c>
    </row>
    <row r="49" spans="1:35">
      <c r="A49" s="123"/>
      <c r="B49" s="123"/>
      <c r="C49" s="123"/>
      <c r="D49" s="123"/>
      <c r="E49" s="123" t="s">
        <v>863</v>
      </c>
      <c r="F49" s="125" t="s">
        <v>307</v>
      </c>
      <c r="G49" s="123"/>
      <c r="H49" s="123" t="s">
        <v>722</v>
      </c>
      <c r="I49" s="123" t="s">
        <v>883</v>
      </c>
      <c r="J49" s="122">
        <v>1005002226</v>
      </c>
      <c r="K49" s="123" t="s">
        <v>51</v>
      </c>
      <c r="L49" s="123" t="s">
        <v>11</v>
      </c>
      <c r="M49" s="122">
        <v>1001027247</v>
      </c>
      <c r="N49" s="122">
        <v>1004027247</v>
      </c>
      <c r="O49" s="123" t="s">
        <v>144</v>
      </c>
      <c r="P49" s="123" t="s">
        <v>145</v>
      </c>
      <c r="Q49" s="123" t="s">
        <v>867</v>
      </c>
      <c r="R49" s="123" t="s">
        <v>142</v>
      </c>
      <c r="S49" s="123" t="s">
        <v>609</v>
      </c>
      <c r="T49" s="123" t="s">
        <v>148</v>
      </c>
      <c r="U49" s="124">
        <v>175000</v>
      </c>
      <c r="V49" s="123" t="s">
        <v>146</v>
      </c>
      <c r="W49" s="124">
        <v>174223</v>
      </c>
      <c r="X49" s="123" t="s">
        <v>146</v>
      </c>
      <c r="Y49" s="122">
        <v>5.09</v>
      </c>
      <c r="Z49" s="122">
        <v>0.25</v>
      </c>
      <c r="AA49" s="122">
        <v>0</v>
      </c>
      <c r="AB49" s="122">
        <v>0</v>
      </c>
      <c r="AC49" s="123" t="s">
        <v>724</v>
      </c>
      <c r="AD49" s="123" t="s">
        <v>147</v>
      </c>
      <c r="AE49" s="143">
        <v>166073</v>
      </c>
      <c r="AF49" s="144" t="s">
        <v>146</v>
      </c>
      <c r="AG49" s="143">
        <v>4151825</v>
      </c>
      <c r="AH49" s="144"/>
      <c r="AI49" s="143">
        <v>4151825</v>
      </c>
    </row>
    <row r="50" spans="1:35">
      <c r="A50" s="90"/>
      <c r="B50" s="90" t="s">
        <v>149</v>
      </c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145">
        <v>7454932</v>
      </c>
      <c r="AF50" s="146" t="s">
        <v>146</v>
      </c>
      <c r="AG50" s="145">
        <v>359904600</v>
      </c>
      <c r="AH50" s="146"/>
      <c r="AI50" s="145">
        <v>359904600</v>
      </c>
    </row>
    <row r="51" spans="1:35">
      <c r="A51" s="122">
        <v>4</v>
      </c>
      <c r="B51" s="123" t="s">
        <v>784</v>
      </c>
      <c r="C51" s="123" t="s">
        <v>785</v>
      </c>
      <c r="D51" s="123" t="s">
        <v>786</v>
      </c>
      <c r="E51" s="123" t="s">
        <v>863</v>
      </c>
      <c r="F51" s="123" t="s">
        <v>785</v>
      </c>
      <c r="G51" s="123" t="s">
        <v>864</v>
      </c>
      <c r="H51" s="123" t="s">
        <v>726</v>
      </c>
      <c r="I51" s="123" t="s">
        <v>884</v>
      </c>
      <c r="J51" s="122">
        <v>1005001998</v>
      </c>
      <c r="K51" s="123" t="s">
        <v>741</v>
      </c>
      <c r="L51" s="123" t="s">
        <v>70</v>
      </c>
      <c r="M51" s="122">
        <v>1001026009</v>
      </c>
      <c r="N51" s="122">
        <v>1004026009</v>
      </c>
      <c r="O51" s="123" t="s">
        <v>351</v>
      </c>
      <c r="P51" s="123" t="s">
        <v>352</v>
      </c>
      <c r="Q51" s="123" t="s">
        <v>866</v>
      </c>
      <c r="R51" s="123" t="s">
        <v>142</v>
      </c>
      <c r="S51" s="123" t="s">
        <v>609</v>
      </c>
      <c r="T51" s="123" t="s">
        <v>148</v>
      </c>
      <c r="U51" s="124">
        <v>300170</v>
      </c>
      <c r="V51" s="123" t="s">
        <v>146</v>
      </c>
      <c r="W51" s="124">
        <v>299690</v>
      </c>
      <c r="X51" s="123" t="s">
        <v>146</v>
      </c>
      <c r="Y51" s="122">
        <v>6.26</v>
      </c>
      <c r="Z51" s="122">
        <v>7.71</v>
      </c>
      <c r="AA51" s="122">
        <v>8.9700000000000006</v>
      </c>
      <c r="AB51" s="122">
        <v>0</v>
      </c>
      <c r="AC51" s="123" t="s">
        <v>724</v>
      </c>
      <c r="AD51" s="123" t="s">
        <v>147</v>
      </c>
      <c r="AE51" s="143">
        <v>3021.2</v>
      </c>
      <c r="AF51" s="144" t="s">
        <v>146</v>
      </c>
      <c r="AG51" s="143">
        <v>34441554</v>
      </c>
      <c r="AH51" s="144"/>
      <c r="AI51" s="143">
        <v>34441554</v>
      </c>
    </row>
    <row r="52" spans="1:35">
      <c r="A52" s="123"/>
      <c r="B52" s="123"/>
      <c r="C52" s="123"/>
      <c r="D52" s="123"/>
      <c r="E52" s="123" t="s">
        <v>863</v>
      </c>
      <c r="F52" s="125" t="s">
        <v>785</v>
      </c>
      <c r="G52" s="123"/>
      <c r="H52" s="123" t="s">
        <v>726</v>
      </c>
      <c r="I52" s="123" t="s">
        <v>884</v>
      </c>
      <c r="J52" s="122">
        <v>1005001999</v>
      </c>
      <c r="K52" s="123" t="s">
        <v>741</v>
      </c>
      <c r="L52" s="123" t="s">
        <v>70</v>
      </c>
      <c r="M52" s="122">
        <v>1001026009</v>
      </c>
      <c r="N52" s="122">
        <v>1004026009</v>
      </c>
      <c r="O52" s="123" t="s">
        <v>351</v>
      </c>
      <c r="P52" s="123" t="s">
        <v>352</v>
      </c>
      <c r="Q52" s="123" t="s">
        <v>866</v>
      </c>
      <c r="R52" s="123" t="s">
        <v>142</v>
      </c>
      <c r="S52" s="123" t="s">
        <v>609</v>
      </c>
      <c r="T52" s="123" t="s">
        <v>148</v>
      </c>
      <c r="U52" s="124">
        <v>300170</v>
      </c>
      <c r="V52" s="123" t="s">
        <v>146</v>
      </c>
      <c r="W52" s="124">
        <v>299690</v>
      </c>
      <c r="X52" s="123" t="s">
        <v>146</v>
      </c>
      <c r="Y52" s="122">
        <v>5.93</v>
      </c>
      <c r="Z52" s="122">
        <v>7.68</v>
      </c>
      <c r="AA52" s="122">
        <v>8.99</v>
      </c>
      <c r="AB52" s="122">
        <v>0</v>
      </c>
      <c r="AC52" s="123" t="s">
        <v>724</v>
      </c>
      <c r="AD52" s="123" t="s">
        <v>147</v>
      </c>
      <c r="AE52" s="143">
        <v>3417.47</v>
      </c>
      <c r="AF52" s="144" t="s">
        <v>146</v>
      </c>
      <c r="AG52" s="143">
        <v>38959158</v>
      </c>
      <c r="AH52" s="144"/>
      <c r="AI52" s="143">
        <v>38959158</v>
      </c>
    </row>
    <row r="53" spans="1:35">
      <c r="A53" s="123"/>
      <c r="B53" s="123"/>
      <c r="C53" s="123"/>
      <c r="D53" s="123"/>
      <c r="E53" s="123" t="s">
        <v>863</v>
      </c>
      <c r="F53" s="125" t="s">
        <v>785</v>
      </c>
      <c r="G53" s="123"/>
      <c r="H53" s="123" t="s">
        <v>726</v>
      </c>
      <c r="I53" s="123" t="s">
        <v>885</v>
      </c>
      <c r="J53" s="122">
        <v>1005002293</v>
      </c>
      <c r="K53" s="123" t="s">
        <v>65</v>
      </c>
      <c r="L53" s="123" t="s">
        <v>90</v>
      </c>
      <c r="M53" s="122">
        <v>1001026586</v>
      </c>
      <c r="N53" s="122">
        <v>1004026586</v>
      </c>
      <c r="O53" s="123" t="s">
        <v>351</v>
      </c>
      <c r="P53" s="123" t="s">
        <v>352</v>
      </c>
      <c r="Q53" s="123" t="s">
        <v>866</v>
      </c>
      <c r="R53" s="123" t="s">
        <v>142</v>
      </c>
      <c r="S53" s="123" t="s">
        <v>609</v>
      </c>
      <c r="T53" s="123" t="s">
        <v>148</v>
      </c>
      <c r="U53" s="124">
        <v>253100</v>
      </c>
      <c r="V53" s="123" t="s">
        <v>146</v>
      </c>
      <c r="W53" s="124">
        <v>252800</v>
      </c>
      <c r="X53" s="123" t="s">
        <v>146</v>
      </c>
      <c r="Y53" s="122">
        <v>6.35</v>
      </c>
      <c r="Z53" s="122">
        <v>8.1300000000000008</v>
      </c>
      <c r="AA53" s="122">
        <v>9.1300000000000008</v>
      </c>
      <c r="AB53" s="122">
        <v>0</v>
      </c>
      <c r="AC53" s="123" t="s">
        <v>724</v>
      </c>
      <c r="AD53" s="123" t="s">
        <v>147</v>
      </c>
      <c r="AE53" s="143">
        <v>2657.16</v>
      </c>
      <c r="AF53" s="144" t="s">
        <v>146</v>
      </c>
      <c r="AG53" s="143">
        <v>28298754</v>
      </c>
      <c r="AH53" s="144"/>
      <c r="AI53" s="143">
        <v>28298754</v>
      </c>
    </row>
    <row r="54" spans="1:35">
      <c r="A54" s="123"/>
      <c r="B54" s="123"/>
      <c r="C54" s="123"/>
      <c r="D54" s="123"/>
      <c r="E54" s="123" t="s">
        <v>863</v>
      </c>
      <c r="F54" s="125" t="s">
        <v>785</v>
      </c>
      <c r="G54" s="123"/>
      <c r="H54" s="123" t="s">
        <v>726</v>
      </c>
      <c r="I54" s="123" t="s">
        <v>885</v>
      </c>
      <c r="J54" s="122">
        <v>1005002294</v>
      </c>
      <c r="K54" s="123" t="s">
        <v>65</v>
      </c>
      <c r="L54" s="123" t="s">
        <v>90</v>
      </c>
      <c r="M54" s="122">
        <v>1001026586</v>
      </c>
      <c r="N54" s="122">
        <v>1004026586</v>
      </c>
      <c r="O54" s="123" t="s">
        <v>351</v>
      </c>
      <c r="P54" s="123" t="s">
        <v>352</v>
      </c>
      <c r="Q54" s="123" t="s">
        <v>866</v>
      </c>
      <c r="R54" s="123" t="s">
        <v>142</v>
      </c>
      <c r="S54" s="123" t="s">
        <v>609</v>
      </c>
      <c r="T54" s="123" t="s">
        <v>148</v>
      </c>
      <c r="U54" s="124">
        <v>253100</v>
      </c>
      <c r="V54" s="123" t="s">
        <v>146</v>
      </c>
      <c r="W54" s="124">
        <v>252800</v>
      </c>
      <c r="X54" s="123" t="s">
        <v>146</v>
      </c>
      <c r="Y54" s="122">
        <v>5.8</v>
      </c>
      <c r="Z54" s="122">
        <v>8.2899999999999991</v>
      </c>
      <c r="AA54" s="122">
        <v>9.51</v>
      </c>
      <c r="AB54" s="122">
        <v>0</v>
      </c>
      <c r="AC54" s="123" t="s">
        <v>724</v>
      </c>
      <c r="AD54" s="123" t="s">
        <v>147</v>
      </c>
      <c r="AE54" s="143">
        <v>4686.22</v>
      </c>
      <c r="AF54" s="144" t="s">
        <v>146</v>
      </c>
      <c r="AG54" s="143">
        <v>49908243</v>
      </c>
      <c r="AH54" s="144"/>
      <c r="AI54" s="143">
        <v>49908243</v>
      </c>
    </row>
    <row r="55" spans="1:35">
      <c r="A55" s="90"/>
      <c r="B55" s="90" t="s">
        <v>149</v>
      </c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145">
        <v>13782.05</v>
      </c>
      <c r="AF55" s="146" t="s">
        <v>146</v>
      </c>
      <c r="AG55" s="145">
        <v>151607709</v>
      </c>
      <c r="AH55" s="146"/>
      <c r="AI55" s="145">
        <v>151607709</v>
      </c>
    </row>
    <row r="56" spans="1:35">
      <c r="A56" s="122">
        <v>5</v>
      </c>
      <c r="B56" s="123" t="s">
        <v>800</v>
      </c>
      <c r="C56" s="123" t="s">
        <v>801</v>
      </c>
      <c r="D56" s="123" t="s">
        <v>401</v>
      </c>
      <c r="E56" s="123" t="s">
        <v>863</v>
      </c>
      <c r="F56" s="123" t="s">
        <v>801</v>
      </c>
      <c r="G56" s="123" t="s">
        <v>864</v>
      </c>
      <c r="H56" s="123" t="s">
        <v>722</v>
      </c>
      <c r="I56" s="123" t="s">
        <v>883</v>
      </c>
      <c r="J56" s="122">
        <v>9145000184</v>
      </c>
      <c r="K56" s="123" t="s">
        <v>10</v>
      </c>
      <c r="L56" s="123" t="s">
        <v>90</v>
      </c>
      <c r="M56" s="122">
        <v>9141001854</v>
      </c>
      <c r="N56" s="122">
        <v>9144101854</v>
      </c>
      <c r="O56" s="123" t="s">
        <v>144</v>
      </c>
      <c r="P56" s="123" t="s">
        <v>145</v>
      </c>
      <c r="Q56" s="123" t="s">
        <v>867</v>
      </c>
      <c r="R56" s="123" t="s">
        <v>142</v>
      </c>
      <c r="S56" s="123" t="s">
        <v>609</v>
      </c>
      <c r="T56" s="123" t="s">
        <v>162</v>
      </c>
      <c r="U56" s="124">
        <v>753990</v>
      </c>
      <c r="V56" s="123" t="s">
        <v>146</v>
      </c>
      <c r="W56" s="124">
        <v>753990</v>
      </c>
      <c r="X56" s="123" t="s">
        <v>146</v>
      </c>
      <c r="Y56" s="122">
        <v>5.1100000000000003</v>
      </c>
      <c r="Z56" s="122">
        <v>0.28999999999999998</v>
      </c>
      <c r="AA56" s="122">
        <v>0</v>
      </c>
      <c r="AB56" s="122">
        <v>0</v>
      </c>
      <c r="AC56" s="123" t="s">
        <v>724</v>
      </c>
      <c r="AD56" s="123" t="s">
        <v>147</v>
      </c>
      <c r="AE56" s="143">
        <v>24920</v>
      </c>
      <c r="AF56" s="144" t="s">
        <v>146</v>
      </c>
      <c r="AG56" s="143">
        <v>2492000</v>
      </c>
      <c r="AH56" s="143">
        <v>274120</v>
      </c>
      <c r="AI56" s="143">
        <v>2766120</v>
      </c>
    </row>
    <row r="57" spans="1:35">
      <c r="A57" s="90"/>
      <c r="B57" s="90" t="s">
        <v>149</v>
      </c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145">
        <v>24920</v>
      </c>
      <c r="AF57" s="146" t="s">
        <v>146</v>
      </c>
      <c r="AG57" s="145">
        <v>2492000</v>
      </c>
      <c r="AH57" s="145">
        <v>274120</v>
      </c>
      <c r="AI57" s="145">
        <v>2766120</v>
      </c>
    </row>
    <row r="58" spans="1:35">
      <c r="A58" s="122">
        <v>6</v>
      </c>
      <c r="B58" s="123" t="s">
        <v>802</v>
      </c>
      <c r="C58" s="123" t="s">
        <v>803</v>
      </c>
      <c r="D58" s="123" t="s">
        <v>804</v>
      </c>
      <c r="E58" s="123" t="s">
        <v>863</v>
      </c>
      <c r="F58" s="123" t="s">
        <v>803</v>
      </c>
      <c r="G58" s="123" t="s">
        <v>864</v>
      </c>
      <c r="H58" s="123" t="s">
        <v>722</v>
      </c>
      <c r="I58" s="123" t="s">
        <v>883</v>
      </c>
      <c r="J58" s="122">
        <v>1005002264</v>
      </c>
      <c r="K58" s="123" t="s">
        <v>753</v>
      </c>
      <c r="L58" s="123" t="s">
        <v>70</v>
      </c>
      <c r="M58" s="122">
        <v>1001026665</v>
      </c>
      <c r="N58" s="122">
        <v>1004026665</v>
      </c>
      <c r="O58" s="123" t="s">
        <v>144</v>
      </c>
      <c r="P58" s="123" t="s">
        <v>145</v>
      </c>
      <c r="Q58" s="123" t="s">
        <v>867</v>
      </c>
      <c r="R58" s="123" t="s">
        <v>142</v>
      </c>
      <c r="S58" s="123" t="s">
        <v>609</v>
      </c>
      <c r="T58" s="123" t="s">
        <v>148</v>
      </c>
      <c r="U58" s="124">
        <v>1000000</v>
      </c>
      <c r="V58" s="123" t="s">
        <v>146</v>
      </c>
      <c r="W58" s="124">
        <v>999368</v>
      </c>
      <c r="X58" s="123" t="s">
        <v>146</v>
      </c>
      <c r="Y58" s="122">
        <v>5.81</v>
      </c>
      <c r="Z58" s="122">
        <v>0.24</v>
      </c>
      <c r="AA58" s="122">
        <v>0</v>
      </c>
      <c r="AB58" s="122">
        <v>0</v>
      </c>
      <c r="AC58" s="123" t="s">
        <v>724</v>
      </c>
      <c r="AD58" s="123" t="s">
        <v>147</v>
      </c>
      <c r="AE58" s="143">
        <v>202378</v>
      </c>
      <c r="AF58" s="144" t="s">
        <v>146</v>
      </c>
      <c r="AG58" s="143">
        <v>49261800</v>
      </c>
      <c r="AH58" s="144"/>
      <c r="AI58" s="143">
        <v>49261800</v>
      </c>
    </row>
    <row r="59" spans="1:35">
      <c r="A59" s="123"/>
      <c r="B59" s="123"/>
      <c r="C59" s="123"/>
      <c r="D59" s="123"/>
      <c r="E59" s="123" t="s">
        <v>863</v>
      </c>
      <c r="F59" s="125" t="s">
        <v>803</v>
      </c>
      <c r="G59" s="123"/>
      <c r="H59" s="123" t="s">
        <v>722</v>
      </c>
      <c r="I59" s="123" t="s">
        <v>883</v>
      </c>
      <c r="J59" s="122">
        <v>1005002320</v>
      </c>
      <c r="K59" s="123" t="s">
        <v>10</v>
      </c>
      <c r="L59" s="123" t="s">
        <v>90</v>
      </c>
      <c r="M59" s="122">
        <v>1001027097</v>
      </c>
      <c r="N59" s="122">
        <v>1004027097</v>
      </c>
      <c r="O59" s="123" t="s">
        <v>144</v>
      </c>
      <c r="P59" s="123" t="s">
        <v>145</v>
      </c>
      <c r="Q59" s="123" t="s">
        <v>867</v>
      </c>
      <c r="R59" s="123" t="s">
        <v>142</v>
      </c>
      <c r="S59" s="123" t="s">
        <v>609</v>
      </c>
      <c r="T59" s="123" t="s">
        <v>148</v>
      </c>
      <c r="U59" s="124">
        <v>1000000</v>
      </c>
      <c r="V59" s="123" t="s">
        <v>146</v>
      </c>
      <c r="W59" s="124">
        <v>999772</v>
      </c>
      <c r="X59" s="123" t="s">
        <v>146</v>
      </c>
      <c r="Y59" s="122">
        <v>6</v>
      </c>
      <c r="Z59" s="122">
        <v>0.28000000000000003</v>
      </c>
      <c r="AA59" s="122">
        <v>0</v>
      </c>
      <c r="AB59" s="122">
        <v>0</v>
      </c>
      <c r="AC59" s="123" t="s">
        <v>724</v>
      </c>
      <c r="AD59" s="123" t="s">
        <v>147</v>
      </c>
      <c r="AE59" s="143">
        <v>999772</v>
      </c>
      <c r="AF59" s="144" t="s">
        <v>146</v>
      </c>
      <c r="AG59" s="143">
        <v>197774200</v>
      </c>
      <c r="AH59" s="144"/>
      <c r="AI59" s="143">
        <v>197774200</v>
      </c>
    </row>
    <row r="60" spans="1:35">
      <c r="A60" s="123"/>
      <c r="B60" s="123"/>
      <c r="C60" s="123"/>
      <c r="D60" s="123"/>
      <c r="E60" s="123" t="s">
        <v>863</v>
      </c>
      <c r="F60" s="125" t="s">
        <v>803</v>
      </c>
      <c r="G60" s="123"/>
      <c r="H60" s="123" t="s">
        <v>722</v>
      </c>
      <c r="I60" s="123" t="s">
        <v>883</v>
      </c>
      <c r="J60" s="122">
        <v>1005002447</v>
      </c>
      <c r="K60" s="123" t="s">
        <v>12</v>
      </c>
      <c r="L60" s="123" t="s">
        <v>48</v>
      </c>
      <c r="M60" s="122">
        <v>1001027409</v>
      </c>
      <c r="N60" s="122">
        <v>1004027409</v>
      </c>
      <c r="O60" s="123" t="s">
        <v>144</v>
      </c>
      <c r="P60" s="123" t="s">
        <v>145</v>
      </c>
      <c r="Q60" s="123" t="s">
        <v>867</v>
      </c>
      <c r="R60" s="123" t="s">
        <v>142</v>
      </c>
      <c r="S60" s="123" t="s">
        <v>609</v>
      </c>
      <c r="T60" s="123" t="s">
        <v>148</v>
      </c>
      <c r="U60" s="124">
        <v>1000000</v>
      </c>
      <c r="V60" s="123" t="s">
        <v>146</v>
      </c>
      <c r="W60" s="124">
        <v>998200</v>
      </c>
      <c r="X60" s="123" t="s">
        <v>146</v>
      </c>
      <c r="Y60" s="122">
        <v>6.05</v>
      </c>
      <c r="Z60" s="122">
        <v>0.22</v>
      </c>
      <c r="AA60" s="122">
        <v>0</v>
      </c>
      <c r="AB60" s="122">
        <v>0</v>
      </c>
      <c r="AC60" s="123" t="s">
        <v>724</v>
      </c>
      <c r="AD60" s="123" t="s">
        <v>147</v>
      </c>
      <c r="AE60" s="143">
        <v>998200</v>
      </c>
      <c r="AF60" s="144" t="s">
        <v>146</v>
      </c>
      <c r="AG60" s="143">
        <v>315286000</v>
      </c>
      <c r="AH60" s="143">
        <v>34681460</v>
      </c>
      <c r="AI60" s="143">
        <v>349967460</v>
      </c>
    </row>
    <row r="61" spans="1:35">
      <c r="A61" s="90"/>
      <c r="B61" s="90" t="s">
        <v>149</v>
      </c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145">
        <v>2200350</v>
      </c>
      <c r="AF61" s="146" t="s">
        <v>146</v>
      </c>
      <c r="AG61" s="145">
        <v>562322000</v>
      </c>
      <c r="AH61" s="145">
        <v>34681460</v>
      </c>
      <c r="AI61" s="145">
        <v>597003460</v>
      </c>
    </row>
    <row r="62" spans="1:35">
      <c r="A62" s="122">
        <v>7</v>
      </c>
      <c r="B62" s="123" t="s">
        <v>808</v>
      </c>
      <c r="C62" s="123" t="s">
        <v>809</v>
      </c>
      <c r="D62" s="123" t="s">
        <v>252</v>
      </c>
      <c r="E62" s="123" t="s">
        <v>863</v>
      </c>
      <c r="F62" s="123" t="s">
        <v>809</v>
      </c>
      <c r="G62" s="123" t="s">
        <v>864</v>
      </c>
      <c r="H62" s="123" t="s">
        <v>722</v>
      </c>
      <c r="I62" s="123" t="s">
        <v>883</v>
      </c>
      <c r="J62" s="122">
        <v>1005002150</v>
      </c>
      <c r="K62" s="123" t="s">
        <v>62</v>
      </c>
      <c r="L62" s="123" t="s">
        <v>31</v>
      </c>
      <c r="M62" s="122">
        <v>1001026914</v>
      </c>
      <c r="N62" s="122">
        <v>1004026914</v>
      </c>
      <c r="O62" s="123" t="s">
        <v>144</v>
      </c>
      <c r="P62" s="123" t="s">
        <v>145</v>
      </c>
      <c r="Q62" s="123" t="s">
        <v>867</v>
      </c>
      <c r="R62" s="123" t="s">
        <v>142</v>
      </c>
      <c r="S62" s="123" t="s">
        <v>609</v>
      </c>
      <c r="T62" s="123" t="s">
        <v>148</v>
      </c>
      <c r="U62" s="124">
        <v>450000</v>
      </c>
      <c r="V62" s="123" t="s">
        <v>146</v>
      </c>
      <c r="W62" s="124">
        <v>447869</v>
      </c>
      <c r="X62" s="123" t="s">
        <v>146</v>
      </c>
      <c r="Y62" s="122">
        <v>5.04</v>
      </c>
      <c r="Z62" s="122">
        <v>0.3</v>
      </c>
      <c r="AA62" s="122">
        <v>0</v>
      </c>
      <c r="AB62" s="122">
        <v>0</v>
      </c>
      <c r="AC62" s="123" t="s">
        <v>724</v>
      </c>
      <c r="AD62" s="123" t="s">
        <v>147</v>
      </c>
      <c r="AE62" s="143">
        <v>80250</v>
      </c>
      <c r="AF62" s="144" t="s">
        <v>146</v>
      </c>
      <c r="AG62" s="143">
        <v>2006250</v>
      </c>
      <c r="AH62" s="144"/>
      <c r="AI62" s="143">
        <v>2006250</v>
      </c>
    </row>
    <row r="63" spans="1:35">
      <c r="A63" s="90"/>
      <c r="B63" s="90" t="s">
        <v>149</v>
      </c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145">
        <v>80250</v>
      </c>
      <c r="AF63" s="146" t="s">
        <v>146</v>
      </c>
      <c r="AG63" s="145">
        <v>2006250</v>
      </c>
      <c r="AH63" s="146"/>
      <c r="AI63" s="145">
        <v>2006250</v>
      </c>
    </row>
    <row r="64" spans="1:35">
      <c r="A64" s="122">
        <v>8</v>
      </c>
      <c r="B64" s="123" t="s">
        <v>439</v>
      </c>
      <c r="C64" s="123" t="s">
        <v>440</v>
      </c>
      <c r="D64" s="123" t="s">
        <v>441</v>
      </c>
      <c r="E64" s="123" t="s">
        <v>863</v>
      </c>
      <c r="F64" s="123" t="s">
        <v>307</v>
      </c>
      <c r="G64" s="123" t="s">
        <v>864</v>
      </c>
      <c r="H64" s="123" t="s">
        <v>722</v>
      </c>
      <c r="I64" s="123" t="s">
        <v>883</v>
      </c>
      <c r="J64" s="122">
        <v>1005002199</v>
      </c>
      <c r="K64" s="123" t="s">
        <v>729</v>
      </c>
      <c r="L64" s="123" t="s">
        <v>90</v>
      </c>
      <c r="M64" s="122">
        <v>1001027139</v>
      </c>
      <c r="N64" s="122">
        <v>1004027139</v>
      </c>
      <c r="O64" s="123" t="s">
        <v>144</v>
      </c>
      <c r="P64" s="123" t="s">
        <v>145</v>
      </c>
      <c r="Q64" s="123" t="s">
        <v>867</v>
      </c>
      <c r="R64" s="123" t="s">
        <v>142</v>
      </c>
      <c r="S64" s="123" t="s">
        <v>609</v>
      </c>
      <c r="T64" s="123" t="s">
        <v>148</v>
      </c>
      <c r="U64" s="124">
        <v>250000</v>
      </c>
      <c r="V64" s="123" t="s">
        <v>146</v>
      </c>
      <c r="W64" s="124">
        <v>249958</v>
      </c>
      <c r="X64" s="123" t="s">
        <v>146</v>
      </c>
      <c r="Y64" s="122">
        <v>4.75</v>
      </c>
      <c r="Z64" s="122">
        <v>0.98</v>
      </c>
      <c r="AA64" s="122">
        <v>0</v>
      </c>
      <c r="AB64" s="122">
        <v>0</v>
      </c>
      <c r="AC64" s="123" t="s">
        <v>724</v>
      </c>
      <c r="AD64" s="123" t="s">
        <v>147</v>
      </c>
      <c r="AE64" s="143">
        <v>79.150000000000006</v>
      </c>
      <c r="AF64" s="144" t="s">
        <v>146</v>
      </c>
      <c r="AG64" s="143">
        <v>1146567</v>
      </c>
      <c r="AH64" s="144"/>
      <c r="AI64" s="143">
        <v>1146567</v>
      </c>
    </row>
    <row r="65" spans="1:35">
      <c r="A65" s="90"/>
      <c r="B65" s="90" t="s">
        <v>149</v>
      </c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145">
        <v>79.150000000000006</v>
      </c>
      <c r="AF65" s="146" t="s">
        <v>146</v>
      </c>
      <c r="AG65" s="145">
        <v>1146567</v>
      </c>
      <c r="AH65" s="146"/>
      <c r="AI65" s="145">
        <v>1146567</v>
      </c>
    </row>
    <row r="66" spans="1:35">
      <c r="A66" s="122">
        <v>9</v>
      </c>
      <c r="B66" s="123" t="s">
        <v>495</v>
      </c>
      <c r="C66" s="123" t="s">
        <v>496</v>
      </c>
      <c r="D66" s="123" t="s">
        <v>497</v>
      </c>
      <c r="E66" s="123" t="s">
        <v>863</v>
      </c>
      <c r="F66" s="123" t="s">
        <v>496</v>
      </c>
      <c r="G66" s="123" t="s">
        <v>864</v>
      </c>
      <c r="H66" s="123" t="s">
        <v>726</v>
      </c>
      <c r="I66" s="123" t="s">
        <v>883</v>
      </c>
      <c r="J66" s="122">
        <v>1005002129</v>
      </c>
      <c r="K66" s="123" t="s">
        <v>771</v>
      </c>
      <c r="L66" s="123" t="s">
        <v>742</v>
      </c>
      <c r="M66" s="122">
        <v>1001026333</v>
      </c>
      <c r="N66" s="122">
        <v>1004026333</v>
      </c>
      <c r="O66" s="123" t="s">
        <v>351</v>
      </c>
      <c r="P66" s="123" t="s">
        <v>352</v>
      </c>
      <c r="Q66" s="123" t="s">
        <v>866</v>
      </c>
      <c r="R66" s="123" t="s">
        <v>142</v>
      </c>
      <c r="S66" s="123" t="s">
        <v>609</v>
      </c>
      <c r="T66" s="123" t="s">
        <v>148</v>
      </c>
      <c r="U66" s="124">
        <v>51790</v>
      </c>
      <c r="V66" s="123" t="s">
        <v>146</v>
      </c>
      <c r="W66" s="124">
        <v>51540</v>
      </c>
      <c r="X66" s="123" t="s">
        <v>146</v>
      </c>
      <c r="Y66" s="122">
        <v>5.31</v>
      </c>
      <c r="Z66" s="122">
        <v>6.83</v>
      </c>
      <c r="AA66" s="122">
        <v>10.14</v>
      </c>
      <c r="AB66" s="122">
        <v>0</v>
      </c>
      <c r="AC66" s="123" t="s">
        <v>724</v>
      </c>
      <c r="AD66" s="123" t="s">
        <v>147</v>
      </c>
      <c r="AE66" s="143">
        <v>7700</v>
      </c>
      <c r="AF66" s="144" t="s">
        <v>146</v>
      </c>
      <c r="AG66" s="143">
        <v>385000</v>
      </c>
      <c r="AH66" s="144"/>
      <c r="AI66" s="143">
        <v>385000</v>
      </c>
    </row>
    <row r="67" spans="1:35">
      <c r="A67" s="123"/>
      <c r="B67" s="123"/>
      <c r="C67" s="123"/>
      <c r="D67" s="123"/>
      <c r="E67" s="123" t="s">
        <v>863</v>
      </c>
      <c r="F67" s="125" t="s">
        <v>496</v>
      </c>
      <c r="G67" s="123"/>
      <c r="H67" s="123" t="s">
        <v>726</v>
      </c>
      <c r="I67" s="123" t="s">
        <v>883</v>
      </c>
      <c r="J67" s="122">
        <v>1005002130</v>
      </c>
      <c r="K67" s="123" t="s">
        <v>771</v>
      </c>
      <c r="L67" s="123" t="s">
        <v>742</v>
      </c>
      <c r="M67" s="122">
        <v>1001026333</v>
      </c>
      <c r="N67" s="122">
        <v>1004026333</v>
      </c>
      <c r="O67" s="123" t="s">
        <v>351</v>
      </c>
      <c r="P67" s="123" t="s">
        <v>352</v>
      </c>
      <c r="Q67" s="123" t="s">
        <v>866</v>
      </c>
      <c r="R67" s="123" t="s">
        <v>142</v>
      </c>
      <c r="S67" s="123" t="s">
        <v>609</v>
      </c>
      <c r="T67" s="123" t="s">
        <v>148</v>
      </c>
      <c r="U67" s="124">
        <v>51790</v>
      </c>
      <c r="V67" s="123" t="s">
        <v>146</v>
      </c>
      <c r="W67" s="124">
        <v>51540</v>
      </c>
      <c r="X67" s="123" t="s">
        <v>146</v>
      </c>
      <c r="Y67" s="122">
        <v>3.09</v>
      </c>
      <c r="Z67" s="122">
        <v>6.81</v>
      </c>
      <c r="AA67" s="122">
        <v>9.56</v>
      </c>
      <c r="AB67" s="122">
        <v>0</v>
      </c>
      <c r="AC67" s="123" t="s">
        <v>724</v>
      </c>
      <c r="AD67" s="123" t="s">
        <v>147</v>
      </c>
      <c r="AE67" s="143">
        <v>499.77</v>
      </c>
      <c r="AF67" s="144" t="s">
        <v>146</v>
      </c>
      <c r="AG67" s="143">
        <v>5372528</v>
      </c>
      <c r="AH67" s="144"/>
      <c r="AI67" s="143">
        <v>5372528</v>
      </c>
    </row>
    <row r="68" spans="1:35">
      <c r="A68" s="123"/>
      <c r="B68" s="123"/>
      <c r="C68" s="123"/>
      <c r="D68" s="123"/>
      <c r="E68" s="123" t="s">
        <v>863</v>
      </c>
      <c r="F68" s="125" t="s">
        <v>496</v>
      </c>
      <c r="G68" s="123"/>
      <c r="H68" s="123" t="s">
        <v>726</v>
      </c>
      <c r="I68" s="123" t="s">
        <v>884</v>
      </c>
      <c r="J68" s="122">
        <v>1005002327</v>
      </c>
      <c r="K68" s="123" t="s">
        <v>10</v>
      </c>
      <c r="L68" s="123" t="s">
        <v>90</v>
      </c>
      <c r="M68" s="122">
        <v>1001027080</v>
      </c>
      <c r="N68" s="122">
        <v>1004027080</v>
      </c>
      <c r="O68" s="123" t="s">
        <v>351</v>
      </c>
      <c r="P68" s="123" t="s">
        <v>352</v>
      </c>
      <c r="Q68" s="123" t="s">
        <v>866</v>
      </c>
      <c r="R68" s="123" t="s">
        <v>142</v>
      </c>
      <c r="S68" s="123" t="s">
        <v>609</v>
      </c>
      <c r="T68" s="123" t="s">
        <v>148</v>
      </c>
      <c r="U68" s="124">
        <v>33920</v>
      </c>
      <c r="V68" s="123" t="s">
        <v>146</v>
      </c>
      <c r="W68" s="124">
        <v>33790</v>
      </c>
      <c r="X68" s="123" t="s">
        <v>146</v>
      </c>
      <c r="Y68" s="122">
        <v>4.12</v>
      </c>
      <c r="Z68" s="122">
        <v>6.49</v>
      </c>
      <c r="AA68" s="122">
        <v>9.1</v>
      </c>
      <c r="AB68" s="122">
        <v>0</v>
      </c>
      <c r="AC68" s="123" t="s">
        <v>724</v>
      </c>
      <c r="AD68" s="123" t="s">
        <v>147</v>
      </c>
      <c r="AE68" s="143">
        <v>214.37</v>
      </c>
      <c r="AF68" s="144" t="s">
        <v>146</v>
      </c>
      <c r="AG68" s="143">
        <v>2443818</v>
      </c>
      <c r="AH68" s="144"/>
      <c r="AI68" s="143">
        <v>2443818</v>
      </c>
    </row>
    <row r="69" spans="1:35">
      <c r="A69" s="123"/>
      <c r="B69" s="123"/>
      <c r="C69" s="123"/>
      <c r="D69" s="123"/>
      <c r="E69" s="123" t="s">
        <v>863</v>
      </c>
      <c r="F69" s="125" t="s">
        <v>496</v>
      </c>
      <c r="G69" s="123"/>
      <c r="H69" s="123" t="s">
        <v>726</v>
      </c>
      <c r="I69" s="123" t="s">
        <v>884</v>
      </c>
      <c r="J69" s="122">
        <v>1005002449</v>
      </c>
      <c r="K69" s="123" t="s">
        <v>12</v>
      </c>
      <c r="L69" s="123" t="s">
        <v>9</v>
      </c>
      <c r="M69" s="122">
        <v>1001027478</v>
      </c>
      <c r="N69" s="122">
        <v>1004027478</v>
      </c>
      <c r="O69" s="123" t="s">
        <v>351</v>
      </c>
      <c r="P69" s="123" t="s">
        <v>352</v>
      </c>
      <c r="Q69" s="123" t="s">
        <v>866</v>
      </c>
      <c r="R69" s="123" t="s">
        <v>142</v>
      </c>
      <c r="S69" s="123" t="s">
        <v>609</v>
      </c>
      <c r="T69" s="123" t="s">
        <v>148</v>
      </c>
      <c r="U69" s="124">
        <v>33580</v>
      </c>
      <c r="V69" s="123" t="s">
        <v>146</v>
      </c>
      <c r="W69" s="124">
        <v>33500</v>
      </c>
      <c r="X69" s="123" t="s">
        <v>146</v>
      </c>
      <c r="Y69" s="122">
        <v>4.5199999999999996</v>
      </c>
      <c r="Z69" s="122">
        <v>6.57</v>
      </c>
      <c r="AA69" s="122">
        <v>8.5299999999999994</v>
      </c>
      <c r="AB69" s="122">
        <v>0</v>
      </c>
      <c r="AC69" s="123" t="s">
        <v>724</v>
      </c>
      <c r="AD69" s="123" t="s">
        <v>147</v>
      </c>
      <c r="AE69" s="143">
        <v>101.8</v>
      </c>
      <c r="AF69" s="144" t="s">
        <v>146</v>
      </c>
      <c r="AG69" s="143">
        <v>1211420</v>
      </c>
      <c r="AH69" s="144"/>
      <c r="AI69" s="143">
        <v>1211420</v>
      </c>
    </row>
    <row r="70" spans="1:35">
      <c r="A70" s="90"/>
      <c r="B70" s="90" t="s">
        <v>149</v>
      </c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145">
        <v>8515.94</v>
      </c>
      <c r="AF70" s="146" t="s">
        <v>146</v>
      </c>
      <c r="AG70" s="145">
        <v>9412766</v>
      </c>
      <c r="AH70" s="146"/>
      <c r="AI70" s="145">
        <v>9412766</v>
      </c>
    </row>
    <row r="71" spans="1:35">
      <c r="A71" s="122">
        <v>10</v>
      </c>
      <c r="B71" s="123" t="s">
        <v>509</v>
      </c>
      <c r="C71" s="123" t="s">
        <v>510</v>
      </c>
      <c r="D71" s="123" t="s">
        <v>511</v>
      </c>
      <c r="E71" s="123" t="s">
        <v>863</v>
      </c>
      <c r="F71" s="123" t="s">
        <v>510</v>
      </c>
      <c r="G71" s="123" t="s">
        <v>864</v>
      </c>
      <c r="H71" s="123" t="s">
        <v>726</v>
      </c>
      <c r="I71" s="123" t="s">
        <v>884</v>
      </c>
      <c r="J71" s="122">
        <v>1005002065</v>
      </c>
      <c r="K71" s="123" t="s">
        <v>8</v>
      </c>
      <c r="L71" s="123" t="s">
        <v>48</v>
      </c>
      <c r="M71" s="122">
        <v>1001026182</v>
      </c>
      <c r="N71" s="122">
        <v>1004026182</v>
      </c>
      <c r="O71" s="123" t="s">
        <v>351</v>
      </c>
      <c r="P71" s="123" t="s">
        <v>352</v>
      </c>
      <c r="Q71" s="123" t="s">
        <v>866</v>
      </c>
      <c r="R71" s="123" t="s">
        <v>142</v>
      </c>
      <c r="S71" s="123" t="s">
        <v>609</v>
      </c>
      <c r="T71" s="123" t="s">
        <v>148</v>
      </c>
      <c r="U71" s="124">
        <v>100000</v>
      </c>
      <c r="V71" s="123" t="s">
        <v>146</v>
      </c>
      <c r="W71" s="124">
        <v>99685</v>
      </c>
      <c r="X71" s="123" t="s">
        <v>146</v>
      </c>
      <c r="Y71" s="122">
        <v>5.7</v>
      </c>
      <c r="Z71" s="122">
        <v>7.52</v>
      </c>
      <c r="AA71" s="122">
        <v>8.65</v>
      </c>
      <c r="AB71" s="122">
        <v>0</v>
      </c>
      <c r="AC71" s="123" t="s">
        <v>724</v>
      </c>
      <c r="AD71" s="123" t="s">
        <v>147</v>
      </c>
      <c r="AE71" s="143">
        <v>116.09</v>
      </c>
      <c r="AF71" s="144" t="s">
        <v>146</v>
      </c>
      <c r="AG71" s="143">
        <v>1288599</v>
      </c>
      <c r="AH71" s="144"/>
      <c r="AI71" s="143">
        <v>1288599</v>
      </c>
    </row>
    <row r="72" spans="1:35">
      <c r="A72" s="123"/>
      <c r="B72" s="123"/>
      <c r="C72" s="123"/>
      <c r="D72" s="123"/>
      <c r="E72" s="123" t="s">
        <v>863</v>
      </c>
      <c r="F72" s="125" t="s">
        <v>510</v>
      </c>
      <c r="G72" s="123"/>
      <c r="H72" s="123" t="s">
        <v>726</v>
      </c>
      <c r="I72" s="123" t="s">
        <v>884</v>
      </c>
      <c r="J72" s="122">
        <v>1005002066</v>
      </c>
      <c r="K72" s="123" t="s">
        <v>8</v>
      </c>
      <c r="L72" s="123" t="s">
        <v>48</v>
      </c>
      <c r="M72" s="122">
        <v>1001026182</v>
      </c>
      <c r="N72" s="122">
        <v>1004026182</v>
      </c>
      <c r="O72" s="123" t="s">
        <v>351</v>
      </c>
      <c r="P72" s="123" t="s">
        <v>352</v>
      </c>
      <c r="Q72" s="123" t="s">
        <v>866</v>
      </c>
      <c r="R72" s="123" t="s">
        <v>142</v>
      </c>
      <c r="S72" s="123" t="s">
        <v>609</v>
      </c>
      <c r="T72" s="123" t="s">
        <v>148</v>
      </c>
      <c r="U72" s="124">
        <v>100000</v>
      </c>
      <c r="V72" s="123" t="s">
        <v>146</v>
      </c>
      <c r="W72" s="124">
        <v>99685</v>
      </c>
      <c r="X72" s="123" t="s">
        <v>146</v>
      </c>
      <c r="Y72" s="122">
        <v>5.7</v>
      </c>
      <c r="Z72" s="122">
        <v>7.52</v>
      </c>
      <c r="AA72" s="122">
        <v>8.65</v>
      </c>
      <c r="AB72" s="122">
        <v>0</v>
      </c>
      <c r="AC72" s="123" t="s">
        <v>724</v>
      </c>
      <c r="AD72" s="123" t="s">
        <v>147</v>
      </c>
      <c r="AE72" s="143">
        <v>124.47</v>
      </c>
      <c r="AF72" s="144" t="s">
        <v>146</v>
      </c>
      <c r="AG72" s="143">
        <v>1381639</v>
      </c>
      <c r="AH72" s="144"/>
      <c r="AI72" s="143">
        <v>1381639</v>
      </c>
    </row>
    <row r="73" spans="1:35">
      <c r="A73" s="123"/>
      <c r="B73" s="123"/>
      <c r="C73" s="123"/>
      <c r="D73" s="123"/>
      <c r="E73" s="123" t="s">
        <v>863</v>
      </c>
      <c r="F73" s="125" t="s">
        <v>510</v>
      </c>
      <c r="G73" s="123"/>
      <c r="H73" s="123" t="s">
        <v>726</v>
      </c>
      <c r="I73" s="123" t="s">
        <v>884</v>
      </c>
      <c r="J73" s="122">
        <v>1005002063</v>
      </c>
      <c r="K73" s="123" t="s">
        <v>8</v>
      </c>
      <c r="L73" s="123" t="s">
        <v>48</v>
      </c>
      <c r="M73" s="122">
        <v>1001026431</v>
      </c>
      <c r="N73" s="122">
        <v>1004026431</v>
      </c>
      <c r="O73" s="123" t="s">
        <v>351</v>
      </c>
      <c r="P73" s="123" t="s">
        <v>352</v>
      </c>
      <c r="Q73" s="123" t="s">
        <v>866</v>
      </c>
      <c r="R73" s="123" t="s">
        <v>142</v>
      </c>
      <c r="S73" s="123" t="s">
        <v>609</v>
      </c>
      <c r="T73" s="123" t="s">
        <v>148</v>
      </c>
      <c r="U73" s="124">
        <v>199140</v>
      </c>
      <c r="V73" s="123" t="s">
        <v>146</v>
      </c>
      <c r="W73" s="124">
        <v>200215</v>
      </c>
      <c r="X73" s="123" t="s">
        <v>146</v>
      </c>
      <c r="Y73" s="122">
        <v>6.45</v>
      </c>
      <c r="Z73" s="122">
        <v>7.3</v>
      </c>
      <c r="AA73" s="122">
        <v>8.57</v>
      </c>
      <c r="AB73" s="122">
        <v>0</v>
      </c>
      <c r="AC73" s="123" t="s">
        <v>724</v>
      </c>
      <c r="AD73" s="123" t="s">
        <v>147</v>
      </c>
      <c r="AE73" s="143">
        <v>1237.08</v>
      </c>
      <c r="AF73" s="144" t="s">
        <v>146</v>
      </c>
      <c r="AG73" s="143">
        <v>27205558</v>
      </c>
      <c r="AH73" s="144"/>
      <c r="AI73" s="143">
        <v>27205558</v>
      </c>
    </row>
    <row r="74" spans="1:35">
      <c r="A74" s="123"/>
      <c r="B74" s="123"/>
      <c r="C74" s="123"/>
      <c r="D74" s="123"/>
      <c r="E74" s="123" t="s">
        <v>863</v>
      </c>
      <c r="F74" s="125" t="s">
        <v>510</v>
      </c>
      <c r="G74" s="123"/>
      <c r="H74" s="123" t="s">
        <v>726</v>
      </c>
      <c r="I74" s="123" t="s">
        <v>884</v>
      </c>
      <c r="J74" s="122">
        <v>1005002064</v>
      </c>
      <c r="K74" s="123" t="s">
        <v>8</v>
      </c>
      <c r="L74" s="123" t="s">
        <v>48</v>
      </c>
      <c r="M74" s="122">
        <v>1001026431</v>
      </c>
      <c r="N74" s="122">
        <v>1004026431</v>
      </c>
      <c r="O74" s="123" t="s">
        <v>351</v>
      </c>
      <c r="P74" s="123" t="s">
        <v>352</v>
      </c>
      <c r="Q74" s="123" t="s">
        <v>866</v>
      </c>
      <c r="R74" s="123" t="s">
        <v>142</v>
      </c>
      <c r="S74" s="123" t="s">
        <v>609</v>
      </c>
      <c r="T74" s="123" t="s">
        <v>148</v>
      </c>
      <c r="U74" s="124">
        <v>199140</v>
      </c>
      <c r="V74" s="123" t="s">
        <v>146</v>
      </c>
      <c r="W74" s="124">
        <v>200215</v>
      </c>
      <c r="X74" s="123" t="s">
        <v>146</v>
      </c>
      <c r="Y74" s="122">
        <v>5.98</v>
      </c>
      <c r="Z74" s="122">
        <v>7.53</v>
      </c>
      <c r="AA74" s="122">
        <v>8.57</v>
      </c>
      <c r="AB74" s="122">
        <v>0</v>
      </c>
      <c r="AC74" s="123" t="s">
        <v>724</v>
      </c>
      <c r="AD74" s="123" t="s">
        <v>147</v>
      </c>
      <c r="AE74" s="143">
        <v>763.93</v>
      </c>
      <c r="AF74" s="144" t="s">
        <v>146</v>
      </c>
      <c r="AG74" s="143">
        <v>8674425</v>
      </c>
      <c r="AH74" s="144"/>
      <c r="AI74" s="143">
        <v>8674425</v>
      </c>
    </row>
    <row r="75" spans="1:35">
      <c r="A75" s="123"/>
      <c r="B75" s="123"/>
      <c r="C75" s="123"/>
      <c r="D75" s="123"/>
      <c r="E75" s="123" t="s">
        <v>863</v>
      </c>
      <c r="F75" s="125" t="s">
        <v>510</v>
      </c>
      <c r="G75" s="123"/>
      <c r="H75" s="123" t="s">
        <v>726</v>
      </c>
      <c r="I75" s="123" t="s">
        <v>884</v>
      </c>
      <c r="J75" s="122">
        <v>1005002061</v>
      </c>
      <c r="K75" s="123" t="s">
        <v>8</v>
      </c>
      <c r="L75" s="123" t="s">
        <v>48</v>
      </c>
      <c r="M75" s="122">
        <v>1001026730</v>
      </c>
      <c r="N75" s="122">
        <v>1004026730</v>
      </c>
      <c r="O75" s="123" t="s">
        <v>351</v>
      </c>
      <c r="P75" s="123" t="s">
        <v>352</v>
      </c>
      <c r="Q75" s="123" t="s">
        <v>866</v>
      </c>
      <c r="R75" s="123" t="s">
        <v>142</v>
      </c>
      <c r="S75" s="123" t="s">
        <v>609</v>
      </c>
      <c r="T75" s="123" t="s">
        <v>148</v>
      </c>
      <c r="U75" s="124">
        <v>100000</v>
      </c>
      <c r="V75" s="123" t="s">
        <v>146</v>
      </c>
      <c r="W75" s="124">
        <v>100307</v>
      </c>
      <c r="X75" s="123" t="s">
        <v>146</v>
      </c>
      <c r="Y75" s="122">
        <v>6.24</v>
      </c>
      <c r="Z75" s="122">
        <v>7.32</v>
      </c>
      <c r="AA75" s="122">
        <v>8.1300000000000008</v>
      </c>
      <c r="AB75" s="122">
        <v>0</v>
      </c>
      <c r="AC75" s="123" t="s">
        <v>724</v>
      </c>
      <c r="AD75" s="123" t="s">
        <v>147</v>
      </c>
      <c r="AE75" s="143">
        <v>336.39</v>
      </c>
      <c r="AF75" s="144" t="s">
        <v>146</v>
      </c>
      <c r="AG75" s="143">
        <v>7306499</v>
      </c>
      <c r="AH75" s="144"/>
      <c r="AI75" s="143">
        <v>7306499</v>
      </c>
    </row>
    <row r="76" spans="1:35">
      <c r="A76" s="123"/>
      <c r="B76" s="123"/>
      <c r="C76" s="123"/>
      <c r="D76" s="123"/>
      <c r="E76" s="123" t="s">
        <v>863</v>
      </c>
      <c r="F76" s="125" t="s">
        <v>510</v>
      </c>
      <c r="G76" s="123"/>
      <c r="H76" s="123" t="s">
        <v>726</v>
      </c>
      <c r="I76" s="123" t="s">
        <v>884</v>
      </c>
      <c r="J76" s="122">
        <v>1005002062</v>
      </c>
      <c r="K76" s="123" t="s">
        <v>8</v>
      </c>
      <c r="L76" s="123" t="s">
        <v>48</v>
      </c>
      <c r="M76" s="122">
        <v>1001026730</v>
      </c>
      <c r="N76" s="122">
        <v>1004026730</v>
      </c>
      <c r="O76" s="123" t="s">
        <v>351</v>
      </c>
      <c r="P76" s="123" t="s">
        <v>352</v>
      </c>
      <c r="Q76" s="123" t="s">
        <v>866</v>
      </c>
      <c r="R76" s="123" t="s">
        <v>142</v>
      </c>
      <c r="S76" s="123" t="s">
        <v>609</v>
      </c>
      <c r="T76" s="123" t="s">
        <v>148</v>
      </c>
      <c r="U76" s="124">
        <v>100000</v>
      </c>
      <c r="V76" s="123" t="s">
        <v>146</v>
      </c>
      <c r="W76" s="124">
        <v>100307</v>
      </c>
      <c r="X76" s="123" t="s">
        <v>146</v>
      </c>
      <c r="Y76" s="122">
        <v>4.6399999999999997</v>
      </c>
      <c r="Z76" s="122">
        <v>8.0299999999999994</v>
      </c>
      <c r="AA76" s="122">
        <v>8.5299999999999994</v>
      </c>
      <c r="AB76" s="122">
        <v>0</v>
      </c>
      <c r="AC76" s="123" t="s">
        <v>724</v>
      </c>
      <c r="AD76" s="123" t="s">
        <v>147</v>
      </c>
      <c r="AE76" s="143">
        <v>451.98</v>
      </c>
      <c r="AF76" s="144" t="s">
        <v>146</v>
      </c>
      <c r="AG76" s="143">
        <v>4908504</v>
      </c>
      <c r="AH76" s="144"/>
      <c r="AI76" s="143">
        <v>4908504</v>
      </c>
    </row>
    <row r="77" spans="1:35">
      <c r="A77" s="123"/>
      <c r="B77" s="123"/>
      <c r="C77" s="123"/>
      <c r="D77" s="123"/>
      <c r="E77" s="123" t="s">
        <v>863</v>
      </c>
      <c r="F77" s="125" t="s">
        <v>510</v>
      </c>
      <c r="G77" s="123"/>
      <c r="H77" s="123" t="s">
        <v>726</v>
      </c>
      <c r="I77" s="123" t="s">
        <v>884</v>
      </c>
      <c r="J77" s="122">
        <v>1005002139</v>
      </c>
      <c r="K77" s="123" t="s">
        <v>772</v>
      </c>
      <c r="L77" s="123" t="s">
        <v>48</v>
      </c>
      <c r="M77" s="122">
        <v>1001026872</v>
      </c>
      <c r="N77" s="122">
        <v>1004026872</v>
      </c>
      <c r="O77" s="123" t="s">
        <v>351</v>
      </c>
      <c r="P77" s="123" t="s">
        <v>352</v>
      </c>
      <c r="Q77" s="123" t="s">
        <v>866</v>
      </c>
      <c r="R77" s="123" t="s">
        <v>142</v>
      </c>
      <c r="S77" s="123" t="s">
        <v>609</v>
      </c>
      <c r="T77" s="123" t="s">
        <v>148</v>
      </c>
      <c r="U77" s="124">
        <v>100100</v>
      </c>
      <c r="V77" s="123" t="s">
        <v>146</v>
      </c>
      <c r="W77" s="124">
        <v>100703</v>
      </c>
      <c r="X77" s="123" t="s">
        <v>146</v>
      </c>
      <c r="Y77" s="122">
        <v>6.59</v>
      </c>
      <c r="Z77" s="122">
        <v>6.88</v>
      </c>
      <c r="AA77" s="122">
        <v>7.77</v>
      </c>
      <c r="AB77" s="122">
        <v>0</v>
      </c>
      <c r="AC77" s="123" t="s">
        <v>724</v>
      </c>
      <c r="AD77" s="123" t="s">
        <v>147</v>
      </c>
      <c r="AE77" s="143">
        <v>701.12</v>
      </c>
      <c r="AF77" s="144" t="s">
        <v>146</v>
      </c>
      <c r="AG77" s="143">
        <v>7712320</v>
      </c>
      <c r="AH77" s="144"/>
      <c r="AI77" s="143">
        <v>7712320</v>
      </c>
    </row>
    <row r="78" spans="1:35">
      <c r="A78" s="123"/>
      <c r="B78" s="123"/>
      <c r="C78" s="123"/>
      <c r="D78" s="123"/>
      <c r="E78" s="123" t="s">
        <v>863</v>
      </c>
      <c r="F78" s="125" t="s">
        <v>510</v>
      </c>
      <c r="G78" s="123"/>
      <c r="H78" s="123" t="s">
        <v>726</v>
      </c>
      <c r="I78" s="123" t="s">
        <v>884</v>
      </c>
      <c r="J78" s="122">
        <v>1005002140</v>
      </c>
      <c r="K78" s="123" t="s">
        <v>772</v>
      </c>
      <c r="L78" s="123" t="s">
        <v>48</v>
      </c>
      <c r="M78" s="122">
        <v>1001026872</v>
      </c>
      <c r="N78" s="122">
        <v>1004026872</v>
      </c>
      <c r="O78" s="123" t="s">
        <v>351</v>
      </c>
      <c r="P78" s="123" t="s">
        <v>352</v>
      </c>
      <c r="Q78" s="123" t="s">
        <v>866</v>
      </c>
      <c r="R78" s="123" t="s">
        <v>142</v>
      </c>
      <c r="S78" s="123" t="s">
        <v>609</v>
      </c>
      <c r="T78" s="123" t="s">
        <v>148</v>
      </c>
      <c r="U78" s="124">
        <v>100100</v>
      </c>
      <c r="V78" s="123" t="s">
        <v>146</v>
      </c>
      <c r="W78" s="124">
        <v>100703</v>
      </c>
      <c r="X78" s="123" t="s">
        <v>146</v>
      </c>
      <c r="Y78" s="122">
        <v>3.82</v>
      </c>
      <c r="Z78" s="122">
        <v>8.39</v>
      </c>
      <c r="AA78" s="122">
        <v>7.87</v>
      </c>
      <c r="AB78" s="122">
        <v>0</v>
      </c>
      <c r="AC78" s="123" t="s">
        <v>724</v>
      </c>
      <c r="AD78" s="123" t="s">
        <v>147</v>
      </c>
      <c r="AE78" s="143">
        <v>58.37</v>
      </c>
      <c r="AF78" s="144" t="s">
        <v>146</v>
      </c>
      <c r="AG78" s="143">
        <v>642070</v>
      </c>
      <c r="AH78" s="144"/>
      <c r="AI78" s="143">
        <v>642070</v>
      </c>
    </row>
    <row r="79" spans="1:35">
      <c r="A79" s="123"/>
      <c r="B79" s="123"/>
      <c r="C79" s="123"/>
      <c r="D79" s="123"/>
      <c r="E79" s="123" t="s">
        <v>863</v>
      </c>
      <c r="F79" s="125" t="s">
        <v>510</v>
      </c>
      <c r="G79" s="123"/>
      <c r="H79" s="123" t="s">
        <v>726</v>
      </c>
      <c r="I79" s="123" t="s">
        <v>884</v>
      </c>
      <c r="J79" s="122">
        <v>1005002220</v>
      </c>
      <c r="K79" s="123" t="s">
        <v>89</v>
      </c>
      <c r="L79" s="123" t="s">
        <v>48</v>
      </c>
      <c r="M79" s="122">
        <v>1001026969</v>
      </c>
      <c r="N79" s="122">
        <v>1004026969</v>
      </c>
      <c r="O79" s="123" t="s">
        <v>351</v>
      </c>
      <c r="P79" s="123" t="s">
        <v>352</v>
      </c>
      <c r="Q79" s="123" t="s">
        <v>866</v>
      </c>
      <c r="R79" s="123" t="s">
        <v>142</v>
      </c>
      <c r="S79" s="123" t="s">
        <v>609</v>
      </c>
      <c r="T79" s="123" t="s">
        <v>148</v>
      </c>
      <c r="U79" s="124">
        <v>204010</v>
      </c>
      <c r="V79" s="123" t="s">
        <v>146</v>
      </c>
      <c r="W79" s="124">
        <v>203840</v>
      </c>
      <c r="X79" s="123" t="s">
        <v>146</v>
      </c>
      <c r="Y79" s="122">
        <v>6.34</v>
      </c>
      <c r="Z79" s="122">
        <v>7.09</v>
      </c>
      <c r="AA79" s="122">
        <v>9.16</v>
      </c>
      <c r="AB79" s="122">
        <v>0</v>
      </c>
      <c r="AC79" s="123" t="s">
        <v>724</v>
      </c>
      <c r="AD79" s="123" t="s">
        <v>147</v>
      </c>
      <c r="AE79" s="143">
        <v>349.77</v>
      </c>
      <c r="AF79" s="144" t="s">
        <v>146</v>
      </c>
      <c r="AG79" s="143">
        <v>3952401</v>
      </c>
      <c r="AH79" s="144"/>
      <c r="AI79" s="143">
        <v>3952401</v>
      </c>
    </row>
    <row r="80" spans="1:35">
      <c r="A80" s="123"/>
      <c r="B80" s="123"/>
      <c r="C80" s="123"/>
      <c r="D80" s="123"/>
      <c r="E80" s="123" t="s">
        <v>863</v>
      </c>
      <c r="F80" s="125" t="s">
        <v>510</v>
      </c>
      <c r="G80" s="123"/>
      <c r="H80" s="123" t="s">
        <v>726</v>
      </c>
      <c r="I80" s="123" t="s">
        <v>884</v>
      </c>
      <c r="J80" s="122">
        <v>1005002221</v>
      </c>
      <c r="K80" s="123" t="s">
        <v>89</v>
      </c>
      <c r="L80" s="123" t="s">
        <v>48</v>
      </c>
      <c r="M80" s="122">
        <v>1001026969</v>
      </c>
      <c r="N80" s="122">
        <v>1004026969</v>
      </c>
      <c r="O80" s="123" t="s">
        <v>351</v>
      </c>
      <c r="P80" s="123" t="s">
        <v>352</v>
      </c>
      <c r="Q80" s="123" t="s">
        <v>866</v>
      </c>
      <c r="R80" s="123" t="s">
        <v>142</v>
      </c>
      <c r="S80" s="123" t="s">
        <v>609</v>
      </c>
      <c r="T80" s="123" t="s">
        <v>148</v>
      </c>
      <c r="U80" s="124">
        <v>204010</v>
      </c>
      <c r="V80" s="123" t="s">
        <v>146</v>
      </c>
      <c r="W80" s="124">
        <v>203840</v>
      </c>
      <c r="X80" s="123" t="s">
        <v>146</v>
      </c>
      <c r="Y80" s="122">
        <v>6.49</v>
      </c>
      <c r="Z80" s="122">
        <v>7.23</v>
      </c>
      <c r="AA80" s="122">
        <v>8.19</v>
      </c>
      <c r="AB80" s="122">
        <v>0</v>
      </c>
      <c r="AC80" s="123" t="s">
        <v>724</v>
      </c>
      <c r="AD80" s="123" t="s">
        <v>147</v>
      </c>
      <c r="AE80" s="143">
        <v>2609.67</v>
      </c>
      <c r="AF80" s="144" t="s">
        <v>146</v>
      </c>
      <c r="AG80" s="143">
        <v>29489271</v>
      </c>
      <c r="AH80" s="144"/>
      <c r="AI80" s="143">
        <v>29489271</v>
      </c>
    </row>
    <row r="81" spans="1:35">
      <c r="A81" s="123"/>
      <c r="B81" s="123"/>
      <c r="C81" s="123"/>
      <c r="D81" s="123"/>
      <c r="E81" s="123" t="s">
        <v>863</v>
      </c>
      <c r="F81" s="125" t="s">
        <v>510</v>
      </c>
      <c r="G81" s="123"/>
      <c r="H81" s="123" t="s">
        <v>726</v>
      </c>
      <c r="I81" s="123" t="s">
        <v>884</v>
      </c>
      <c r="J81" s="122">
        <v>1005002326</v>
      </c>
      <c r="K81" s="123" t="s">
        <v>10</v>
      </c>
      <c r="L81" s="123" t="s">
        <v>48</v>
      </c>
      <c r="M81" s="122">
        <v>1001027268</v>
      </c>
      <c r="N81" s="122">
        <v>1004027268</v>
      </c>
      <c r="O81" s="123" t="s">
        <v>351</v>
      </c>
      <c r="P81" s="123" t="s">
        <v>352</v>
      </c>
      <c r="Q81" s="123" t="s">
        <v>866</v>
      </c>
      <c r="R81" s="123" t="s">
        <v>142</v>
      </c>
      <c r="S81" s="123" t="s">
        <v>609</v>
      </c>
      <c r="T81" s="123" t="s">
        <v>148</v>
      </c>
      <c r="U81" s="124">
        <v>203670</v>
      </c>
      <c r="V81" s="123" t="s">
        <v>146</v>
      </c>
      <c r="W81" s="124">
        <v>203900</v>
      </c>
      <c r="X81" s="123" t="s">
        <v>146</v>
      </c>
      <c r="Y81" s="122">
        <v>5.89</v>
      </c>
      <c r="Z81" s="122">
        <v>6.9</v>
      </c>
      <c r="AA81" s="122">
        <v>9.08</v>
      </c>
      <c r="AB81" s="122">
        <v>0</v>
      </c>
      <c r="AC81" s="123" t="s">
        <v>724</v>
      </c>
      <c r="AD81" s="123" t="s">
        <v>147</v>
      </c>
      <c r="AE81" s="143">
        <v>528.79</v>
      </c>
      <c r="AF81" s="144" t="s">
        <v>146</v>
      </c>
      <c r="AG81" s="143">
        <v>5988548</v>
      </c>
      <c r="AH81" s="144"/>
      <c r="AI81" s="143">
        <v>5988548</v>
      </c>
    </row>
    <row r="82" spans="1:35">
      <c r="A82" s="123"/>
      <c r="B82" s="123"/>
      <c r="C82" s="123"/>
      <c r="D82" s="123"/>
      <c r="E82" s="123" t="s">
        <v>863</v>
      </c>
      <c r="F82" s="125" t="s">
        <v>510</v>
      </c>
      <c r="G82" s="123"/>
      <c r="H82" s="123" t="s">
        <v>726</v>
      </c>
      <c r="I82" s="123" t="s">
        <v>884</v>
      </c>
      <c r="J82" s="122">
        <v>1005002328</v>
      </c>
      <c r="K82" s="123" t="s">
        <v>10</v>
      </c>
      <c r="L82" s="123" t="s">
        <v>48</v>
      </c>
      <c r="M82" s="122">
        <v>1001027268</v>
      </c>
      <c r="N82" s="122">
        <v>1004027268</v>
      </c>
      <c r="O82" s="123" t="s">
        <v>351</v>
      </c>
      <c r="P82" s="123" t="s">
        <v>352</v>
      </c>
      <c r="Q82" s="123" t="s">
        <v>866</v>
      </c>
      <c r="R82" s="123" t="s">
        <v>142</v>
      </c>
      <c r="S82" s="123" t="s">
        <v>609</v>
      </c>
      <c r="T82" s="123" t="s">
        <v>148</v>
      </c>
      <c r="U82" s="124">
        <v>203670</v>
      </c>
      <c r="V82" s="123" t="s">
        <v>146</v>
      </c>
      <c r="W82" s="124">
        <v>203900</v>
      </c>
      <c r="X82" s="123" t="s">
        <v>146</v>
      </c>
      <c r="Y82" s="122">
        <v>6.18</v>
      </c>
      <c r="Z82" s="122">
        <v>7.2</v>
      </c>
      <c r="AA82" s="122">
        <v>8.66</v>
      </c>
      <c r="AB82" s="122">
        <v>0</v>
      </c>
      <c r="AC82" s="123" t="s">
        <v>724</v>
      </c>
      <c r="AD82" s="123" t="s">
        <v>147</v>
      </c>
      <c r="AE82" s="143">
        <v>1445.91</v>
      </c>
      <c r="AF82" s="144" t="s">
        <v>146</v>
      </c>
      <c r="AG82" s="143">
        <v>16374932</v>
      </c>
      <c r="AH82" s="144"/>
      <c r="AI82" s="143">
        <v>16374932</v>
      </c>
    </row>
    <row r="83" spans="1:35">
      <c r="A83" s="90"/>
      <c r="B83" s="90" t="s">
        <v>149</v>
      </c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145">
        <v>8723.57</v>
      </c>
      <c r="AF83" s="146" t="s">
        <v>146</v>
      </c>
      <c r="AG83" s="145">
        <v>114924766</v>
      </c>
      <c r="AH83" s="146"/>
      <c r="AI83" s="145">
        <v>114924766</v>
      </c>
    </row>
    <row r="84" spans="1:35">
      <c r="A84" s="122">
        <v>11</v>
      </c>
      <c r="B84" s="123" t="s">
        <v>516</v>
      </c>
      <c r="C84" s="123" t="s">
        <v>517</v>
      </c>
      <c r="D84" s="123" t="s">
        <v>252</v>
      </c>
      <c r="E84" s="123" t="s">
        <v>863</v>
      </c>
      <c r="F84" s="123" t="s">
        <v>517</v>
      </c>
      <c r="G84" s="123" t="s">
        <v>864</v>
      </c>
      <c r="H84" s="123" t="s">
        <v>722</v>
      </c>
      <c r="I84" s="123" t="s">
        <v>883</v>
      </c>
      <c r="J84" s="122">
        <v>1005002149</v>
      </c>
      <c r="K84" s="123" t="s">
        <v>62</v>
      </c>
      <c r="L84" s="123" t="s">
        <v>60</v>
      </c>
      <c r="M84" s="122">
        <v>1001026866</v>
      </c>
      <c r="N84" s="122">
        <v>1004026866</v>
      </c>
      <c r="O84" s="123" t="s">
        <v>144</v>
      </c>
      <c r="P84" s="123" t="s">
        <v>145</v>
      </c>
      <c r="Q84" s="123" t="s">
        <v>867</v>
      </c>
      <c r="R84" s="123" t="s">
        <v>142</v>
      </c>
      <c r="S84" s="123" t="s">
        <v>609</v>
      </c>
      <c r="T84" s="123" t="s">
        <v>148</v>
      </c>
      <c r="U84" s="124">
        <v>650000</v>
      </c>
      <c r="V84" s="123" t="s">
        <v>146</v>
      </c>
      <c r="W84" s="124">
        <v>648456</v>
      </c>
      <c r="X84" s="123" t="s">
        <v>146</v>
      </c>
      <c r="Y84" s="122">
        <v>5.7</v>
      </c>
      <c r="Z84" s="122">
        <v>0.28000000000000003</v>
      </c>
      <c r="AA84" s="122">
        <v>0</v>
      </c>
      <c r="AB84" s="122">
        <v>0</v>
      </c>
      <c r="AC84" s="123" t="s">
        <v>724</v>
      </c>
      <c r="AD84" s="123" t="s">
        <v>147</v>
      </c>
      <c r="AE84" s="143">
        <v>437141</v>
      </c>
      <c r="AF84" s="144" t="s">
        <v>146</v>
      </c>
      <c r="AG84" s="143">
        <v>39126900</v>
      </c>
      <c r="AH84" s="144"/>
      <c r="AI84" s="143">
        <v>39126900</v>
      </c>
    </row>
    <row r="85" spans="1:35">
      <c r="A85" s="123"/>
      <c r="B85" s="123"/>
      <c r="C85" s="123"/>
      <c r="D85" s="123"/>
      <c r="E85" s="123" t="s">
        <v>863</v>
      </c>
      <c r="F85" s="125" t="s">
        <v>517</v>
      </c>
      <c r="G85" s="123"/>
      <c r="H85" s="123" t="s">
        <v>722</v>
      </c>
      <c r="I85" s="123" t="s">
        <v>883</v>
      </c>
      <c r="J85" s="122">
        <v>1005002147</v>
      </c>
      <c r="K85" s="123" t="s">
        <v>61</v>
      </c>
      <c r="L85" s="123" t="s">
        <v>60</v>
      </c>
      <c r="M85" s="122">
        <v>1001026877</v>
      </c>
      <c r="N85" s="122">
        <v>1004026877</v>
      </c>
      <c r="O85" s="123" t="s">
        <v>144</v>
      </c>
      <c r="P85" s="123" t="s">
        <v>145</v>
      </c>
      <c r="Q85" s="123" t="s">
        <v>867</v>
      </c>
      <c r="R85" s="123" t="s">
        <v>142</v>
      </c>
      <c r="S85" s="123" t="s">
        <v>609</v>
      </c>
      <c r="T85" s="123" t="s">
        <v>148</v>
      </c>
      <c r="U85" s="124">
        <v>150000</v>
      </c>
      <c r="V85" s="123" t="s">
        <v>146</v>
      </c>
      <c r="W85" s="124">
        <v>149668</v>
      </c>
      <c r="X85" s="123" t="s">
        <v>146</v>
      </c>
      <c r="Y85" s="122">
        <v>5.87</v>
      </c>
      <c r="Z85" s="122">
        <v>0.28000000000000003</v>
      </c>
      <c r="AA85" s="122">
        <v>0</v>
      </c>
      <c r="AB85" s="122">
        <v>0</v>
      </c>
      <c r="AC85" s="123" t="s">
        <v>724</v>
      </c>
      <c r="AD85" s="123" t="s">
        <v>147</v>
      </c>
      <c r="AE85" s="143">
        <v>149668</v>
      </c>
      <c r="AF85" s="144" t="s">
        <v>146</v>
      </c>
      <c r="AG85" s="143">
        <v>15490775</v>
      </c>
      <c r="AH85" s="144"/>
      <c r="AI85" s="143">
        <v>15490775</v>
      </c>
    </row>
    <row r="86" spans="1:35">
      <c r="A86" s="123"/>
      <c r="B86" s="123"/>
      <c r="C86" s="123"/>
      <c r="D86" s="123"/>
      <c r="E86" s="123" t="s">
        <v>863</v>
      </c>
      <c r="F86" s="125" t="s">
        <v>517</v>
      </c>
      <c r="G86" s="123"/>
      <c r="H86" s="123" t="s">
        <v>722</v>
      </c>
      <c r="I86" s="123" t="s">
        <v>883</v>
      </c>
      <c r="J86" s="122">
        <v>1005002170</v>
      </c>
      <c r="K86" s="123" t="s">
        <v>63</v>
      </c>
      <c r="L86" s="123" t="s">
        <v>60</v>
      </c>
      <c r="M86" s="122">
        <v>1001026917</v>
      </c>
      <c r="N86" s="122">
        <v>1004026917</v>
      </c>
      <c r="O86" s="123" t="s">
        <v>144</v>
      </c>
      <c r="P86" s="123" t="s">
        <v>145</v>
      </c>
      <c r="Q86" s="123" t="s">
        <v>867</v>
      </c>
      <c r="R86" s="123" t="s">
        <v>142</v>
      </c>
      <c r="S86" s="123" t="s">
        <v>609</v>
      </c>
      <c r="T86" s="123" t="s">
        <v>148</v>
      </c>
      <c r="U86" s="124">
        <v>500000</v>
      </c>
      <c r="V86" s="123" t="s">
        <v>146</v>
      </c>
      <c r="W86" s="124">
        <v>498686</v>
      </c>
      <c r="X86" s="123" t="s">
        <v>146</v>
      </c>
      <c r="Y86" s="122">
        <v>5.73</v>
      </c>
      <c r="Z86" s="122">
        <v>0.28999999999999998</v>
      </c>
      <c r="AA86" s="122">
        <v>0</v>
      </c>
      <c r="AB86" s="122">
        <v>0</v>
      </c>
      <c r="AC86" s="123" t="s">
        <v>724</v>
      </c>
      <c r="AD86" s="123" t="s">
        <v>147</v>
      </c>
      <c r="AE86" s="143">
        <v>167491</v>
      </c>
      <c r="AF86" s="144" t="s">
        <v>146</v>
      </c>
      <c r="AG86" s="143">
        <v>15951325</v>
      </c>
      <c r="AH86" s="144"/>
      <c r="AI86" s="143">
        <v>15951325</v>
      </c>
    </row>
    <row r="87" spans="1:35">
      <c r="A87" s="90"/>
      <c r="B87" s="90" t="s">
        <v>149</v>
      </c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145">
        <v>754300</v>
      </c>
      <c r="AF87" s="146" t="s">
        <v>146</v>
      </c>
      <c r="AG87" s="145">
        <v>70569000</v>
      </c>
      <c r="AH87" s="146"/>
      <c r="AI87" s="145">
        <v>70569000</v>
      </c>
    </row>
    <row r="88" spans="1:35">
      <c r="A88" s="122">
        <v>12</v>
      </c>
      <c r="B88" s="123" t="s">
        <v>838</v>
      </c>
      <c r="C88" s="123" t="s">
        <v>839</v>
      </c>
      <c r="D88" s="123"/>
      <c r="E88" s="123" t="s">
        <v>863</v>
      </c>
      <c r="F88" s="123" t="s">
        <v>839</v>
      </c>
      <c r="G88" s="123" t="s">
        <v>864</v>
      </c>
      <c r="H88" s="123" t="s">
        <v>726</v>
      </c>
      <c r="I88" s="123" t="s">
        <v>884</v>
      </c>
      <c r="J88" s="122">
        <v>1005002408</v>
      </c>
      <c r="K88" s="123" t="s">
        <v>90</v>
      </c>
      <c r="L88" s="123" t="s">
        <v>12</v>
      </c>
      <c r="M88" s="122">
        <v>1001027585</v>
      </c>
      <c r="N88" s="122">
        <v>1004027585</v>
      </c>
      <c r="O88" s="123" t="s">
        <v>351</v>
      </c>
      <c r="P88" s="123" t="s">
        <v>352</v>
      </c>
      <c r="Q88" s="123" t="s">
        <v>866</v>
      </c>
      <c r="R88" s="123" t="s">
        <v>142</v>
      </c>
      <c r="S88" s="123" t="s">
        <v>609</v>
      </c>
      <c r="T88" s="123" t="s">
        <v>148</v>
      </c>
      <c r="U88" s="124">
        <v>50000</v>
      </c>
      <c r="V88" s="123" t="s">
        <v>146</v>
      </c>
      <c r="W88" s="124">
        <v>49920</v>
      </c>
      <c r="X88" s="123" t="s">
        <v>146</v>
      </c>
      <c r="Y88" s="122">
        <v>5.43</v>
      </c>
      <c r="Z88" s="122">
        <v>5.39</v>
      </c>
      <c r="AA88" s="122">
        <v>7.11</v>
      </c>
      <c r="AB88" s="122">
        <v>0</v>
      </c>
      <c r="AC88" s="123" t="s">
        <v>724</v>
      </c>
      <c r="AD88" s="123" t="s">
        <v>147</v>
      </c>
      <c r="AE88" s="143">
        <v>27.91</v>
      </c>
      <c r="AF88" s="144" t="s">
        <v>146</v>
      </c>
      <c r="AG88" s="143">
        <v>341898</v>
      </c>
      <c r="AH88" s="143">
        <v>37608.78</v>
      </c>
      <c r="AI88" s="143">
        <v>379506.78</v>
      </c>
    </row>
    <row r="89" spans="1:35">
      <c r="A89" s="90"/>
      <c r="B89" s="90" t="s">
        <v>149</v>
      </c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145">
        <v>27.91</v>
      </c>
      <c r="AF89" s="146" t="s">
        <v>146</v>
      </c>
      <c r="AG89" s="145">
        <v>341898</v>
      </c>
      <c r="AH89" s="145">
        <v>37608.78</v>
      </c>
      <c r="AI89" s="145">
        <v>379506.78</v>
      </c>
    </row>
    <row r="90" spans="1:35">
      <c r="A90" s="122">
        <v>13</v>
      </c>
      <c r="B90" s="123" t="s">
        <v>533</v>
      </c>
      <c r="C90" s="123" t="s">
        <v>534</v>
      </c>
      <c r="D90" s="123" t="s">
        <v>535</v>
      </c>
      <c r="E90" s="123" t="s">
        <v>873</v>
      </c>
      <c r="F90" s="123" t="s">
        <v>534</v>
      </c>
      <c r="G90" s="123" t="s">
        <v>872</v>
      </c>
      <c r="H90" s="123" t="s">
        <v>844</v>
      </c>
      <c r="I90" s="123" t="s">
        <v>886</v>
      </c>
      <c r="J90" s="122">
        <v>1005001983</v>
      </c>
      <c r="K90" s="123" t="s">
        <v>83</v>
      </c>
      <c r="L90" s="123" t="s">
        <v>60</v>
      </c>
      <c r="M90" s="122">
        <v>1001026016</v>
      </c>
      <c r="N90" s="122">
        <v>1004026016</v>
      </c>
      <c r="O90" s="123" t="s">
        <v>351</v>
      </c>
      <c r="P90" s="123" t="s">
        <v>352</v>
      </c>
      <c r="Q90" s="123" t="s">
        <v>866</v>
      </c>
      <c r="R90" s="123" t="s">
        <v>142</v>
      </c>
      <c r="S90" s="123" t="s">
        <v>609</v>
      </c>
      <c r="T90" s="123" t="s">
        <v>148</v>
      </c>
      <c r="U90" s="123"/>
      <c r="V90" s="123" t="s">
        <v>146</v>
      </c>
      <c r="W90" s="124">
        <v>200000</v>
      </c>
      <c r="X90" s="123" t="s">
        <v>146</v>
      </c>
      <c r="Y90" s="122">
        <v>1.6</v>
      </c>
      <c r="Z90" s="122">
        <v>7.41</v>
      </c>
      <c r="AA90" s="122">
        <v>9.25</v>
      </c>
      <c r="AB90" s="122">
        <v>0</v>
      </c>
      <c r="AC90" s="123" t="s">
        <v>724</v>
      </c>
      <c r="AD90" s="123" t="s">
        <v>147</v>
      </c>
      <c r="AE90" s="143">
        <v>420.92</v>
      </c>
      <c r="AF90" s="144" t="s">
        <v>146</v>
      </c>
      <c r="AG90" s="143">
        <v>4794279</v>
      </c>
      <c r="AH90" s="144"/>
      <c r="AI90" s="143">
        <v>4794279</v>
      </c>
    </row>
    <row r="91" spans="1:35">
      <c r="A91" s="123"/>
      <c r="B91" s="123"/>
      <c r="C91" s="123"/>
      <c r="D91" s="123"/>
      <c r="E91" s="123" t="s">
        <v>873</v>
      </c>
      <c r="F91" s="125" t="s">
        <v>534</v>
      </c>
      <c r="G91" s="123"/>
      <c r="H91" s="123" t="s">
        <v>844</v>
      </c>
      <c r="I91" s="123" t="s">
        <v>886</v>
      </c>
      <c r="J91" s="122">
        <v>1005001971</v>
      </c>
      <c r="K91" s="123" t="s">
        <v>769</v>
      </c>
      <c r="L91" s="123" t="s">
        <v>60</v>
      </c>
      <c r="M91" s="122">
        <v>1001026021</v>
      </c>
      <c r="N91" s="122">
        <v>1004026021</v>
      </c>
      <c r="O91" s="123" t="s">
        <v>144</v>
      </c>
      <c r="P91" s="123" t="s">
        <v>145</v>
      </c>
      <c r="Q91" s="123" t="s">
        <v>867</v>
      </c>
      <c r="R91" s="123" t="s">
        <v>142</v>
      </c>
      <c r="S91" s="123" t="s">
        <v>609</v>
      </c>
      <c r="T91" s="123" t="s">
        <v>148</v>
      </c>
      <c r="U91" s="123"/>
      <c r="V91" s="123" t="s">
        <v>146</v>
      </c>
      <c r="W91" s="124">
        <v>350000</v>
      </c>
      <c r="X91" s="123" t="s">
        <v>146</v>
      </c>
      <c r="Y91" s="122">
        <v>5.16</v>
      </c>
      <c r="Z91" s="122">
        <v>0.35</v>
      </c>
      <c r="AA91" s="122">
        <v>0</v>
      </c>
      <c r="AB91" s="122">
        <v>0</v>
      </c>
      <c r="AC91" s="123" t="s">
        <v>724</v>
      </c>
      <c r="AD91" s="123" t="s">
        <v>147</v>
      </c>
      <c r="AE91" s="143">
        <v>135560</v>
      </c>
      <c r="AF91" s="144" t="s">
        <v>146</v>
      </c>
      <c r="AG91" s="143">
        <v>13556000</v>
      </c>
      <c r="AH91" s="144"/>
      <c r="AI91" s="143">
        <v>13556000</v>
      </c>
    </row>
    <row r="92" spans="1:35">
      <c r="A92" s="123"/>
      <c r="B92" s="123"/>
      <c r="C92" s="123"/>
      <c r="D92" s="123"/>
      <c r="E92" s="123" t="s">
        <v>873</v>
      </c>
      <c r="F92" s="125" t="s">
        <v>534</v>
      </c>
      <c r="G92" s="123"/>
      <c r="H92" s="123" t="s">
        <v>844</v>
      </c>
      <c r="I92" s="123" t="s">
        <v>886</v>
      </c>
      <c r="J92" s="122">
        <v>1005002158</v>
      </c>
      <c r="K92" s="123" t="s">
        <v>62</v>
      </c>
      <c r="L92" s="123" t="s">
        <v>60</v>
      </c>
      <c r="M92" s="122">
        <v>1001026150</v>
      </c>
      <c r="N92" s="122">
        <v>1004026150</v>
      </c>
      <c r="O92" s="123" t="s">
        <v>351</v>
      </c>
      <c r="P92" s="123" t="s">
        <v>352</v>
      </c>
      <c r="Q92" s="123" t="s">
        <v>866</v>
      </c>
      <c r="R92" s="123" t="s">
        <v>142</v>
      </c>
      <c r="S92" s="123" t="s">
        <v>609</v>
      </c>
      <c r="T92" s="123" t="s">
        <v>148</v>
      </c>
      <c r="U92" s="123"/>
      <c r="V92" s="123" t="s">
        <v>146</v>
      </c>
      <c r="W92" s="124">
        <v>150000</v>
      </c>
      <c r="X92" s="123" t="s">
        <v>146</v>
      </c>
      <c r="Y92" s="122">
        <v>2.44</v>
      </c>
      <c r="Z92" s="122">
        <v>7.34</v>
      </c>
      <c r="AA92" s="122">
        <v>8.93</v>
      </c>
      <c r="AB92" s="122">
        <v>0</v>
      </c>
      <c r="AC92" s="123" t="s">
        <v>724</v>
      </c>
      <c r="AD92" s="123" t="s">
        <v>147</v>
      </c>
      <c r="AE92" s="143">
        <v>517.35</v>
      </c>
      <c r="AF92" s="144" t="s">
        <v>146</v>
      </c>
      <c r="AG92" s="143">
        <v>5737413</v>
      </c>
      <c r="AH92" s="144"/>
      <c r="AI92" s="143">
        <v>5737413</v>
      </c>
    </row>
    <row r="93" spans="1:35">
      <c r="A93" s="123"/>
      <c r="B93" s="123"/>
      <c r="C93" s="123"/>
      <c r="D93" s="123"/>
      <c r="E93" s="123" t="s">
        <v>873</v>
      </c>
      <c r="F93" s="125" t="s">
        <v>534</v>
      </c>
      <c r="G93" s="123"/>
      <c r="H93" s="123" t="s">
        <v>844</v>
      </c>
      <c r="I93" s="123" t="s">
        <v>886</v>
      </c>
      <c r="J93" s="122">
        <v>1005002073</v>
      </c>
      <c r="K93" s="123" t="s">
        <v>39</v>
      </c>
      <c r="L93" s="123" t="s">
        <v>60</v>
      </c>
      <c r="M93" s="122">
        <v>1001026163</v>
      </c>
      <c r="N93" s="122">
        <v>1004026163</v>
      </c>
      <c r="O93" s="123" t="s">
        <v>144</v>
      </c>
      <c r="P93" s="123" t="s">
        <v>145</v>
      </c>
      <c r="Q93" s="123" t="s">
        <v>867</v>
      </c>
      <c r="R93" s="123" t="s">
        <v>142</v>
      </c>
      <c r="S93" s="123" t="s">
        <v>609</v>
      </c>
      <c r="T93" s="123" t="s">
        <v>148</v>
      </c>
      <c r="U93" s="123"/>
      <c r="V93" s="123" t="s">
        <v>146</v>
      </c>
      <c r="W93" s="124">
        <v>300000</v>
      </c>
      <c r="X93" s="123" t="s">
        <v>146</v>
      </c>
      <c r="Y93" s="122">
        <v>5.0999999999999996</v>
      </c>
      <c r="Z93" s="122">
        <v>0.24</v>
      </c>
      <c r="AA93" s="122">
        <v>0</v>
      </c>
      <c r="AB93" s="122">
        <v>0</v>
      </c>
      <c r="AC93" s="123" t="s">
        <v>724</v>
      </c>
      <c r="AD93" s="123" t="s">
        <v>147</v>
      </c>
      <c r="AE93" s="143">
        <v>91480</v>
      </c>
      <c r="AF93" s="144" t="s">
        <v>146</v>
      </c>
      <c r="AG93" s="143">
        <v>9148000</v>
      </c>
      <c r="AH93" s="144"/>
      <c r="AI93" s="143">
        <v>9148000</v>
      </c>
    </row>
    <row r="94" spans="1:35">
      <c r="A94" s="123"/>
      <c r="B94" s="123"/>
      <c r="C94" s="123"/>
      <c r="D94" s="123"/>
      <c r="E94" s="123" t="s">
        <v>873</v>
      </c>
      <c r="F94" s="125" t="s">
        <v>534</v>
      </c>
      <c r="G94" s="123"/>
      <c r="H94" s="123" t="s">
        <v>844</v>
      </c>
      <c r="I94" s="123" t="s">
        <v>886</v>
      </c>
      <c r="J94" s="122">
        <v>1005002074</v>
      </c>
      <c r="K94" s="123" t="s">
        <v>39</v>
      </c>
      <c r="L94" s="123" t="s">
        <v>60</v>
      </c>
      <c r="M94" s="122">
        <v>1001026256</v>
      </c>
      <c r="N94" s="122">
        <v>1004026256</v>
      </c>
      <c r="O94" s="123" t="s">
        <v>144</v>
      </c>
      <c r="P94" s="123" t="s">
        <v>145</v>
      </c>
      <c r="Q94" s="123" t="s">
        <v>867</v>
      </c>
      <c r="R94" s="123" t="s">
        <v>142</v>
      </c>
      <c r="S94" s="123" t="s">
        <v>609</v>
      </c>
      <c r="T94" s="123" t="s">
        <v>148</v>
      </c>
      <c r="U94" s="123"/>
      <c r="V94" s="123" t="s">
        <v>146</v>
      </c>
      <c r="W94" s="124">
        <v>250000</v>
      </c>
      <c r="X94" s="123" t="s">
        <v>146</v>
      </c>
      <c r="Y94" s="122">
        <v>5.16</v>
      </c>
      <c r="Z94" s="122">
        <v>0.34</v>
      </c>
      <c r="AA94" s="122">
        <v>0</v>
      </c>
      <c r="AB94" s="122">
        <v>0</v>
      </c>
      <c r="AC94" s="123" t="s">
        <v>724</v>
      </c>
      <c r="AD94" s="123" t="s">
        <v>147</v>
      </c>
      <c r="AE94" s="143">
        <v>79890</v>
      </c>
      <c r="AF94" s="144" t="s">
        <v>146</v>
      </c>
      <c r="AG94" s="143">
        <v>7989000</v>
      </c>
      <c r="AH94" s="144"/>
      <c r="AI94" s="143">
        <v>7989000</v>
      </c>
    </row>
    <row r="95" spans="1:35">
      <c r="A95" s="123"/>
      <c r="B95" s="123"/>
      <c r="C95" s="123"/>
      <c r="D95" s="123"/>
      <c r="E95" s="123" t="s">
        <v>873</v>
      </c>
      <c r="F95" s="125" t="s">
        <v>534</v>
      </c>
      <c r="G95" s="123"/>
      <c r="H95" s="123" t="s">
        <v>844</v>
      </c>
      <c r="I95" s="123" t="s">
        <v>886</v>
      </c>
      <c r="J95" s="122">
        <v>1005002075</v>
      </c>
      <c r="K95" s="123" t="s">
        <v>39</v>
      </c>
      <c r="L95" s="123" t="s">
        <v>60</v>
      </c>
      <c r="M95" s="122">
        <v>1001026324</v>
      </c>
      <c r="N95" s="122">
        <v>1004026324</v>
      </c>
      <c r="O95" s="123" t="s">
        <v>144</v>
      </c>
      <c r="P95" s="123" t="s">
        <v>145</v>
      </c>
      <c r="Q95" s="123" t="s">
        <v>867</v>
      </c>
      <c r="R95" s="123" t="s">
        <v>142</v>
      </c>
      <c r="S95" s="123" t="s">
        <v>609</v>
      </c>
      <c r="T95" s="123" t="s">
        <v>148</v>
      </c>
      <c r="U95" s="123"/>
      <c r="V95" s="123" t="s">
        <v>146</v>
      </c>
      <c r="W95" s="124">
        <v>250000</v>
      </c>
      <c r="X95" s="123" t="s">
        <v>146</v>
      </c>
      <c r="Y95" s="122">
        <v>5.18</v>
      </c>
      <c r="Z95" s="122">
        <v>0.35</v>
      </c>
      <c r="AA95" s="122">
        <v>0</v>
      </c>
      <c r="AB95" s="122">
        <v>0</v>
      </c>
      <c r="AC95" s="123" t="s">
        <v>724</v>
      </c>
      <c r="AD95" s="123" t="s">
        <v>147</v>
      </c>
      <c r="AE95" s="143">
        <v>84570</v>
      </c>
      <c r="AF95" s="144" t="s">
        <v>146</v>
      </c>
      <c r="AG95" s="143">
        <v>9163000</v>
      </c>
      <c r="AH95" s="144"/>
      <c r="AI95" s="143">
        <v>9163000</v>
      </c>
    </row>
    <row r="96" spans="1:35">
      <c r="A96" s="123"/>
      <c r="B96" s="123"/>
      <c r="C96" s="123"/>
      <c r="D96" s="123"/>
      <c r="E96" s="123" t="s">
        <v>873</v>
      </c>
      <c r="F96" s="125" t="s">
        <v>534</v>
      </c>
      <c r="G96" s="123"/>
      <c r="H96" s="123" t="s">
        <v>844</v>
      </c>
      <c r="I96" s="123" t="s">
        <v>886</v>
      </c>
      <c r="J96" s="122">
        <v>1005002159</v>
      </c>
      <c r="K96" s="123" t="s">
        <v>62</v>
      </c>
      <c r="L96" s="123" t="s">
        <v>60</v>
      </c>
      <c r="M96" s="122">
        <v>1001026350</v>
      </c>
      <c r="N96" s="122">
        <v>1004026350</v>
      </c>
      <c r="O96" s="123" t="s">
        <v>351</v>
      </c>
      <c r="P96" s="123" t="s">
        <v>352</v>
      </c>
      <c r="Q96" s="123" t="s">
        <v>866</v>
      </c>
      <c r="R96" s="123" t="s">
        <v>142</v>
      </c>
      <c r="S96" s="123" t="s">
        <v>609</v>
      </c>
      <c r="T96" s="123" t="s">
        <v>148</v>
      </c>
      <c r="U96" s="123"/>
      <c r="V96" s="123" t="s">
        <v>146</v>
      </c>
      <c r="W96" s="124">
        <v>150010</v>
      </c>
      <c r="X96" s="123" t="s">
        <v>146</v>
      </c>
      <c r="Y96" s="122">
        <v>2.5299999999999998</v>
      </c>
      <c r="Z96" s="122">
        <v>7.28</v>
      </c>
      <c r="AA96" s="122">
        <v>9.58</v>
      </c>
      <c r="AB96" s="122">
        <v>0</v>
      </c>
      <c r="AC96" s="123" t="s">
        <v>724</v>
      </c>
      <c r="AD96" s="123" t="s">
        <v>147</v>
      </c>
      <c r="AE96" s="143">
        <v>760.89</v>
      </c>
      <c r="AF96" s="144" t="s">
        <v>146</v>
      </c>
      <c r="AG96" s="143">
        <v>8216089</v>
      </c>
      <c r="AH96" s="144"/>
      <c r="AI96" s="143">
        <v>8216089</v>
      </c>
    </row>
    <row r="97" spans="1:35">
      <c r="A97" s="123"/>
      <c r="B97" s="123"/>
      <c r="C97" s="123"/>
      <c r="D97" s="123"/>
      <c r="E97" s="123" t="s">
        <v>873</v>
      </c>
      <c r="F97" s="125" t="s">
        <v>534</v>
      </c>
      <c r="G97" s="123"/>
      <c r="H97" s="123" t="s">
        <v>844</v>
      </c>
      <c r="I97" s="123" t="s">
        <v>886</v>
      </c>
      <c r="J97" s="122">
        <v>1005002175</v>
      </c>
      <c r="K97" s="123" t="s">
        <v>64</v>
      </c>
      <c r="L97" s="123" t="s">
        <v>60</v>
      </c>
      <c r="M97" s="122">
        <v>1001026462</v>
      </c>
      <c r="N97" s="122">
        <v>1004026462</v>
      </c>
      <c r="O97" s="123" t="s">
        <v>351</v>
      </c>
      <c r="P97" s="123" t="s">
        <v>352</v>
      </c>
      <c r="Q97" s="123" t="s">
        <v>866</v>
      </c>
      <c r="R97" s="123" t="s">
        <v>142</v>
      </c>
      <c r="S97" s="123" t="s">
        <v>609</v>
      </c>
      <c r="T97" s="123" t="s">
        <v>148</v>
      </c>
      <c r="U97" s="123"/>
      <c r="V97" s="123" t="s">
        <v>146</v>
      </c>
      <c r="W97" s="124">
        <v>175000</v>
      </c>
      <c r="X97" s="123" t="s">
        <v>146</v>
      </c>
      <c r="Y97" s="122">
        <v>2.52</v>
      </c>
      <c r="Z97" s="122">
        <v>7.51</v>
      </c>
      <c r="AA97" s="122">
        <v>9.27</v>
      </c>
      <c r="AB97" s="122">
        <v>0</v>
      </c>
      <c r="AC97" s="123" t="s">
        <v>724</v>
      </c>
      <c r="AD97" s="123" t="s">
        <v>147</v>
      </c>
      <c r="AE97" s="143">
        <v>720.97</v>
      </c>
      <c r="AF97" s="144" t="s">
        <v>146</v>
      </c>
      <c r="AG97" s="143">
        <v>7695633</v>
      </c>
      <c r="AH97" s="144"/>
      <c r="AI97" s="143">
        <v>7695633</v>
      </c>
    </row>
    <row r="98" spans="1:35">
      <c r="A98" s="123"/>
      <c r="B98" s="123"/>
      <c r="C98" s="123"/>
      <c r="D98" s="123"/>
      <c r="E98" s="123" t="s">
        <v>873</v>
      </c>
      <c r="F98" s="125" t="s">
        <v>534</v>
      </c>
      <c r="G98" s="123"/>
      <c r="H98" s="123" t="s">
        <v>844</v>
      </c>
      <c r="I98" s="123" t="s">
        <v>886</v>
      </c>
      <c r="J98" s="122">
        <v>1005002160</v>
      </c>
      <c r="K98" s="123" t="s">
        <v>62</v>
      </c>
      <c r="L98" s="123" t="s">
        <v>60</v>
      </c>
      <c r="M98" s="122">
        <v>1001026536</v>
      </c>
      <c r="N98" s="122">
        <v>1004026536</v>
      </c>
      <c r="O98" s="123" t="s">
        <v>144</v>
      </c>
      <c r="P98" s="123" t="s">
        <v>145</v>
      </c>
      <c r="Q98" s="123" t="s">
        <v>867</v>
      </c>
      <c r="R98" s="123" t="s">
        <v>142</v>
      </c>
      <c r="S98" s="123" t="s">
        <v>609</v>
      </c>
      <c r="T98" s="123" t="s">
        <v>148</v>
      </c>
      <c r="U98" s="123"/>
      <c r="V98" s="123" t="s">
        <v>146</v>
      </c>
      <c r="W98" s="124">
        <v>300000</v>
      </c>
      <c r="X98" s="123" t="s">
        <v>146</v>
      </c>
      <c r="Y98" s="122">
        <v>5.48</v>
      </c>
      <c r="Z98" s="122">
        <v>0.32</v>
      </c>
      <c r="AA98" s="122">
        <v>0</v>
      </c>
      <c r="AB98" s="122">
        <v>0</v>
      </c>
      <c r="AC98" s="123" t="s">
        <v>724</v>
      </c>
      <c r="AD98" s="123" t="s">
        <v>147</v>
      </c>
      <c r="AE98" s="143">
        <v>300000</v>
      </c>
      <c r="AF98" s="144" t="s">
        <v>146</v>
      </c>
      <c r="AG98" s="143">
        <v>41668000</v>
      </c>
      <c r="AH98" s="144"/>
      <c r="AI98" s="143">
        <v>41668000</v>
      </c>
    </row>
    <row r="99" spans="1:35">
      <c r="A99" s="90"/>
      <c r="B99" s="90" t="s">
        <v>149</v>
      </c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145">
        <v>693920.13</v>
      </c>
      <c r="AF99" s="146" t="s">
        <v>146</v>
      </c>
      <c r="AG99" s="145">
        <v>107967414</v>
      </c>
      <c r="AH99" s="146"/>
      <c r="AI99" s="145">
        <v>107967414</v>
      </c>
    </row>
    <row r="100" spans="1:35">
      <c r="A100" s="122">
        <v>14</v>
      </c>
      <c r="B100" s="123" t="s">
        <v>536</v>
      </c>
      <c r="C100" s="123" t="s">
        <v>537</v>
      </c>
      <c r="D100" s="123" t="s">
        <v>535</v>
      </c>
      <c r="E100" s="123" t="s">
        <v>873</v>
      </c>
      <c r="F100" s="123" t="s">
        <v>537</v>
      </c>
      <c r="G100" s="123" t="s">
        <v>872</v>
      </c>
      <c r="H100" s="123" t="s">
        <v>844</v>
      </c>
      <c r="I100" s="123" t="s">
        <v>887</v>
      </c>
      <c r="J100" s="122">
        <v>1005002213</v>
      </c>
      <c r="K100" s="123" t="s">
        <v>89</v>
      </c>
      <c r="L100" s="123" t="s">
        <v>60</v>
      </c>
      <c r="M100" s="122">
        <v>1001026587</v>
      </c>
      <c r="N100" s="122">
        <v>1004026587</v>
      </c>
      <c r="O100" s="123" t="s">
        <v>351</v>
      </c>
      <c r="P100" s="123" t="s">
        <v>352</v>
      </c>
      <c r="Q100" s="123" t="s">
        <v>866</v>
      </c>
      <c r="R100" s="123" t="s">
        <v>142</v>
      </c>
      <c r="S100" s="123" t="s">
        <v>609</v>
      </c>
      <c r="T100" s="123" t="s">
        <v>148</v>
      </c>
      <c r="U100" s="123"/>
      <c r="V100" s="123" t="s">
        <v>146</v>
      </c>
      <c r="W100" s="124">
        <v>200000</v>
      </c>
      <c r="X100" s="123" t="s">
        <v>146</v>
      </c>
      <c r="Y100" s="122">
        <v>4.1399999999999997</v>
      </c>
      <c r="Z100" s="122">
        <v>6.92</v>
      </c>
      <c r="AA100" s="122">
        <v>8.77</v>
      </c>
      <c r="AB100" s="122">
        <v>0</v>
      </c>
      <c r="AC100" s="123" t="s">
        <v>724</v>
      </c>
      <c r="AD100" s="123" t="s">
        <v>147</v>
      </c>
      <c r="AE100" s="143">
        <v>50.9</v>
      </c>
      <c r="AF100" s="144" t="s">
        <v>146</v>
      </c>
      <c r="AG100" s="143">
        <v>555574</v>
      </c>
      <c r="AH100" s="144"/>
      <c r="AI100" s="143">
        <v>555574</v>
      </c>
    </row>
    <row r="101" spans="1:35">
      <c r="A101" s="123"/>
      <c r="B101" s="123"/>
      <c r="C101" s="123"/>
      <c r="D101" s="123"/>
      <c r="E101" s="123" t="s">
        <v>873</v>
      </c>
      <c r="F101" s="125" t="s">
        <v>537</v>
      </c>
      <c r="G101" s="123"/>
      <c r="H101" s="123" t="s">
        <v>844</v>
      </c>
      <c r="I101" s="123" t="s">
        <v>887</v>
      </c>
      <c r="J101" s="122">
        <v>1005002214</v>
      </c>
      <c r="K101" s="123" t="s">
        <v>89</v>
      </c>
      <c r="L101" s="123" t="s">
        <v>60</v>
      </c>
      <c r="M101" s="122">
        <v>1001026785</v>
      </c>
      <c r="N101" s="122">
        <v>1004026785</v>
      </c>
      <c r="O101" s="123" t="s">
        <v>351</v>
      </c>
      <c r="P101" s="123" t="s">
        <v>352</v>
      </c>
      <c r="Q101" s="123" t="s">
        <v>866</v>
      </c>
      <c r="R101" s="123" t="s">
        <v>142</v>
      </c>
      <c r="S101" s="123" t="s">
        <v>609</v>
      </c>
      <c r="T101" s="123" t="s">
        <v>148</v>
      </c>
      <c r="U101" s="123"/>
      <c r="V101" s="123" t="s">
        <v>146</v>
      </c>
      <c r="W101" s="124">
        <v>275000</v>
      </c>
      <c r="X101" s="123" t="s">
        <v>146</v>
      </c>
      <c r="Y101" s="122">
        <v>3.03</v>
      </c>
      <c r="Z101" s="122">
        <v>8.35</v>
      </c>
      <c r="AA101" s="122">
        <v>7.44</v>
      </c>
      <c r="AB101" s="122">
        <v>0</v>
      </c>
      <c r="AC101" s="123" t="s">
        <v>724</v>
      </c>
      <c r="AD101" s="123" t="s">
        <v>147</v>
      </c>
      <c r="AE101" s="143">
        <v>43.9</v>
      </c>
      <c r="AF101" s="144" t="s">
        <v>146</v>
      </c>
      <c r="AG101" s="143">
        <v>485534</v>
      </c>
      <c r="AH101" s="144"/>
      <c r="AI101" s="143">
        <v>485534</v>
      </c>
    </row>
    <row r="102" spans="1:35">
      <c r="A102" s="123"/>
      <c r="B102" s="123"/>
      <c r="C102" s="123"/>
      <c r="D102" s="123"/>
      <c r="E102" s="123" t="s">
        <v>873</v>
      </c>
      <c r="F102" s="125" t="s">
        <v>537</v>
      </c>
      <c r="G102" s="123"/>
      <c r="H102" s="123" t="s">
        <v>844</v>
      </c>
      <c r="I102" s="123" t="s">
        <v>887</v>
      </c>
      <c r="J102" s="122">
        <v>1005002215</v>
      </c>
      <c r="K102" s="123" t="s">
        <v>89</v>
      </c>
      <c r="L102" s="123" t="s">
        <v>60</v>
      </c>
      <c r="M102" s="122">
        <v>1001027003</v>
      </c>
      <c r="N102" s="122">
        <v>1004027003</v>
      </c>
      <c r="O102" s="123" t="s">
        <v>351</v>
      </c>
      <c r="P102" s="123" t="s">
        <v>352</v>
      </c>
      <c r="Q102" s="123" t="s">
        <v>866</v>
      </c>
      <c r="R102" s="123" t="s">
        <v>142</v>
      </c>
      <c r="S102" s="123" t="s">
        <v>609</v>
      </c>
      <c r="T102" s="123" t="s">
        <v>148</v>
      </c>
      <c r="U102" s="123"/>
      <c r="V102" s="123" t="s">
        <v>146</v>
      </c>
      <c r="W102" s="124">
        <v>250000</v>
      </c>
      <c r="X102" s="123" t="s">
        <v>146</v>
      </c>
      <c r="Y102" s="122">
        <v>4.51</v>
      </c>
      <c r="Z102" s="122">
        <v>8.48</v>
      </c>
      <c r="AA102" s="122">
        <v>7.49</v>
      </c>
      <c r="AB102" s="122">
        <v>0</v>
      </c>
      <c r="AC102" s="123" t="s">
        <v>724</v>
      </c>
      <c r="AD102" s="123" t="s">
        <v>147</v>
      </c>
      <c r="AE102" s="143">
        <v>37.25</v>
      </c>
      <c r="AF102" s="144" t="s">
        <v>146</v>
      </c>
      <c r="AG102" s="143">
        <v>425023</v>
      </c>
      <c r="AH102" s="144"/>
      <c r="AI102" s="143">
        <v>425023</v>
      </c>
    </row>
    <row r="103" spans="1:35">
      <c r="A103" s="90"/>
      <c r="B103" s="90" t="s">
        <v>149</v>
      </c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145">
        <v>132.05000000000001</v>
      </c>
      <c r="AF103" s="146" t="s">
        <v>146</v>
      </c>
      <c r="AG103" s="145">
        <v>1466131</v>
      </c>
      <c r="AH103" s="146"/>
      <c r="AI103" s="145">
        <v>1466131</v>
      </c>
    </row>
    <row r="104" spans="1:35">
      <c r="A104" s="122">
        <v>15</v>
      </c>
      <c r="B104" s="123" t="s">
        <v>543</v>
      </c>
      <c r="C104" s="123" t="s">
        <v>544</v>
      </c>
      <c r="D104" s="123" t="s">
        <v>535</v>
      </c>
      <c r="E104" s="123" t="s">
        <v>873</v>
      </c>
      <c r="F104" s="123" t="s">
        <v>544</v>
      </c>
      <c r="G104" s="123" t="s">
        <v>872</v>
      </c>
      <c r="H104" s="123" t="s">
        <v>844</v>
      </c>
      <c r="I104" s="123" t="s">
        <v>888</v>
      </c>
      <c r="J104" s="122">
        <v>1005001975</v>
      </c>
      <c r="K104" s="123" t="s">
        <v>769</v>
      </c>
      <c r="L104" s="123" t="s">
        <v>60</v>
      </c>
      <c r="M104" s="122">
        <v>1001026352</v>
      </c>
      <c r="N104" s="122">
        <v>1004026352</v>
      </c>
      <c r="O104" s="123" t="s">
        <v>351</v>
      </c>
      <c r="P104" s="123" t="s">
        <v>352</v>
      </c>
      <c r="Q104" s="123" t="s">
        <v>866</v>
      </c>
      <c r="R104" s="123" t="s">
        <v>142</v>
      </c>
      <c r="S104" s="123" t="s">
        <v>609</v>
      </c>
      <c r="T104" s="123" t="s">
        <v>148</v>
      </c>
      <c r="U104" s="123"/>
      <c r="V104" s="123" t="s">
        <v>146</v>
      </c>
      <c r="W104" s="124">
        <v>50000</v>
      </c>
      <c r="X104" s="123" t="s">
        <v>146</v>
      </c>
      <c r="Y104" s="122">
        <v>5.62</v>
      </c>
      <c r="Z104" s="122">
        <v>6.74</v>
      </c>
      <c r="AA104" s="122">
        <v>7.67</v>
      </c>
      <c r="AB104" s="122">
        <v>0</v>
      </c>
      <c r="AC104" s="123" t="s">
        <v>724</v>
      </c>
      <c r="AD104" s="123" t="s">
        <v>147</v>
      </c>
      <c r="AE104" s="143">
        <v>205.93</v>
      </c>
      <c r="AF104" s="144" t="s">
        <v>146</v>
      </c>
      <c r="AG104" s="143">
        <v>2143473</v>
      </c>
      <c r="AH104" s="144"/>
      <c r="AI104" s="143">
        <v>2143473</v>
      </c>
    </row>
    <row r="105" spans="1:35">
      <c r="A105" s="123"/>
      <c r="B105" s="123"/>
      <c r="C105" s="123"/>
      <c r="D105" s="123"/>
      <c r="E105" s="123" t="s">
        <v>873</v>
      </c>
      <c r="F105" s="125" t="s">
        <v>544</v>
      </c>
      <c r="G105" s="123"/>
      <c r="H105" s="123" t="s">
        <v>844</v>
      </c>
      <c r="I105" s="123" t="s">
        <v>888</v>
      </c>
      <c r="J105" s="122">
        <v>1005002216</v>
      </c>
      <c r="K105" s="123" t="s">
        <v>89</v>
      </c>
      <c r="L105" s="123" t="s">
        <v>60</v>
      </c>
      <c r="M105" s="122">
        <v>1001026464</v>
      </c>
      <c r="N105" s="122">
        <v>1004026464</v>
      </c>
      <c r="O105" s="123" t="s">
        <v>351</v>
      </c>
      <c r="P105" s="123" t="s">
        <v>352</v>
      </c>
      <c r="Q105" s="123" t="s">
        <v>866</v>
      </c>
      <c r="R105" s="123" t="s">
        <v>142</v>
      </c>
      <c r="S105" s="123" t="s">
        <v>609</v>
      </c>
      <c r="T105" s="123" t="s">
        <v>148</v>
      </c>
      <c r="U105" s="123"/>
      <c r="V105" s="123" t="s">
        <v>146</v>
      </c>
      <c r="W105" s="124">
        <v>50000</v>
      </c>
      <c r="X105" s="123" t="s">
        <v>146</v>
      </c>
      <c r="Y105" s="122">
        <v>5.72</v>
      </c>
      <c r="Z105" s="122">
        <v>6.91</v>
      </c>
      <c r="AA105" s="122">
        <v>7.66</v>
      </c>
      <c r="AB105" s="122">
        <v>0</v>
      </c>
      <c r="AC105" s="123" t="s">
        <v>724</v>
      </c>
      <c r="AD105" s="123" t="s">
        <v>147</v>
      </c>
      <c r="AE105" s="143">
        <v>107.84</v>
      </c>
      <c r="AF105" s="144" t="s">
        <v>146</v>
      </c>
      <c r="AG105" s="143">
        <v>1109042</v>
      </c>
      <c r="AH105" s="144"/>
      <c r="AI105" s="143">
        <v>1109042</v>
      </c>
    </row>
    <row r="106" spans="1:35">
      <c r="A106" s="123"/>
      <c r="B106" s="123"/>
      <c r="C106" s="123"/>
      <c r="D106" s="123"/>
      <c r="E106" s="123" t="s">
        <v>873</v>
      </c>
      <c r="F106" s="125" t="s">
        <v>544</v>
      </c>
      <c r="G106" s="123"/>
      <c r="H106" s="123" t="s">
        <v>844</v>
      </c>
      <c r="I106" s="123" t="s">
        <v>888</v>
      </c>
      <c r="J106" s="122">
        <v>1005002281</v>
      </c>
      <c r="K106" s="123" t="s">
        <v>40</v>
      </c>
      <c r="L106" s="123" t="s">
        <v>28</v>
      </c>
      <c r="M106" s="122">
        <v>1001026595</v>
      </c>
      <c r="N106" s="122">
        <v>1004026595</v>
      </c>
      <c r="O106" s="123" t="s">
        <v>351</v>
      </c>
      <c r="P106" s="123" t="s">
        <v>352</v>
      </c>
      <c r="Q106" s="123" t="s">
        <v>866</v>
      </c>
      <c r="R106" s="123" t="s">
        <v>142</v>
      </c>
      <c r="S106" s="123" t="s">
        <v>609</v>
      </c>
      <c r="T106" s="123" t="s">
        <v>148</v>
      </c>
      <c r="U106" s="123"/>
      <c r="V106" s="123" t="s">
        <v>146</v>
      </c>
      <c r="W106" s="124">
        <v>50000</v>
      </c>
      <c r="X106" s="123" t="s">
        <v>146</v>
      </c>
      <c r="Y106" s="122">
        <v>5.7</v>
      </c>
      <c r="Z106" s="122">
        <v>6.89</v>
      </c>
      <c r="AA106" s="122">
        <v>7.62</v>
      </c>
      <c r="AB106" s="122">
        <v>0</v>
      </c>
      <c r="AC106" s="123" t="s">
        <v>724</v>
      </c>
      <c r="AD106" s="123" t="s">
        <v>147</v>
      </c>
      <c r="AE106" s="143">
        <v>208.69</v>
      </c>
      <c r="AF106" s="144" t="s">
        <v>146</v>
      </c>
      <c r="AG106" s="143">
        <v>2159014</v>
      </c>
      <c r="AH106" s="144"/>
      <c r="AI106" s="143">
        <v>2159014</v>
      </c>
    </row>
    <row r="107" spans="1:35">
      <c r="A107" s="90"/>
      <c r="B107" s="90" t="s">
        <v>149</v>
      </c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145">
        <v>522.46</v>
      </c>
      <c r="AF107" s="146" t="s">
        <v>146</v>
      </c>
      <c r="AG107" s="145">
        <v>5411529</v>
      </c>
      <c r="AH107" s="146"/>
      <c r="AI107" s="145">
        <v>5411529</v>
      </c>
    </row>
    <row r="108" spans="1:35">
      <c r="A108" s="122">
        <v>16</v>
      </c>
      <c r="B108" s="123" t="s">
        <v>545</v>
      </c>
      <c r="C108" s="123" t="s">
        <v>546</v>
      </c>
      <c r="D108" s="123" t="s">
        <v>535</v>
      </c>
      <c r="E108" s="123" t="s">
        <v>863</v>
      </c>
      <c r="F108" s="123" t="s">
        <v>720</v>
      </c>
      <c r="G108" s="123" t="s">
        <v>872</v>
      </c>
      <c r="H108" s="123" t="s">
        <v>722</v>
      </c>
      <c r="I108" s="123" t="s">
        <v>883</v>
      </c>
      <c r="J108" s="122">
        <v>1005000623</v>
      </c>
      <c r="K108" s="123" t="s">
        <v>725</v>
      </c>
      <c r="L108" s="123" t="s">
        <v>60</v>
      </c>
      <c r="M108" s="122">
        <v>1001021656</v>
      </c>
      <c r="N108" s="122">
        <v>1004021656</v>
      </c>
      <c r="O108" s="123" t="s">
        <v>144</v>
      </c>
      <c r="P108" s="123" t="s">
        <v>145</v>
      </c>
      <c r="Q108" s="123" t="s">
        <v>867</v>
      </c>
      <c r="R108" s="123" t="s">
        <v>142</v>
      </c>
      <c r="S108" s="123" t="s">
        <v>609</v>
      </c>
      <c r="T108" s="123" t="s">
        <v>148</v>
      </c>
      <c r="U108" s="124">
        <v>1002330</v>
      </c>
      <c r="V108" s="123" t="s">
        <v>146</v>
      </c>
      <c r="W108" s="124">
        <v>1000930</v>
      </c>
      <c r="X108" s="123" t="s">
        <v>146</v>
      </c>
      <c r="Y108" s="122">
        <v>5.37</v>
      </c>
      <c r="Z108" s="122">
        <v>0.31</v>
      </c>
      <c r="AA108" s="122">
        <v>0</v>
      </c>
      <c r="AB108" s="122">
        <v>0</v>
      </c>
      <c r="AC108" s="123" t="s">
        <v>724</v>
      </c>
      <c r="AD108" s="123" t="s">
        <v>147</v>
      </c>
      <c r="AE108" s="143">
        <v>594300</v>
      </c>
      <c r="AF108" s="144" t="s">
        <v>146</v>
      </c>
      <c r="AG108" s="143">
        <v>79693000</v>
      </c>
      <c r="AH108" s="144"/>
      <c r="AI108" s="143">
        <v>79693000</v>
      </c>
    </row>
    <row r="109" spans="1:35">
      <c r="A109" s="123"/>
      <c r="B109" s="123"/>
      <c r="C109" s="123"/>
      <c r="D109" s="123"/>
      <c r="E109" s="123" t="s">
        <v>863</v>
      </c>
      <c r="F109" s="125" t="s">
        <v>720</v>
      </c>
      <c r="G109" s="123"/>
      <c r="H109" s="123" t="s">
        <v>726</v>
      </c>
      <c r="I109" s="123" t="s">
        <v>883</v>
      </c>
      <c r="J109" s="122">
        <v>1005002312</v>
      </c>
      <c r="K109" s="123" t="s">
        <v>66</v>
      </c>
      <c r="L109" s="123" t="s">
        <v>28</v>
      </c>
      <c r="M109" s="122">
        <v>1001025584</v>
      </c>
      <c r="N109" s="122">
        <v>1004025584</v>
      </c>
      <c r="O109" s="123" t="s">
        <v>351</v>
      </c>
      <c r="P109" s="123" t="s">
        <v>352</v>
      </c>
      <c r="Q109" s="123" t="s">
        <v>866</v>
      </c>
      <c r="R109" s="123" t="s">
        <v>142</v>
      </c>
      <c r="S109" s="123" t="s">
        <v>609</v>
      </c>
      <c r="T109" s="123" t="s">
        <v>148</v>
      </c>
      <c r="U109" s="124">
        <v>497220</v>
      </c>
      <c r="V109" s="123" t="s">
        <v>146</v>
      </c>
      <c r="W109" s="124">
        <v>497730</v>
      </c>
      <c r="X109" s="123" t="s">
        <v>146</v>
      </c>
      <c r="Y109" s="122">
        <v>4.3600000000000003</v>
      </c>
      <c r="Z109" s="122">
        <v>8.98</v>
      </c>
      <c r="AA109" s="122">
        <v>8.35</v>
      </c>
      <c r="AB109" s="122">
        <v>0</v>
      </c>
      <c r="AC109" s="123" t="s">
        <v>724</v>
      </c>
      <c r="AD109" s="123" t="s">
        <v>147</v>
      </c>
      <c r="AE109" s="143">
        <v>7890.49</v>
      </c>
      <c r="AF109" s="144" t="s">
        <v>146</v>
      </c>
      <c r="AG109" s="143">
        <v>101866228</v>
      </c>
      <c r="AH109" s="144"/>
      <c r="AI109" s="143">
        <v>101866228</v>
      </c>
    </row>
    <row r="110" spans="1:35">
      <c r="A110" s="123"/>
      <c r="B110" s="123"/>
      <c r="C110" s="123"/>
      <c r="D110" s="123"/>
      <c r="E110" s="123" t="s">
        <v>863</v>
      </c>
      <c r="F110" s="125" t="s">
        <v>720</v>
      </c>
      <c r="G110" s="123"/>
      <c r="H110" s="123" t="s">
        <v>726</v>
      </c>
      <c r="I110" s="123" t="s">
        <v>883</v>
      </c>
      <c r="J110" s="122">
        <v>1005002314</v>
      </c>
      <c r="K110" s="123" t="s">
        <v>10</v>
      </c>
      <c r="L110" s="123" t="s">
        <v>28</v>
      </c>
      <c r="M110" s="122">
        <v>1001025584</v>
      </c>
      <c r="N110" s="122">
        <v>1004025584</v>
      </c>
      <c r="O110" s="123" t="s">
        <v>351</v>
      </c>
      <c r="P110" s="123" t="s">
        <v>352</v>
      </c>
      <c r="Q110" s="123" t="s">
        <v>866</v>
      </c>
      <c r="R110" s="123" t="s">
        <v>142</v>
      </c>
      <c r="S110" s="123" t="s">
        <v>609</v>
      </c>
      <c r="T110" s="123" t="s">
        <v>148</v>
      </c>
      <c r="U110" s="124">
        <v>497220</v>
      </c>
      <c r="V110" s="123" t="s">
        <v>146</v>
      </c>
      <c r="W110" s="124">
        <v>497730</v>
      </c>
      <c r="X110" s="123" t="s">
        <v>146</v>
      </c>
      <c r="Y110" s="122">
        <v>6.79</v>
      </c>
      <c r="Z110" s="122">
        <v>9.09</v>
      </c>
      <c r="AA110" s="122">
        <v>7.73</v>
      </c>
      <c r="AB110" s="122">
        <v>0</v>
      </c>
      <c r="AC110" s="123" t="s">
        <v>724</v>
      </c>
      <c r="AD110" s="123" t="s">
        <v>147</v>
      </c>
      <c r="AE110" s="143">
        <v>308.42</v>
      </c>
      <c r="AF110" s="144" t="s">
        <v>146</v>
      </c>
      <c r="AG110" s="143">
        <v>3981663</v>
      </c>
      <c r="AH110" s="144"/>
      <c r="AI110" s="143">
        <v>3981663</v>
      </c>
    </row>
    <row r="111" spans="1:35">
      <c r="A111" s="90"/>
      <c r="B111" s="90" t="s">
        <v>149</v>
      </c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145">
        <v>602498.91</v>
      </c>
      <c r="AF111" s="146" t="s">
        <v>146</v>
      </c>
      <c r="AG111" s="145">
        <v>185540891</v>
      </c>
      <c r="AH111" s="146"/>
      <c r="AI111" s="145">
        <v>185540891</v>
      </c>
    </row>
    <row r="112" spans="1:35">
      <c r="A112" s="122">
        <v>17</v>
      </c>
      <c r="B112" s="123" t="s">
        <v>845</v>
      </c>
      <c r="C112" s="123" t="s">
        <v>846</v>
      </c>
      <c r="D112" s="123" t="s">
        <v>535</v>
      </c>
      <c r="E112" s="123" t="s">
        <v>873</v>
      </c>
      <c r="F112" s="123" t="s">
        <v>846</v>
      </c>
      <c r="G112" s="123" t="s">
        <v>872</v>
      </c>
      <c r="H112" s="123" t="s">
        <v>844</v>
      </c>
      <c r="I112" s="123" t="s">
        <v>889</v>
      </c>
      <c r="J112" s="122">
        <v>1005002251</v>
      </c>
      <c r="K112" s="123" t="s">
        <v>760</v>
      </c>
      <c r="L112" s="123" t="s">
        <v>28</v>
      </c>
      <c r="M112" s="122">
        <v>1001025852</v>
      </c>
      <c r="N112" s="122">
        <v>1004025852</v>
      </c>
      <c r="O112" s="123" t="s">
        <v>351</v>
      </c>
      <c r="P112" s="123" t="s">
        <v>352</v>
      </c>
      <c r="Q112" s="123" t="s">
        <v>866</v>
      </c>
      <c r="R112" s="123" t="s">
        <v>142</v>
      </c>
      <c r="S112" s="123" t="s">
        <v>609</v>
      </c>
      <c r="T112" s="123" t="s">
        <v>148</v>
      </c>
      <c r="U112" s="123"/>
      <c r="V112" s="123" t="s">
        <v>146</v>
      </c>
      <c r="W112" s="124">
        <v>1800000</v>
      </c>
      <c r="X112" s="123" t="s">
        <v>146</v>
      </c>
      <c r="Y112" s="122">
        <v>10.46</v>
      </c>
      <c r="Z112" s="122">
        <v>0</v>
      </c>
      <c r="AA112" s="122">
        <v>8.4499999999999993</v>
      </c>
      <c r="AB112" s="122">
        <v>0</v>
      </c>
      <c r="AC112" s="123" t="s">
        <v>724</v>
      </c>
      <c r="AD112" s="123" t="s">
        <v>147</v>
      </c>
      <c r="AE112" s="143">
        <v>106380</v>
      </c>
      <c r="AF112" s="144" t="s">
        <v>146</v>
      </c>
      <c r="AG112" s="143">
        <v>1241986500</v>
      </c>
      <c r="AH112" s="144"/>
      <c r="AI112" s="143">
        <v>1241986500</v>
      </c>
    </row>
    <row r="113" spans="1:35">
      <c r="A113" s="123"/>
      <c r="B113" s="123"/>
      <c r="C113" s="123"/>
      <c r="D113" s="123"/>
      <c r="E113" s="123" t="s">
        <v>873</v>
      </c>
      <c r="F113" s="125" t="s">
        <v>846</v>
      </c>
      <c r="G113" s="123"/>
      <c r="H113" s="123" t="s">
        <v>844</v>
      </c>
      <c r="I113" s="123" t="s">
        <v>889</v>
      </c>
      <c r="J113" s="122">
        <v>1005002252</v>
      </c>
      <c r="K113" s="123" t="s">
        <v>760</v>
      </c>
      <c r="L113" s="123" t="s">
        <v>28</v>
      </c>
      <c r="M113" s="122">
        <v>1001026017</v>
      </c>
      <c r="N113" s="122">
        <v>1004026017</v>
      </c>
      <c r="O113" s="123" t="s">
        <v>351</v>
      </c>
      <c r="P113" s="123" t="s">
        <v>352</v>
      </c>
      <c r="Q113" s="123" t="s">
        <v>866</v>
      </c>
      <c r="R113" s="123" t="s">
        <v>142</v>
      </c>
      <c r="S113" s="123" t="s">
        <v>609</v>
      </c>
      <c r="T113" s="123" t="s">
        <v>148</v>
      </c>
      <c r="U113" s="123"/>
      <c r="V113" s="123" t="s">
        <v>146</v>
      </c>
      <c r="W113" s="124">
        <v>200000</v>
      </c>
      <c r="X113" s="123" t="s">
        <v>146</v>
      </c>
      <c r="Y113" s="122">
        <v>10.46</v>
      </c>
      <c r="Z113" s="122">
        <v>0</v>
      </c>
      <c r="AA113" s="122">
        <v>8.4499999999999993</v>
      </c>
      <c r="AB113" s="122">
        <v>0</v>
      </c>
      <c r="AC113" s="123" t="s">
        <v>724</v>
      </c>
      <c r="AD113" s="123" t="s">
        <v>147</v>
      </c>
      <c r="AE113" s="143">
        <v>6085.52</v>
      </c>
      <c r="AF113" s="144" t="s">
        <v>146</v>
      </c>
      <c r="AG113" s="143">
        <v>68735948</v>
      </c>
      <c r="AH113" s="144"/>
      <c r="AI113" s="143">
        <v>68735948</v>
      </c>
    </row>
    <row r="114" spans="1:35">
      <c r="A114" s="123"/>
      <c r="B114" s="123"/>
      <c r="C114" s="123"/>
      <c r="D114" s="123"/>
      <c r="E114" s="123" t="s">
        <v>873</v>
      </c>
      <c r="F114" s="125" t="s">
        <v>846</v>
      </c>
      <c r="G114" s="123"/>
      <c r="H114" s="123" t="s">
        <v>844</v>
      </c>
      <c r="I114" s="123" t="s">
        <v>889</v>
      </c>
      <c r="J114" s="122">
        <v>1005002253</v>
      </c>
      <c r="K114" s="123" t="s">
        <v>760</v>
      </c>
      <c r="L114" s="123" t="s">
        <v>28</v>
      </c>
      <c r="M114" s="122">
        <v>1001026017</v>
      </c>
      <c r="N114" s="122">
        <v>1004026017</v>
      </c>
      <c r="O114" s="123" t="s">
        <v>351</v>
      </c>
      <c r="P114" s="123" t="s">
        <v>352</v>
      </c>
      <c r="Q114" s="123" t="s">
        <v>866</v>
      </c>
      <c r="R114" s="123" t="s">
        <v>142</v>
      </c>
      <c r="S114" s="123" t="s">
        <v>609</v>
      </c>
      <c r="T114" s="123" t="s">
        <v>148</v>
      </c>
      <c r="U114" s="123"/>
      <c r="V114" s="123" t="s">
        <v>146</v>
      </c>
      <c r="W114" s="124">
        <v>200000</v>
      </c>
      <c r="X114" s="123" t="s">
        <v>146</v>
      </c>
      <c r="Y114" s="122">
        <v>7.6</v>
      </c>
      <c r="Z114" s="122">
        <v>8.2799999999999994</v>
      </c>
      <c r="AA114" s="122">
        <v>8.64</v>
      </c>
      <c r="AB114" s="122">
        <v>0</v>
      </c>
      <c r="AC114" s="123" t="s">
        <v>724</v>
      </c>
      <c r="AD114" s="123" t="s">
        <v>147</v>
      </c>
      <c r="AE114" s="143">
        <v>3415.45</v>
      </c>
      <c r="AF114" s="144" t="s">
        <v>146</v>
      </c>
      <c r="AG114" s="143">
        <v>38577508</v>
      </c>
      <c r="AH114" s="144"/>
      <c r="AI114" s="143">
        <v>38577508</v>
      </c>
    </row>
    <row r="115" spans="1:35">
      <c r="A115" s="123"/>
      <c r="B115" s="123"/>
      <c r="C115" s="123"/>
      <c r="D115" s="123"/>
      <c r="E115" s="123" t="s">
        <v>873</v>
      </c>
      <c r="F115" s="125" t="s">
        <v>846</v>
      </c>
      <c r="G115" s="123"/>
      <c r="H115" s="123" t="s">
        <v>844</v>
      </c>
      <c r="I115" s="123" t="s">
        <v>889</v>
      </c>
      <c r="J115" s="122">
        <v>1005002254</v>
      </c>
      <c r="K115" s="123" t="s">
        <v>760</v>
      </c>
      <c r="L115" s="123" t="s">
        <v>28</v>
      </c>
      <c r="M115" s="122">
        <v>1001026594</v>
      </c>
      <c r="N115" s="122">
        <v>1004026594</v>
      </c>
      <c r="O115" s="123" t="s">
        <v>351</v>
      </c>
      <c r="P115" s="123" t="s">
        <v>352</v>
      </c>
      <c r="Q115" s="123" t="s">
        <v>866</v>
      </c>
      <c r="R115" s="123" t="s">
        <v>142</v>
      </c>
      <c r="S115" s="123" t="s">
        <v>609</v>
      </c>
      <c r="T115" s="123" t="s">
        <v>148</v>
      </c>
      <c r="U115" s="123"/>
      <c r="V115" s="123" t="s">
        <v>146</v>
      </c>
      <c r="W115" s="124">
        <v>1950000</v>
      </c>
      <c r="X115" s="123" t="s">
        <v>146</v>
      </c>
      <c r="Y115" s="122">
        <v>7.6</v>
      </c>
      <c r="Z115" s="122">
        <v>8.2799999999999994</v>
      </c>
      <c r="AA115" s="122">
        <v>8.64</v>
      </c>
      <c r="AB115" s="122">
        <v>0</v>
      </c>
      <c r="AC115" s="123" t="s">
        <v>724</v>
      </c>
      <c r="AD115" s="123" t="s">
        <v>147</v>
      </c>
      <c r="AE115" s="143">
        <v>68640</v>
      </c>
      <c r="AF115" s="144" t="s">
        <v>146</v>
      </c>
      <c r="AG115" s="143">
        <v>730329600</v>
      </c>
      <c r="AH115" s="144"/>
      <c r="AI115" s="143">
        <v>730329600</v>
      </c>
    </row>
    <row r="116" spans="1:35">
      <c r="A116" s="123"/>
      <c r="B116" s="123"/>
      <c r="C116" s="123"/>
      <c r="D116" s="123"/>
      <c r="E116" s="123" t="s">
        <v>873</v>
      </c>
      <c r="F116" s="125" t="s">
        <v>846</v>
      </c>
      <c r="G116" s="123"/>
      <c r="H116" s="123" t="s">
        <v>844</v>
      </c>
      <c r="I116" s="123" t="s">
        <v>889</v>
      </c>
      <c r="J116" s="122">
        <v>1005002255</v>
      </c>
      <c r="K116" s="123" t="s">
        <v>760</v>
      </c>
      <c r="L116" s="123" t="s">
        <v>28</v>
      </c>
      <c r="M116" s="122">
        <v>1001026855</v>
      </c>
      <c r="N116" s="122">
        <v>1004026855</v>
      </c>
      <c r="O116" s="123" t="s">
        <v>351</v>
      </c>
      <c r="P116" s="123" t="s">
        <v>352</v>
      </c>
      <c r="Q116" s="123" t="s">
        <v>866</v>
      </c>
      <c r="R116" s="123" t="s">
        <v>142</v>
      </c>
      <c r="S116" s="123" t="s">
        <v>609</v>
      </c>
      <c r="T116" s="123" t="s">
        <v>148</v>
      </c>
      <c r="U116" s="123"/>
      <c r="V116" s="123" t="s">
        <v>146</v>
      </c>
      <c r="W116" s="124">
        <v>200000</v>
      </c>
      <c r="X116" s="123" t="s">
        <v>146</v>
      </c>
      <c r="Y116" s="122">
        <v>7.6</v>
      </c>
      <c r="Z116" s="122">
        <v>8.2799999999999994</v>
      </c>
      <c r="AA116" s="122">
        <v>8.64</v>
      </c>
      <c r="AB116" s="122">
        <v>0</v>
      </c>
      <c r="AC116" s="123" t="s">
        <v>724</v>
      </c>
      <c r="AD116" s="123" t="s">
        <v>147</v>
      </c>
      <c r="AE116" s="143">
        <v>2209.85</v>
      </c>
      <c r="AF116" s="144" t="s">
        <v>146</v>
      </c>
      <c r="AG116" s="143">
        <v>23833232</v>
      </c>
      <c r="AH116" s="144"/>
      <c r="AI116" s="143">
        <v>23833232</v>
      </c>
    </row>
    <row r="117" spans="1:35">
      <c r="A117" s="90"/>
      <c r="B117" s="90" t="s">
        <v>149</v>
      </c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145">
        <v>186730.82</v>
      </c>
      <c r="AF117" s="146" t="s">
        <v>146</v>
      </c>
      <c r="AG117" s="145">
        <v>2103462788</v>
      </c>
      <c r="AH117" s="146"/>
      <c r="AI117" s="145">
        <v>2103462788</v>
      </c>
    </row>
    <row r="118" spans="1:35">
      <c r="A118" s="122">
        <v>18</v>
      </c>
      <c r="B118" s="123" t="s">
        <v>554</v>
      </c>
      <c r="C118" s="123" t="s">
        <v>555</v>
      </c>
      <c r="D118" s="123" t="s">
        <v>535</v>
      </c>
      <c r="E118" s="123" t="s">
        <v>863</v>
      </c>
      <c r="F118" s="123" t="s">
        <v>728</v>
      </c>
      <c r="G118" s="123" t="s">
        <v>872</v>
      </c>
      <c r="H118" s="123" t="s">
        <v>726</v>
      </c>
      <c r="I118" s="123" t="s">
        <v>883</v>
      </c>
      <c r="J118" s="122">
        <v>1005002050</v>
      </c>
      <c r="K118" s="123" t="s">
        <v>8</v>
      </c>
      <c r="L118" s="123" t="s">
        <v>80</v>
      </c>
      <c r="M118" s="122">
        <v>1001026616</v>
      </c>
      <c r="N118" s="122">
        <v>1004026616</v>
      </c>
      <c r="O118" s="123" t="s">
        <v>351</v>
      </c>
      <c r="P118" s="123" t="s">
        <v>352</v>
      </c>
      <c r="Q118" s="123" t="s">
        <v>866</v>
      </c>
      <c r="R118" s="123" t="s">
        <v>142</v>
      </c>
      <c r="S118" s="123" t="s">
        <v>609</v>
      </c>
      <c r="T118" s="123" t="s">
        <v>148</v>
      </c>
      <c r="U118" s="124">
        <v>202100</v>
      </c>
      <c r="V118" s="123" t="s">
        <v>146</v>
      </c>
      <c r="W118" s="124">
        <v>201690</v>
      </c>
      <c r="X118" s="123" t="s">
        <v>146</v>
      </c>
      <c r="Y118" s="122">
        <v>6.02</v>
      </c>
      <c r="Z118" s="122">
        <v>6.84</v>
      </c>
      <c r="AA118" s="122">
        <v>7.72</v>
      </c>
      <c r="AB118" s="122">
        <v>0</v>
      </c>
      <c r="AC118" s="123" t="s">
        <v>724</v>
      </c>
      <c r="AD118" s="123" t="s">
        <v>147</v>
      </c>
      <c r="AE118" s="143">
        <v>704.24</v>
      </c>
      <c r="AF118" s="144" t="s">
        <v>146</v>
      </c>
      <c r="AG118" s="143">
        <v>7753682</v>
      </c>
      <c r="AH118" s="144"/>
      <c r="AI118" s="143">
        <v>7753682</v>
      </c>
    </row>
    <row r="119" spans="1:35">
      <c r="A119" s="123"/>
      <c r="B119" s="123"/>
      <c r="C119" s="123"/>
      <c r="D119" s="123"/>
      <c r="E119" s="123" t="s">
        <v>863</v>
      </c>
      <c r="F119" s="125" t="s">
        <v>728</v>
      </c>
      <c r="G119" s="123"/>
      <c r="H119" s="123" t="s">
        <v>722</v>
      </c>
      <c r="I119" s="123" t="s">
        <v>883</v>
      </c>
      <c r="J119" s="122">
        <v>1005002367</v>
      </c>
      <c r="K119" s="123" t="s">
        <v>70</v>
      </c>
      <c r="L119" s="123" t="s">
        <v>48</v>
      </c>
      <c r="M119" s="122">
        <v>1001026676</v>
      </c>
      <c r="N119" s="122">
        <v>1004026676</v>
      </c>
      <c r="O119" s="123" t="s">
        <v>144</v>
      </c>
      <c r="P119" s="123" t="s">
        <v>145</v>
      </c>
      <c r="Q119" s="123" t="s">
        <v>867</v>
      </c>
      <c r="R119" s="123" t="s">
        <v>142</v>
      </c>
      <c r="S119" s="123" t="s">
        <v>609</v>
      </c>
      <c r="T119" s="123" t="s">
        <v>148</v>
      </c>
      <c r="U119" s="124">
        <v>1003890</v>
      </c>
      <c r="V119" s="123" t="s">
        <v>146</v>
      </c>
      <c r="W119" s="124">
        <v>1001874</v>
      </c>
      <c r="X119" s="123" t="s">
        <v>146</v>
      </c>
      <c r="Y119" s="122">
        <v>4.46</v>
      </c>
      <c r="Z119" s="122">
        <v>0.91</v>
      </c>
      <c r="AA119" s="122">
        <v>0</v>
      </c>
      <c r="AB119" s="122">
        <v>0</v>
      </c>
      <c r="AC119" s="123" t="s">
        <v>724</v>
      </c>
      <c r="AD119" s="123" t="s">
        <v>147</v>
      </c>
      <c r="AE119" s="143">
        <v>115.37</v>
      </c>
      <c r="AF119" s="144" t="s">
        <v>146</v>
      </c>
      <c r="AG119" s="143">
        <v>1662482</v>
      </c>
      <c r="AH119" s="144"/>
      <c r="AI119" s="143">
        <v>1662482</v>
      </c>
    </row>
    <row r="120" spans="1:35">
      <c r="A120" s="123"/>
      <c r="B120" s="123"/>
      <c r="C120" s="123"/>
      <c r="D120" s="123"/>
      <c r="E120" s="123" t="s">
        <v>863</v>
      </c>
      <c r="F120" s="125" t="s">
        <v>728</v>
      </c>
      <c r="G120" s="123"/>
      <c r="H120" s="123" t="s">
        <v>726</v>
      </c>
      <c r="I120" s="123" t="s">
        <v>883</v>
      </c>
      <c r="J120" s="122">
        <v>1005002193</v>
      </c>
      <c r="K120" s="123" t="s">
        <v>729</v>
      </c>
      <c r="L120" s="123" t="s">
        <v>90</v>
      </c>
      <c r="M120" s="122">
        <v>1001026947</v>
      </c>
      <c r="N120" s="122">
        <v>1004026947</v>
      </c>
      <c r="O120" s="123" t="s">
        <v>351</v>
      </c>
      <c r="P120" s="123" t="s">
        <v>352</v>
      </c>
      <c r="Q120" s="123" t="s">
        <v>866</v>
      </c>
      <c r="R120" s="123" t="s">
        <v>142</v>
      </c>
      <c r="S120" s="123" t="s">
        <v>609</v>
      </c>
      <c r="T120" s="123" t="s">
        <v>148</v>
      </c>
      <c r="U120" s="124">
        <v>302110</v>
      </c>
      <c r="V120" s="123" t="s">
        <v>146</v>
      </c>
      <c r="W120" s="124">
        <v>301300</v>
      </c>
      <c r="X120" s="123" t="s">
        <v>146</v>
      </c>
      <c r="Y120" s="122">
        <v>4.3499999999999996</v>
      </c>
      <c r="Z120" s="122">
        <v>6.81</v>
      </c>
      <c r="AA120" s="122">
        <v>8.64</v>
      </c>
      <c r="AB120" s="122">
        <v>0</v>
      </c>
      <c r="AC120" s="123" t="s">
        <v>724</v>
      </c>
      <c r="AD120" s="123" t="s">
        <v>147</v>
      </c>
      <c r="AE120" s="143">
        <v>104.79</v>
      </c>
      <c r="AF120" s="144" t="s">
        <v>146</v>
      </c>
      <c r="AG120" s="143">
        <v>1195654</v>
      </c>
      <c r="AH120" s="144"/>
      <c r="AI120" s="143">
        <v>1195654</v>
      </c>
    </row>
    <row r="121" spans="1:35">
      <c r="A121" s="123"/>
      <c r="B121" s="123"/>
      <c r="C121" s="123"/>
      <c r="D121" s="123"/>
      <c r="E121" s="123" t="s">
        <v>863</v>
      </c>
      <c r="F121" s="125" t="s">
        <v>728</v>
      </c>
      <c r="G121" s="123"/>
      <c r="H121" s="123" t="s">
        <v>726</v>
      </c>
      <c r="I121" s="123" t="s">
        <v>883</v>
      </c>
      <c r="J121" s="122">
        <v>1005002194</v>
      </c>
      <c r="K121" s="123" t="s">
        <v>729</v>
      </c>
      <c r="L121" s="123" t="s">
        <v>90</v>
      </c>
      <c r="M121" s="122">
        <v>1001026947</v>
      </c>
      <c r="N121" s="122">
        <v>1004026947</v>
      </c>
      <c r="O121" s="123" t="s">
        <v>351</v>
      </c>
      <c r="P121" s="123" t="s">
        <v>352</v>
      </c>
      <c r="Q121" s="123" t="s">
        <v>866</v>
      </c>
      <c r="R121" s="123" t="s">
        <v>142</v>
      </c>
      <c r="S121" s="123" t="s">
        <v>609</v>
      </c>
      <c r="T121" s="123" t="s">
        <v>148</v>
      </c>
      <c r="U121" s="124">
        <v>302110</v>
      </c>
      <c r="V121" s="123" t="s">
        <v>146</v>
      </c>
      <c r="W121" s="124">
        <v>301300</v>
      </c>
      <c r="X121" s="123" t="s">
        <v>146</v>
      </c>
      <c r="Y121" s="122">
        <v>6.04</v>
      </c>
      <c r="Z121" s="122">
        <v>6.87</v>
      </c>
      <c r="AA121" s="122">
        <v>7.69</v>
      </c>
      <c r="AB121" s="122">
        <v>0</v>
      </c>
      <c r="AC121" s="123" t="s">
        <v>724</v>
      </c>
      <c r="AD121" s="123" t="s">
        <v>147</v>
      </c>
      <c r="AE121" s="143">
        <v>519.91</v>
      </c>
      <c r="AF121" s="144" t="s">
        <v>146</v>
      </c>
      <c r="AG121" s="143">
        <v>5932174</v>
      </c>
      <c r="AH121" s="144"/>
      <c r="AI121" s="143">
        <v>5932174</v>
      </c>
    </row>
    <row r="122" spans="1:35">
      <c r="A122" s="123"/>
      <c r="B122" s="123"/>
      <c r="C122" s="123"/>
      <c r="D122" s="123"/>
      <c r="E122" s="123" t="s">
        <v>863</v>
      </c>
      <c r="F122" s="125" t="s">
        <v>801</v>
      </c>
      <c r="G122" s="123"/>
      <c r="H122" s="123" t="s">
        <v>722</v>
      </c>
      <c r="I122" s="123" t="s">
        <v>883</v>
      </c>
      <c r="J122" s="122">
        <v>1005002329</v>
      </c>
      <c r="K122" s="123" t="s">
        <v>10</v>
      </c>
      <c r="L122" s="123" t="s">
        <v>90</v>
      </c>
      <c r="M122" s="122">
        <v>1001027495</v>
      </c>
      <c r="N122" s="122">
        <v>1004027495</v>
      </c>
      <c r="O122" s="123" t="s">
        <v>144</v>
      </c>
      <c r="P122" s="123" t="s">
        <v>145</v>
      </c>
      <c r="Q122" s="123" t="s">
        <v>867</v>
      </c>
      <c r="R122" s="123" t="s">
        <v>142</v>
      </c>
      <c r="S122" s="123" t="s">
        <v>609</v>
      </c>
      <c r="T122" s="123" t="s">
        <v>148</v>
      </c>
      <c r="U122" s="124">
        <v>754340</v>
      </c>
      <c r="V122" s="123" t="s">
        <v>146</v>
      </c>
      <c r="W122" s="124">
        <v>753990</v>
      </c>
      <c r="X122" s="123" t="s">
        <v>146</v>
      </c>
      <c r="Y122" s="122">
        <v>5.1100000000000003</v>
      </c>
      <c r="Z122" s="122">
        <v>0.28999999999999998</v>
      </c>
      <c r="AA122" s="122">
        <v>0</v>
      </c>
      <c r="AB122" s="122">
        <v>0</v>
      </c>
      <c r="AC122" s="123" t="s">
        <v>724</v>
      </c>
      <c r="AD122" s="123" t="s">
        <v>147</v>
      </c>
      <c r="AE122" s="143">
        <v>24920</v>
      </c>
      <c r="AF122" s="144" t="s">
        <v>146</v>
      </c>
      <c r="AG122" s="143">
        <v>2492000</v>
      </c>
      <c r="AH122" s="144"/>
      <c r="AI122" s="143">
        <v>2492000</v>
      </c>
    </row>
    <row r="123" spans="1:35">
      <c r="A123" s="123"/>
      <c r="B123" s="123"/>
      <c r="C123" s="123"/>
      <c r="D123" s="123"/>
      <c r="E123" s="123" t="s">
        <v>873</v>
      </c>
      <c r="F123" s="125" t="s">
        <v>558</v>
      </c>
      <c r="G123" s="123"/>
      <c r="H123" s="123" t="s">
        <v>844</v>
      </c>
      <c r="I123" s="123" t="s">
        <v>890</v>
      </c>
      <c r="J123" s="122">
        <v>1005002211</v>
      </c>
      <c r="K123" s="123" t="s">
        <v>89</v>
      </c>
      <c r="L123" s="123" t="s">
        <v>28</v>
      </c>
      <c r="M123" s="122">
        <v>1001026895</v>
      </c>
      <c r="N123" s="122">
        <v>1004026895</v>
      </c>
      <c r="O123" s="123" t="s">
        <v>144</v>
      </c>
      <c r="P123" s="123" t="s">
        <v>145</v>
      </c>
      <c r="Q123" s="123" t="s">
        <v>867</v>
      </c>
      <c r="R123" s="123" t="s">
        <v>142</v>
      </c>
      <c r="S123" s="123" t="s">
        <v>609</v>
      </c>
      <c r="T123" s="123" t="s">
        <v>148</v>
      </c>
      <c r="U123" s="123"/>
      <c r="V123" s="123" t="s">
        <v>146</v>
      </c>
      <c r="W123" s="124">
        <v>650000</v>
      </c>
      <c r="X123" s="123" t="s">
        <v>146</v>
      </c>
      <c r="Y123" s="122">
        <v>5.81</v>
      </c>
      <c r="Z123" s="122">
        <v>0.36</v>
      </c>
      <c r="AA123" s="122">
        <v>0</v>
      </c>
      <c r="AB123" s="122">
        <v>0</v>
      </c>
      <c r="AC123" s="123" t="s">
        <v>724</v>
      </c>
      <c r="AD123" s="123" t="s">
        <v>147</v>
      </c>
      <c r="AE123" s="143">
        <v>113400</v>
      </c>
      <c r="AF123" s="144" t="s">
        <v>146</v>
      </c>
      <c r="AG123" s="143">
        <v>26212000</v>
      </c>
      <c r="AH123" s="144"/>
      <c r="AI123" s="143">
        <v>26212000</v>
      </c>
    </row>
    <row r="124" spans="1:35">
      <c r="A124" s="123"/>
      <c r="B124" s="123"/>
      <c r="C124" s="123"/>
      <c r="D124" s="123"/>
      <c r="E124" s="123" t="s">
        <v>873</v>
      </c>
      <c r="F124" s="125" t="s">
        <v>558</v>
      </c>
      <c r="G124" s="123"/>
      <c r="H124" s="123" t="s">
        <v>844</v>
      </c>
      <c r="I124" s="123" t="s">
        <v>890</v>
      </c>
      <c r="J124" s="122">
        <v>1005002217</v>
      </c>
      <c r="K124" s="123" t="s">
        <v>89</v>
      </c>
      <c r="L124" s="123" t="s">
        <v>28</v>
      </c>
      <c r="M124" s="122">
        <v>1001026895</v>
      </c>
      <c r="N124" s="122">
        <v>1004026895</v>
      </c>
      <c r="O124" s="123" t="s">
        <v>144</v>
      </c>
      <c r="P124" s="123" t="s">
        <v>145</v>
      </c>
      <c r="Q124" s="123" t="s">
        <v>867</v>
      </c>
      <c r="R124" s="123" t="s">
        <v>142</v>
      </c>
      <c r="S124" s="123" t="s">
        <v>609</v>
      </c>
      <c r="T124" s="123" t="s">
        <v>148</v>
      </c>
      <c r="U124" s="123"/>
      <c r="V124" s="123" t="s">
        <v>146</v>
      </c>
      <c r="W124" s="124">
        <v>650000</v>
      </c>
      <c r="X124" s="123" t="s">
        <v>146</v>
      </c>
      <c r="Y124" s="122">
        <v>5.8</v>
      </c>
      <c r="Z124" s="122">
        <v>0.55000000000000004</v>
      </c>
      <c r="AA124" s="122">
        <v>0</v>
      </c>
      <c r="AB124" s="122">
        <v>0</v>
      </c>
      <c r="AC124" s="123" t="s">
        <v>724</v>
      </c>
      <c r="AD124" s="123" t="s">
        <v>147</v>
      </c>
      <c r="AE124" s="143">
        <v>3.94</v>
      </c>
      <c r="AF124" s="144" t="s">
        <v>146</v>
      </c>
      <c r="AG124" s="143">
        <v>55259</v>
      </c>
      <c r="AH124" s="144"/>
      <c r="AI124" s="143">
        <v>55259</v>
      </c>
    </row>
    <row r="125" spans="1:35">
      <c r="A125" s="90"/>
      <c r="B125" s="90" t="s">
        <v>149</v>
      </c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145">
        <v>139768.25</v>
      </c>
      <c r="AF125" s="146" t="s">
        <v>146</v>
      </c>
      <c r="AG125" s="145">
        <v>45303251</v>
      </c>
      <c r="AH125" s="146"/>
      <c r="AI125" s="145">
        <v>45303251</v>
      </c>
    </row>
    <row r="126" spans="1:35">
      <c r="A126" s="122">
        <v>19</v>
      </c>
      <c r="B126" s="123" t="s">
        <v>559</v>
      </c>
      <c r="C126" s="123" t="s">
        <v>560</v>
      </c>
      <c r="D126" s="123" t="s">
        <v>535</v>
      </c>
      <c r="E126" s="123" t="s">
        <v>873</v>
      </c>
      <c r="F126" s="123" t="s">
        <v>560</v>
      </c>
      <c r="G126" s="123" t="s">
        <v>872</v>
      </c>
      <c r="H126" s="123" t="s">
        <v>844</v>
      </c>
      <c r="I126" s="123" t="s">
        <v>883</v>
      </c>
      <c r="J126" s="122">
        <v>1005002207</v>
      </c>
      <c r="K126" s="123" t="s">
        <v>89</v>
      </c>
      <c r="L126" s="123" t="s">
        <v>28</v>
      </c>
      <c r="M126" s="122">
        <v>1001023754</v>
      </c>
      <c r="N126" s="122">
        <v>1004023754</v>
      </c>
      <c r="O126" s="123" t="s">
        <v>271</v>
      </c>
      <c r="P126" s="123" t="s">
        <v>179</v>
      </c>
      <c r="Q126" s="123" t="s">
        <v>179</v>
      </c>
      <c r="R126" s="123" t="s">
        <v>142</v>
      </c>
      <c r="S126" s="123" t="s">
        <v>609</v>
      </c>
      <c r="T126" s="123" t="s">
        <v>148</v>
      </c>
      <c r="U126" s="124">
        <v>95000</v>
      </c>
      <c r="V126" s="123" t="s">
        <v>146</v>
      </c>
      <c r="W126" s="124">
        <v>94778</v>
      </c>
      <c r="X126" s="123" t="s">
        <v>146</v>
      </c>
      <c r="Y126" s="122">
        <v>0</v>
      </c>
      <c r="Z126" s="122">
        <v>24.19</v>
      </c>
      <c r="AA126" s="122">
        <v>2.82</v>
      </c>
      <c r="AB126" s="122">
        <v>0</v>
      </c>
      <c r="AC126" s="123" t="s">
        <v>724</v>
      </c>
      <c r="AD126" s="123" t="s">
        <v>147</v>
      </c>
      <c r="AE126" s="143">
        <v>2257.5500000000002</v>
      </c>
      <c r="AF126" s="144" t="s">
        <v>146</v>
      </c>
      <c r="AG126" s="143">
        <v>2076946</v>
      </c>
      <c r="AH126" s="144"/>
      <c r="AI126" s="143">
        <v>2076946</v>
      </c>
    </row>
    <row r="127" spans="1:35">
      <c r="A127" s="123"/>
      <c r="B127" s="123"/>
      <c r="C127" s="123"/>
      <c r="D127" s="123"/>
      <c r="E127" s="123" t="s">
        <v>873</v>
      </c>
      <c r="F127" s="125" t="s">
        <v>560</v>
      </c>
      <c r="G127" s="123"/>
      <c r="H127" s="123" t="s">
        <v>844</v>
      </c>
      <c r="I127" s="123" t="s">
        <v>891</v>
      </c>
      <c r="J127" s="122">
        <v>1005002174</v>
      </c>
      <c r="K127" s="123" t="s">
        <v>63</v>
      </c>
      <c r="L127" s="123" t="s">
        <v>28</v>
      </c>
      <c r="M127" s="122">
        <v>1001023671</v>
      </c>
      <c r="N127" s="122">
        <v>1004023671</v>
      </c>
      <c r="O127" s="123" t="s">
        <v>144</v>
      </c>
      <c r="P127" s="123" t="s">
        <v>145</v>
      </c>
      <c r="Q127" s="123" t="s">
        <v>867</v>
      </c>
      <c r="R127" s="123" t="s">
        <v>142</v>
      </c>
      <c r="S127" s="123" t="s">
        <v>609</v>
      </c>
      <c r="T127" s="123" t="s">
        <v>148</v>
      </c>
      <c r="U127" s="123"/>
      <c r="V127" s="123" t="s">
        <v>146</v>
      </c>
      <c r="W127" s="124">
        <v>3100000</v>
      </c>
      <c r="X127" s="123" t="s">
        <v>146</v>
      </c>
      <c r="Y127" s="122">
        <v>4.5999999999999996</v>
      </c>
      <c r="Z127" s="122">
        <v>0.53</v>
      </c>
      <c r="AA127" s="122">
        <v>0</v>
      </c>
      <c r="AB127" s="122">
        <v>0</v>
      </c>
      <c r="AC127" s="123" t="s">
        <v>724</v>
      </c>
      <c r="AD127" s="123" t="s">
        <v>147</v>
      </c>
      <c r="AE127" s="143">
        <v>2.35</v>
      </c>
      <c r="AF127" s="144" t="s">
        <v>146</v>
      </c>
      <c r="AG127" s="143">
        <v>29918</v>
      </c>
      <c r="AH127" s="144"/>
      <c r="AI127" s="143">
        <v>29918</v>
      </c>
    </row>
    <row r="128" spans="1:35">
      <c r="A128" s="123"/>
      <c r="B128" s="123"/>
      <c r="C128" s="123"/>
      <c r="D128" s="123"/>
      <c r="E128" s="123" t="s">
        <v>873</v>
      </c>
      <c r="F128" s="125" t="s">
        <v>560</v>
      </c>
      <c r="G128" s="123"/>
      <c r="H128" s="123" t="s">
        <v>844</v>
      </c>
      <c r="I128" s="123" t="s">
        <v>891</v>
      </c>
      <c r="J128" s="122">
        <v>1005002161</v>
      </c>
      <c r="K128" s="123" t="s">
        <v>62</v>
      </c>
      <c r="L128" s="123" t="s">
        <v>60</v>
      </c>
      <c r="M128" s="122">
        <v>1001026153</v>
      </c>
      <c r="N128" s="122">
        <v>1004026153</v>
      </c>
      <c r="O128" s="123" t="s">
        <v>351</v>
      </c>
      <c r="P128" s="123" t="s">
        <v>352</v>
      </c>
      <c r="Q128" s="123" t="s">
        <v>866</v>
      </c>
      <c r="R128" s="123" t="s">
        <v>142</v>
      </c>
      <c r="S128" s="123" t="s">
        <v>609</v>
      </c>
      <c r="T128" s="123" t="s">
        <v>148</v>
      </c>
      <c r="U128" s="123"/>
      <c r="V128" s="123" t="s">
        <v>146</v>
      </c>
      <c r="W128" s="124">
        <v>100000</v>
      </c>
      <c r="X128" s="123" t="s">
        <v>146</v>
      </c>
      <c r="Y128" s="122">
        <v>1.73</v>
      </c>
      <c r="Z128" s="122">
        <v>7.42</v>
      </c>
      <c r="AA128" s="122">
        <v>8.75</v>
      </c>
      <c r="AB128" s="122">
        <v>0</v>
      </c>
      <c r="AC128" s="123" t="s">
        <v>724</v>
      </c>
      <c r="AD128" s="123" t="s">
        <v>147</v>
      </c>
      <c r="AE128" s="143">
        <v>28.95</v>
      </c>
      <c r="AF128" s="144" t="s">
        <v>146</v>
      </c>
      <c r="AG128" s="143">
        <v>323487</v>
      </c>
      <c r="AH128" s="144"/>
      <c r="AI128" s="143">
        <v>323487</v>
      </c>
    </row>
    <row r="129" spans="1:35">
      <c r="A129" s="123"/>
      <c r="B129" s="123"/>
      <c r="C129" s="123"/>
      <c r="D129" s="123"/>
      <c r="E129" s="123" t="s">
        <v>873</v>
      </c>
      <c r="F129" s="125" t="s">
        <v>560</v>
      </c>
      <c r="G129" s="123"/>
      <c r="H129" s="123" t="s">
        <v>844</v>
      </c>
      <c r="I129" s="123" t="s">
        <v>891</v>
      </c>
      <c r="J129" s="122">
        <v>1005002176</v>
      </c>
      <c r="K129" s="123" t="s">
        <v>64</v>
      </c>
      <c r="L129" s="123" t="s">
        <v>60</v>
      </c>
      <c r="M129" s="122">
        <v>1001026353</v>
      </c>
      <c r="N129" s="122">
        <v>1004026353</v>
      </c>
      <c r="O129" s="123" t="s">
        <v>351</v>
      </c>
      <c r="P129" s="123" t="s">
        <v>352</v>
      </c>
      <c r="Q129" s="123" t="s">
        <v>866</v>
      </c>
      <c r="R129" s="123" t="s">
        <v>142</v>
      </c>
      <c r="S129" s="123" t="s">
        <v>609</v>
      </c>
      <c r="T129" s="123" t="s">
        <v>148</v>
      </c>
      <c r="U129" s="123"/>
      <c r="V129" s="123" t="s">
        <v>146</v>
      </c>
      <c r="W129" s="124">
        <v>100000</v>
      </c>
      <c r="X129" s="123" t="s">
        <v>146</v>
      </c>
      <c r="Y129" s="122">
        <v>2.54</v>
      </c>
      <c r="Z129" s="122">
        <v>6.87</v>
      </c>
      <c r="AA129" s="122">
        <v>8.68</v>
      </c>
      <c r="AB129" s="122">
        <v>0</v>
      </c>
      <c r="AC129" s="123" t="s">
        <v>724</v>
      </c>
      <c r="AD129" s="123" t="s">
        <v>147</v>
      </c>
      <c r="AE129" s="143">
        <v>145.63</v>
      </c>
      <c r="AF129" s="144" t="s">
        <v>146</v>
      </c>
      <c r="AG129" s="143">
        <v>1584746</v>
      </c>
      <c r="AH129" s="144"/>
      <c r="AI129" s="143">
        <v>1584746</v>
      </c>
    </row>
    <row r="130" spans="1:35">
      <c r="A130" s="123"/>
      <c r="B130" s="123"/>
      <c r="C130" s="123"/>
      <c r="D130" s="123"/>
      <c r="E130" s="123" t="s">
        <v>873</v>
      </c>
      <c r="F130" s="125" t="s">
        <v>560</v>
      </c>
      <c r="G130" s="123"/>
      <c r="H130" s="123" t="s">
        <v>844</v>
      </c>
      <c r="I130" s="123" t="s">
        <v>891</v>
      </c>
      <c r="J130" s="122">
        <v>1005002204</v>
      </c>
      <c r="K130" s="123" t="s">
        <v>89</v>
      </c>
      <c r="L130" s="123" t="s">
        <v>28</v>
      </c>
      <c r="M130" s="122">
        <v>1001026463</v>
      </c>
      <c r="N130" s="122">
        <v>1004026463</v>
      </c>
      <c r="O130" s="123" t="s">
        <v>351</v>
      </c>
      <c r="P130" s="123" t="s">
        <v>352</v>
      </c>
      <c r="Q130" s="123" t="s">
        <v>866</v>
      </c>
      <c r="R130" s="123" t="s">
        <v>142</v>
      </c>
      <c r="S130" s="123" t="s">
        <v>609</v>
      </c>
      <c r="T130" s="123" t="s">
        <v>148</v>
      </c>
      <c r="U130" s="123"/>
      <c r="V130" s="123" t="s">
        <v>146</v>
      </c>
      <c r="W130" s="124">
        <v>150000</v>
      </c>
      <c r="X130" s="123" t="s">
        <v>146</v>
      </c>
      <c r="Y130" s="122">
        <v>3.54</v>
      </c>
      <c r="Z130" s="122">
        <v>7.16</v>
      </c>
      <c r="AA130" s="122">
        <v>8.6199999999999992</v>
      </c>
      <c r="AB130" s="122">
        <v>0</v>
      </c>
      <c r="AC130" s="123" t="s">
        <v>724</v>
      </c>
      <c r="AD130" s="123" t="s">
        <v>147</v>
      </c>
      <c r="AE130" s="143">
        <v>695.84</v>
      </c>
      <c r="AF130" s="144" t="s">
        <v>146</v>
      </c>
      <c r="AG130" s="143">
        <v>7485845</v>
      </c>
      <c r="AH130" s="144"/>
      <c r="AI130" s="143">
        <v>7485845</v>
      </c>
    </row>
    <row r="131" spans="1:35">
      <c r="A131" s="123"/>
      <c r="B131" s="123"/>
      <c r="C131" s="123"/>
      <c r="D131" s="123"/>
      <c r="E131" s="123" t="s">
        <v>873</v>
      </c>
      <c r="F131" s="125" t="s">
        <v>560</v>
      </c>
      <c r="G131" s="123"/>
      <c r="H131" s="123" t="s">
        <v>844</v>
      </c>
      <c r="I131" s="123" t="s">
        <v>891</v>
      </c>
      <c r="J131" s="122">
        <v>1005002205</v>
      </c>
      <c r="K131" s="123" t="s">
        <v>89</v>
      </c>
      <c r="L131" s="123" t="s">
        <v>28</v>
      </c>
      <c r="M131" s="122">
        <v>1001026593</v>
      </c>
      <c r="N131" s="122">
        <v>1004026593</v>
      </c>
      <c r="O131" s="123" t="s">
        <v>351</v>
      </c>
      <c r="P131" s="123" t="s">
        <v>352</v>
      </c>
      <c r="Q131" s="123" t="s">
        <v>866</v>
      </c>
      <c r="R131" s="123" t="s">
        <v>142</v>
      </c>
      <c r="S131" s="123" t="s">
        <v>609</v>
      </c>
      <c r="T131" s="123" t="s">
        <v>148</v>
      </c>
      <c r="U131" s="123"/>
      <c r="V131" s="123" t="s">
        <v>146</v>
      </c>
      <c r="W131" s="124">
        <v>100000</v>
      </c>
      <c r="X131" s="123" t="s">
        <v>146</v>
      </c>
      <c r="Y131" s="122">
        <v>2.61</v>
      </c>
      <c r="Z131" s="122">
        <v>7.48</v>
      </c>
      <c r="AA131" s="122">
        <v>8.67</v>
      </c>
      <c r="AB131" s="122">
        <v>0</v>
      </c>
      <c r="AC131" s="123" t="s">
        <v>724</v>
      </c>
      <c r="AD131" s="123" t="s">
        <v>147</v>
      </c>
      <c r="AE131" s="143">
        <v>271.95999999999998</v>
      </c>
      <c r="AF131" s="144" t="s">
        <v>146</v>
      </c>
      <c r="AG131" s="143">
        <v>2942335</v>
      </c>
      <c r="AH131" s="144"/>
      <c r="AI131" s="143">
        <v>2942335</v>
      </c>
    </row>
    <row r="132" spans="1:35">
      <c r="A132" s="123"/>
      <c r="B132" s="123"/>
      <c r="C132" s="123"/>
      <c r="D132" s="123"/>
      <c r="E132" s="123" t="s">
        <v>873</v>
      </c>
      <c r="F132" s="125" t="s">
        <v>560</v>
      </c>
      <c r="G132" s="123"/>
      <c r="H132" s="123" t="s">
        <v>844</v>
      </c>
      <c r="I132" s="123" t="s">
        <v>891</v>
      </c>
      <c r="J132" s="122">
        <v>1005002173</v>
      </c>
      <c r="K132" s="123" t="s">
        <v>63</v>
      </c>
      <c r="L132" s="123" t="s">
        <v>60</v>
      </c>
      <c r="M132" s="122">
        <v>1001026782</v>
      </c>
      <c r="N132" s="122">
        <v>1004026782</v>
      </c>
      <c r="O132" s="123" t="s">
        <v>144</v>
      </c>
      <c r="P132" s="123" t="s">
        <v>145</v>
      </c>
      <c r="Q132" s="123" t="s">
        <v>867</v>
      </c>
      <c r="R132" s="123" t="s">
        <v>142</v>
      </c>
      <c r="S132" s="123" t="s">
        <v>609</v>
      </c>
      <c r="T132" s="123" t="s">
        <v>148</v>
      </c>
      <c r="U132" s="123"/>
      <c r="V132" s="123" t="s">
        <v>146</v>
      </c>
      <c r="W132" s="124">
        <v>550000</v>
      </c>
      <c r="X132" s="123" t="s">
        <v>146</v>
      </c>
      <c r="Y132" s="122">
        <v>3.99</v>
      </c>
      <c r="Z132" s="122">
        <v>0.53</v>
      </c>
      <c r="AA132" s="122">
        <v>0</v>
      </c>
      <c r="AB132" s="122">
        <v>0</v>
      </c>
      <c r="AC132" s="123" t="s">
        <v>724</v>
      </c>
      <c r="AD132" s="123" t="s">
        <v>147</v>
      </c>
      <c r="AE132" s="143">
        <v>5.0599999999999996</v>
      </c>
      <c r="AF132" s="144" t="s">
        <v>146</v>
      </c>
      <c r="AG132" s="143">
        <v>70679</v>
      </c>
      <c r="AH132" s="144"/>
      <c r="AI132" s="143">
        <v>70679</v>
      </c>
    </row>
    <row r="133" spans="1:35">
      <c r="A133" s="123"/>
      <c r="B133" s="123"/>
      <c r="C133" s="123"/>
      <c r="D133" s="123"/>
      <c r="E133" s="123" t="s">
        <v>873</v>
      </c>
      <c r="F133" s="125" t="s">
        <v>560</v>
      </c>
      <c r="G133" s="123"/>
      <c r="H133" s="123" t="s">
        <v>844</v>
      </c>
      <c r="I133" s="123" t="s">
        <v>891</v>
      </c>
      <c r="J133" s="122">
        <v>1005002202</v>
      </c>
      <c r="K133" s="123" t="s">
        <v>89</v>
      </c>
      <c r="L133" s="123" t="s">
        <v>28</v>
      </c>
      <c r="M133" s="122">
        <v>1001026896</v>
      </c>
      <c r="N133" s="122">
        <v>1004026896</v>
      </c>
      <c r="O133" s="123" t="s">
        <v>144</v>
      </c>
      <c r="P133" s="123" t="s">
        <v>145</v>
      </c>
      <c r="Q133" s="123" t="s">
        <v>867</v>
      </c>
      <c r="R133" s="123" t="s">
        <v>142</v>
      </c>
      <c r="S133" s="123" t="s">
        <v>609</v>
      </c>
      <c r="T133" s="123" t="s">
        <v>148</v>
      </c>
      <c r="U133" s="123"/>
      <c r="V133" s="123" t="s">
        <v>146</v>
      </c>
      <c r="W133" s="124">
        <v>350000</v>
      </c>
      <c r="X133" s="123" t="s">
        <v>146</v>
      </c>
      <c r="Y133" s="122">
        <v>5.22</v>
      </c>
      <c r="Z133" s="122">
        <v>0.27</v>
      </c>
      <c r="AA133" s="122">
        <v>0</v>
      </c>
      <c r="AB133" s="122">
        <v>0</v>
      </c>
      <c r="AC133" s="123" t="s">
        <v>724</v>
      </c>
      <c r="AD133" s="123" t="s">
        <v>147</v>
      </c>
      <c r="AE133" s="143">
        <v>94160</v>
      </c>
      <c r="AF133" s="144" t="s">
        <v>146</v>
      </c>
      <c r="AG133" s="143">
        <v>9416000</v>
      </c>
      <c r="AH133" s="144"/>
      <c r="AI133" s="143">
        <v>9416000</v>
      </c>
    </row>
    <row r="134" spans="1:35">
      <c r="A134" s="90"/>
      <c r="B134" s="90" t="s">
        <v>149</v>
      </c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145">
        <v>97567.34</v>
      </c>
      <c r="AF134" s="146" t="s">
        <v>146</v>
      </c>
      <c r="AG134" s="145">
        <v>23929956</v>
      </c>
      <c r="AH134" s="146"/>
      <c r="AI134" s="145">
        <v>23929956</v>
      </c>
    </row>
    <row r="135" spans="1:35">
      <c r="A135" s="122">
        <v>20</v>
      </c>
      <c r="B135" s="123" t="s">
        <v>576</v>
      </c>
      <c r="C135" s="123" t="s">
        <v>577</v>
      </c>
      <c r="D135" s="123" t="s">
        <v>535</v>
      </c>
      <c r="E135" s="123" t="s">
        <v>863</v>
      </c>
      <c r="F135" s="123" t="s">
        <v>720</v>
      </c>
      <c r="G135" s="123" t="s">
        <v>872</v>
      </c>
      <c r="H135" s="123" t="s">
        <v>722</v>
      </c>
      <c r="I135" s="123" t="s">
        <v>883</v>
      </c>
      <c r="J135" s="122">
        <v>1005000598</v>
      </c>
      <c r="K135" s="123" t="s">
        <v>723</v>
      </c>
      <c r="L135" s="123" t="s">
        <v>60</v>
      </c>
      <c r="M135" s="122">
        <v>1001021027</v>
      </c>
      <c r="N135" s="122">
        <v>1004021027</v>
      </c>
      <c r="O135" s="123" t="s">
        <v>144</v>
      </c>
      <c r="P135" s="123" t="s">
        <v>145</v>
      </c>
      <c r="Q135" s="123" t="s">
        <v>867</v>
      </c>
      <c r="R135" s="123" t="s">
        <v>142</v>
      </c>
      <c r="S135" s="123" t="s">
        <v>609</v>
      </c>
      <c r="T135" s="123" t="s">
        <v>148</v>
      </c>
      <c r="U135" s="124">
        <v>1494870</v>
      </c>
      <c r="V135" s="123" t="s">
        <v>146</v>
      </c>
      <c r="W135" s="124">
        <v>1492470</v>
      </c>
      <c r="X135" s="123" t="s">
        <v>146</v>
      </c>
      <c r="Y135" s="122">
        <v>5.14</v>
      </c>
      <c r="Z135" s="122">
        <v>0.32</v>
      </c>
      <c r="AA135" s="122">
        <v>0</v>
      </c>
      <c r="AB135" s="122">
        <v>0</v>
      </c>
      <c r="AC135" s="123" t="s">
        <v>724</v>
      </c>
      <c r="AD135" s="123" t="s">
        <v>147</v>
      </c>
      <c r="AE135" s="143">
        <v>307920</v>
      </c>
      <c r="AF135" s="144" t="s">
        <v>146</v>
      </c>
      <c r="AG135" s="143">
        <v>30792000</v>
      </c>
      <c r="AH135" s="144"/>
      <c r="AI135" s="143">
        <v>30792000</v>
      </c>
    </row>
    <row r="136" spans="1:35">
      <c r="A136" s="123"/>
      <c r="B136" s="123"/>
      <c r="C136" s="123"/>
      <c r="D136" s="123"/>
      <c r="E136" s="123" t="s">
        <v>863</v>
      </c>
      <c r="F136" s="125" t="s">
        <v>720</v>
      </c>
      <c r="G136" s="123"/>
      <c r="H136" s="123" t="s">
        <v>722</v>
      </c>
      <c r="I136" s="123" t="s">
        <v>883</v>
      </c>
      <c r="J136" s="122">
        <v>1005000596</v>
      </c>
      <c r="K136" s="123" t="s">
        <v>723</v>
      </c>
      <c r="L136" s="123" t="s">
        <v>60</v>
      </c>
      <c r="M136" s="122">
        <v>1001021435</v>
      </c>
      <c r="N136" s="122">
        <v>1004021435</v>
      </c>
      <c r="O136" s="123" t="s">
        <v>144</v>
      </c>
      <c r="P136" s="123" t="s">
        <v>145</v>
      </c>
      <c r="Q136" s="123" t="s">
        <v>867</v>
      </c>
      <c r="R136" s="123" t="s">
        <v>142</v>
      </c>
      <c r="S136" s="123" t="s">
        <v>609</v>
      </c>
      <c r="T136" s="123" t="s">
        <v>148</v>
      </c>
      <c r="U136" s="124">
        <v>1000320</v>
      </c>
      <c r="V136" s="123" t="s">
        <v>146</v>
      </c>
      <c r="W136" s="124">
        <v>998880</v>
      </c>
      <c r="X136" s="123" t="s">
        <v>146</v>
      </c>
      <c r="Y136" s="122">
        <v>4.8</v>
      </c>
      <c r="Z136" s="122">
        <v>0.97</v>
      </c>
      <c r="AA136" s="122">
        <v>0</v>
      </c>
      <c r="AB136" s="122">
        <v>0</v>
      </c>
      <c r="AC136" s="123" t="s">
        <v>724</v>
      </c>
      <c r="AD136" s="123" t="s">
        <v>147</v>
      </c>
      <c r="AE136" s="143">
        <v>78.58</v>
      </c>
      <c r="AF136" s="144" t="s">
        <v>146</v>
      </c>
      <c r="AG136" s="143">
        <v>1191980</v>
      </c>
      <c r="AH136" s="144"/>
      <c r="AI136" s="143">
        <v>1191980</v>
      </c>
    </row>
    <row r="137" spans="1:35">
      <c r="A137" s="90"/>
      <c r="B137" s="90" t="s">
        <v>149</v>
      </c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145">
        <v>307998.58</v>
      </c>
      <c r="AF137" s="146" t="s">
        <v>146</v>
      </c>
      <c r="AG137" s="145">
        <v>31983980</v>
      </c>
      <c r="AH137" s="146"/>
      <c r="AI137" s="145">
        <v>31983980</v>
      </c>
    </row>
    <row r="138" spans="1:35">
      <c r="A138" s="122">
        <v>21</v>
      </c>
      <c r="B138" s="123" t="s">
        <v>579</v>
      </c>
      <c r="C138" s="123" t="s">
        <v>539</v>
      </c>
      <c r="D138" s="123" t="s">
        <v>535</v>
      </c>
      <c r="E138" s="123" t="s">
        <v>873</v>
      </c>
      <c r="F138" s="123" t="s">
        <v>539</v>
      </c>
      <c r="G138" s="123" t="s">
        <v>872</v>
      </c>
      <c r="H138" s="123" t="s">
        <v>844</v>
      </c>
      <c r="I138" s="123" t="s">
        <v>892</v>
      </c>
      <c r="J138" s="122">
        <v>1005001972</v>
      </c>
      <c r="K138" s="123" t="s">
        <v>769</v>
      </c>
      <c r="L138" s="123" t="s">
        <v>60</v>
      </c>
      <c r="M138" s="122">
        <v>1001026257</v>
      </c>
      <c r="N138" s="122">
        <v>1004026257</v>
      </c>
      <c r="O138" s="123" t="s">
        <v>144</v>
      </c>
      <c r="P138" s="123" t="s">
        <v>145</v>
      </c>
      <c r="Q138" s="123" t="s">
        <v>867</v>
      </c>
      <c r="R138" s="123" t="s">
        <v>142</v>
      </c>
      <c r="S138" s="123" t="s">
        <v>609</v>
      </c>
      <c r="T138" s="123" t="s">
        <v>148</v>
      </c>
      <c r="U138" s="123"/>
      <c r="V138" s="123" t="s">
        <v>146</v>
      </c>
      <c r="W138" s="124">
        <v>50000</v>
      </c>
      <c r="X138" s="123" t="s">
        <v>146</v>
      </c>
      <c r="Y138" s="122">
        <v>9.68</v>
      </c>
      <c r="Z138" s="122">
        <v>0.35</v>
      </c>
      <c r="AA138" s="122">
        <v>0</v>
      </c>
      <c r="AB138" s="122">
        <v>0</v>
      </c>
      <c r="AC138" s="123" t="s">
        <v>724</v>
      </c>
      <c r="AD138" s="123" t="s">
        <v>147</v>
      </c>
      <c r="AE138" s="143">
        <v>3840</v>
      </c>
      <c r="AF138" s="144" t="s">
        <v>146</v>
      </c>
      <c r="AG138" s="143">
        <v>6720000</v>
      </c>
      <c r="AH138" s="144"/>
      <c r="AI138" s="143">
        <v>6720000</v>
      </c>
    </row>
    <row r="139" spans="1:35">
      <c r="A139" s="123"/>
      <c r="B139" s="123"/>
      <c r="C139" s="123"/>
      <c r="D139" s="123"/>
      <c r="E139" s="123" t="s">
        <v>873</v>
      </c>
      <c r="F139" s="125" t="s">
        <v>539</v>
      </c>
      <c r="G139" s="123"/>
      <c r="H139" s="123" t="s">
        <v>844</v>
      </c>
      <c r="I139" s="123" t="s">
        <v>892</v>
      </c>
      <c r="J139" s="122">
        <v>1005002212</v>
      </c>
      <c r="K139" s="123" t="s">
        <v>89</v>
      </c>
      <c r="L139" s="123" t="s">
        <v>28</v>
      </c>
      <c r="M139" s="122">
        <v>1001026499</v>
      </c>
      <c r="N139" s="122">
        <v>1004026499</v>
      </c>
      <c r="O139" s="123" t="s">
        <v>144</v>
      </c>
      <c r="P139" s="123" t="s">
        <v>145</v>
      </c>
      <c r="Q139" s="123" t="s">
        <v>867</v>
      </c>
      <c r="R139" s="123" t="s">
        <v>142</v>
      </c>
      <c r="S139" s="123" t="s">
        <v>609</v>
      </c>
      <c r="T139" s="123" t="s">
        <v>148</v>
      </c>
      <c r="U139" s="123"/>
      <c r="V139" s="123" t="s">
        <v>146</v>
      </c>
      <c r="W139" s="124">
        <v>100000</v>
      </c>
      <c r="X139" s="123" t="s">
        <v>146</v>
      </c>
      <c r="Y139" s="122">
        <v>10.210000000000001</v>
      </c>
      <c r="Z139" s="122">
        <v>0.44</v>
      </c>
      <c r="AA139" s="122">
        <v>0</v>
      </c>
      <c r="AB139" s="122">
        <v>0</v>
      </c>
      <c r="AC139" s="123" t="s">
        <v>724</v>
      </c>
      <c r="AD139" s="123" t="s">
        <v>147</v>
      </c>
      <c r="AE139" s="143">
        <v>100000</v>
      </c>
      <c r="AF139" s="144" t="s">
        <v>146</v>
      </c>
      <c r="AG139" s="143">
        <v>203270000</v>
      </c>
      <c r="AH139" s="144"/>
      <c r="AI139" s="143">
        <v>203270000</v>
      </c>
    </row>
    <row r="140" spans="1:35">
      <c r="A140" s="90"/>
      <c r="B140" s="90" t="s">
        <v>149</v>
      </c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145">
        <v>103840</v>
      </c>
      <c r="AF140" s="146" t="s">
        <v>146</v>
      </c>
      <c r="AG140" s="145">
        <v>209990000</v>
      </c>
      <c r="AH140" s="146"/>
      <c r="AI140" s="145">
        <v>209990000</v>
      </c>
    </row>
    <row r="141" spans="1:35">
      <c r="A141" s="91"/>
      <c r="B141" s="91" t="s">
        <v>880</v>
      </c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147">
        <v>13590800.960000001</v>
      </c>
      <c r="AF141" s="148" t="s">
        <v>146</v>
      </c>
      <c r="AG141" s="147">
        <v>4223755138</v>
      </c>
      <c r="AH141" s="147">
        <v>48445688.060000002</v>
      </c>
      <c r="AI141" s="147">
        <v>4272200826.0599999</v>
      </c>
    </row>
    <row r="336" spans="25:35" s="131" customFormat="1">
      <c r="Y336" s="132"/>
      <c r="Z336" s="132"/>
      <c r="AA336" s="132"/>
      <c r="AB336" s="132"/>
      <c r="AE336" s="149"/>
      <c r="AF336" s="149"/>
      <c r="AG336" s="149"/>
      <c r="AH336" s="149"/>
      <c r="AI336" s="149"/>
    </row>
  </sheetData>
  <autoFilter ref="A8:AI141" xr:uid="{00000000-0009-0000-0000-000007000000}"/>
  <mergeCells count="5">
    <mergeCell ref="U5:X5"/>
    <mergeCell ref="Y5:AB5"/>
    <mergeCell ref="U6:X6"/>
    <mergeCell ref="Y6:AB6"/>
    <mergeCell ref="AE5:AI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I336"/>
  <sheetViews>
    <sheetView workbookViewId="0">
      <pane xSplit="3" ySplit="8" topLeftCell="D77" activePane="bottomRight" state="frozen"/>
      <selection pane="topRight" activeCell="D1" sqref="D1"/>
      <selection pane="bottomLeft" activeCell="A9" sqref="A9"/>
      <selection pane="bottomRight" activeCell="AK84" sqref="AK84"/>
    </sheetView>
  </sheetViews>
  <sheetFormatPr defaultRowHeight="14.5"/>
  <cols>
    <col min="1" max="1" width="4.26953125" bestFit="1" customWidth="1"/>
    <col min="2" max="2" width="14" hidden="1" customWidth="1"/>
    <col min="3" max="3" width="35.6328125" customWidth="1"/>
    <col min="4" max="4" width="12.54296875" bestFit="1" customWidth="1"/>
    <col min="5" max="5" width="13.453125" hidden="1" customWidth="1"/>
    <col min="6" max="6" width="39" hidden="1" customWidth="1"/>
    <col min="7" max="7" width="25.54296875" hidden="1" customWidth="1"/>
    <col min="8" max="8" width="11.1796875" hidden="1" customWidth="1"/>
    <col min="9" max="9" width="18.453125" hidden="1" customWidth="1"/>
    <col min="10" max="10" width="12.54296875" hidden="1" customWidth="1"/>
    <col min="11" max="11" width="11.54296875" customWidth="1"/>
    <col min="12" max="12" width="13.453125" customWidth="1"/>
    <col min="13" max="13" width="12.54296875" bestFit="1" customWidth="1"/>
    <col min="14" max="14" width="13.1796875" hidden="1" customWidth="1"/>
    <col min="15" max="15" width="13.453125" hidden="1" customWidth="1"/>
    <col min="16" max="16" width="12.7265625" bestFit="1" customWidth="1"/>
    <col min="17" max="17" width="24.453125" hidden="1" customWidth="1"/>
    <col min="18" max="18" width="5.26953125" hidden="1" customWidth="1"/>
    <col min="19" max="19" width="5.7265625" hidden="1" customWidth="1"/>
    <col min="20" max="20" width="7.81640625" hidden="1" customWidth="1"/>
    <col min="21" max="21" width="13.1796875" hidden="1" customWidth="1"/>
    <col min="22" max="22" width="5.453125" hidden="1" customWidth="1"/>
    <col min="23" max="23" width="13.1796875" hidden="1" customWidth="1"/>
    <col min="24" max="24" width="5.453125" hidden="1" customWidth="1"/>
    <col min="25" max="28" width="9.54296875" style="104" hidden="1" customWidth="1"/>
    <col min="29" max="29" width="0" hidden="1" customWidth="1"/>
    <col min="30" max="30" width="6.81640625" hidden="1" customWidth="1"/>
    <col min="31" max="31" width="13" style="82" bestFit="1" customWidth="1"/>
    <col min="32" max="32" width="0" style="82" hidden="1" customWidth="1"/>
    <col min="33" max="33" width="16.81640625" style="82" hidden="1" customWidth="1"/>
    <col min="34" max="34" width="13" style="82" hidden="1" customWidth="1"/>
    <col min="35" max="35" width="15.7265625" style="82" bestFit="1" customWidth="1"/>
  </cols>
  <sheetData>
    <row r="1" spans="1:35">
      <c r="A1" s="83" t="s">
        <v>625</v>
      </c>
    </row>
    <row r="2" spans="1:35">
      <c r="A2" s="83" t="s">
        <v>895</v>
      </c>
    </row>
    <row r="3" spans="1:35">
      <c r="A3" s="83" t="s">
        <v>644</v>
      </c>
    </row>
    <row r="5" spans="1:35" s="89" customFormat="1">
      <c r="A5" s="134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 t="s">
        <v>0</v>
      </c>
      <c r="T5" s="134" t="s">
        <v>699</v>
      </c>
      <c r="U5" s="185" t="s">
        <v>850</v>
      </c>
      <c r="V5" s="185"/>
      <c r="W5" s="185"/>
      <c r="X5" s="185"/>
      <c r="Y5" s="186" t="s">
        <v>851</v>
      </c>
      <c r="Z5" s="186"/>
      <c r="AA5" s="186"/>
      <c r="AB5" s="186"/>
      <c r="AC5" s="134"/>
      <c r="AD5" s="134"/>
      <c r="AE5" s="187" t="s">
        <v>700</v>
      </c>
      <c r="AF5" s="188"/>
      <c r="AG5" s="188"/>
      <c r="AH5" s="188"/>
      <c r="AI5" s="189"/>
    </row>
    <row r="6" spans="1:35" s="89" customFormat="1">
      <c r="A6" s="134" t="s">
        <v>124</v>
      </c>
      <c r="B6" s="134" t="s">
        <v>125</v>
      </c>
      <c r="C6" s="134" t="s">
        <v>701</v>
      </c>
      <c r="D6" s="134" t="s">
        <v>702</v>
      </c>
      <c r="E6" s="134" t="s">
        <v>852</v>
      </c>
      <c r="F6" s="134" t="s">
        <v>128</v>
      </c>
      <c r="G6" s="134" t="s">
        <v>853</v>
      </c>
      <c r="H6" s="134" t="s">
        <v>703</v>
      </c>
      <c r="I6" s="134" t="s">
        <v>854</v>
      </c>
      <c r="J6" s="134" t="s">
        <v>704</v>
      </c>
      <c r="K6" s="134" t="s">
        <v>705</v>
      </c>
      <c r="L6" s="134" t="s">
        <v>706</v>
      </c>
      <c r="M6" s="134" t="s">
        <v>707</v>
      </c>
      <c r="N6" s="134" t="s">
        <v>133</v>
      </c>
      <c r="O6" s="134" t="s">
        <v>134</v>
      </c>
      <c r="P6" s="134" t="s">
        <v>708</v>
      </c>
      <c r="Q6" s="134" t="s">
        <v>855</v>
      </c>
      <c r="R6" s="134" t="s">
        <v>132</v>
      </c>
      <c r="S6" s="134" t="s">
        <v>709</v>
      </c>
      <c r="T6" s="134" t="s">
        <v>710</v>
      </c>
      <c r="U6" s="185" t="s">
        <v>856</v>
      </c>
      <c r="V6" s="185"/>
      <c r="W6" s="185"/>
      <c r="X6" s="185"/>
      <c r="Y6" s="186" t="s">
        <v>856</v>
      </c>
      <c r="Z6" s="186"/>
      <c r="AA6" s="186"/>
      <c r="AB6" s="186"/>
      <c r="AC6" s="134" t="s">
        <v>711</v>
      </c>
      <c r="AD6" s="134" t="s">
        <v>2</v>
      </c>
      <c r="AE6" s="190"/>
      <c r="AF6" s="191"/>
      <c r="AG6" s="191"/>
      <c r="AH6" s="191"/>
      <c r="AI6" s="192"/>
    </row>
    <row r="7" spans="1:35" s="89" customFormat="1">
      <c r="A7" s="134"/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 t="s">
        <v>857</v>
      </c>
      <c r="V7" s="134" t="s">
        <v>858</v>
      </c>
      <c r="W7" s="134" t="s">
        <v>859</v>
      </c>
      <c r="X7" s="134" t="s">
        <v>858</v>
      </c>
      <c r="Y7" s="135" t="s">
        <v>860</v>
      </c>
      <c r="Z7" s="135" t="s">
        <v>861</v>
      </c>
      <c r="AA7" s="135" t="s">
        <v>862</v>
      </c>
      <c r="AB7" s="135" t="s">
        <v>135</v>
      </c>
      <c r="AC7" s="134" t="s">
        <v>713</v>
      </c>
      <c r="AD7" s="134"/>
      <c r="AE7" s="142" t="s">
        <v>714</v>
      </c>
      <c r="AF7" s="142" t="s">
        <v>1</v>
      </c>
      <c r="AG7" s="142" t="s">
        <v>715</v>
      </c>
      <c r="AH7" s="142" t="s">
        <v>716</v>
      </c>
      <c r="AI7" s="142" t="s">
        <v>717</v>
      </c>
    </row>
    <row r="8" spans="1:35" s="89" customFormat="1">
      <c r="A8" s="134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5"/>
      <c r="Z8" s="135"/>
      <c r="AA8" s="135"/>
      <c r="AB8" s="135"/>
      <c r="AC8" s="134"/>
      <c r="AD8" s="134"/>
      <c r="AE8" s="142"/>
      <c r="AF8" s="142"/>
      <c r="AG8" s="142" t="s">
        <v>642</v>
      </c>
      <c r="AH8" s="142" t="s">
        <v>718</v>
      </c>
      <c r="AI8" s="142" t="s">
        <v>642</v>
      </c>
    </row>
    <row r="9" spans="1:35" ht="15.75" customHeight="1">
      <c r="A9" s="97">
        <v>1</v>
      </c>
      <c r="B9" s="98" t="s">
        <v>730</v>
      </c>
      <c r="C9" s="98" t="s">
        <v>731</v>
      </c>
      <c r="D9" s="98" t="s">
        <v>397</v>
      </c>
      <c r="E9" s="98" t="s">
        <v>863</v>
      </c>
      <c r="F9" s="98" t="s">
        <v>731</v>
      </c>
      <c r="G9" s="98" t="s">
        <v>864</v>
      </c>
      <c r="H9" s="98" t="s">
        <v>732</v>
      </c>
      <c r="I9" s="98" t="s">
        <v>896</v>
      </c>
      <c r="J9" s="97">
        <v>1005002393</v>
      </c>
      <c r="K9" s="98" t="s">
        <v>90</v>
      </c>
      <c r="L9" s="98" t="s">
        <v>9</v>
      </c>
      <c r="M9" s="97">
        <v>1001027264</v>
      </c>
      <c r="N9" s="97">
        <v>1004027264</v>
      </c>
      <c r="O9" s="98" t="s">
        <v>178</v>
      </c>
      <c r="P9" s="98" t="s">
        <v>179</v>
      </c>
      <c r="Q9" s="98" t="s">
        <v>868</v>
      </c>
      <c r="R9" s="98" t="s">
        <v>171</v>
      </c>
      <c r="S9" s="98" t="s">
        <v>609</v>
      </c>
      <c r="T9" s="98" t="s">
        <v>148</v>
      </c>
      <c r="U9" s="99">
        <v>501250</v>
      </c>
      <c r="V9" s="98" t="s">
        <v>146</v>
      </c>
      <c r="W9" s="99">
        <v>501180</v>
      </c>
      <c r="X9" s="98" t="s">
        <v>146</v>
      </c>
      <c r="Y9" s="97">
        <v>0</v>
      </c>
      <c r="Z9" s="97">
        <v>20.81</v>
      </c>
      <c r="AA9" s="97">
        <v>0.86</v>
      </c>
      <c r="AB9" s="97">
        <v>0</v>
      </c>
      <c r="AC9" s="98" t="s">
        <v>724</v>
      </c>
      <c r="AD9" s="98" t="s">
        <v>147</v>
      </c>
      <c r="AE9" s="152">
        <v>1552.35</v>
      </c>
      <c r="AF9" s="153" t="s">
        <v>146</v>
      </c>
      <c r="AG9" s="152">
        <v>1459209</v>
      </c>
      <c r="AH9" s="153"/>
      <c r="AI9" s="152">
        <v>1459209</v>
      </c>
    </row>
    <row r="10" spans="1:35">
      <c r="A10" s="100"/>
      <c r="B10" s="100" t="s">
        <v>149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54">
        <v>1552.35</v>
      </c>
      <c r="AF10" s="155" t="s">
        <v>146</v>
      </c>
      <c r="AG10" s="154">
        <v>1459209</v>
      </c>
      <c r="AH10" s="155"/>
      <c r="AI10" s="154">
        <v>1459209</v>
      </c>
    </row>
    <row r="11" spans="1:35">
      <c r="A11" s="97">
        <v>2</v>
      </c>
      <c r="B11" s="98" t="s">
        <v>733</v>
      </c>
      <c r="C11" s="98" t="s">
        <v>734</v>
      </c>
      <c r="D11" s="98" t="s">
        <v>217</v>
      </c>
      <c r="E11" s="98" t="s">
        <v>863</v>
      </c>
      <c r="F11" s="98" t="s">
        <v>734</v>
      </c>
      <c r="G11" s="98" t="s">
        <v>864</v>
      </c>
      <c r="H11" s="98" t="s">
        <v>735</v>
      </c>
      <c r="I11" s="98" t="s">
        <v>896</v>
      </c>
      <c r="J11" s="97">
        <v>1005002157</v>
      </c>
      <c r="K11" s="98" t="s">
        <v>62</v>
      </c>
      <c r="L11" s="98" t="s">
        <v>66</v>
      </c>
      <c r="M11" s="97">
        <v>1001026188</v>
      </c>
      <c r="N11" s="97">
        <v>1004026188</v>
      </c>
      <c r="O11" s="98" t="s">
        <v>178</v>
      </c>
      <c r="P11" s="98" t="s">
        <v>179</v>
      </c>
      <c r="Q11" s="98" t="s">
        <v>868</v>
      </c>
      <c r="R11" s="98" t="s">
        <v>171</v>
      </c>
      <c r="S11" s="98" t="s">
        <v>609</v>
      </c>
      <c r="T11" s="98" t="s">
        <v>148</v>
      </c>
      <c r="U11" s="99">
        <v>1000000</v>
      </c>
      <c r="V11" s="98" t="s">
        <v>146</v>
      </c>
      <c r="W11" s="99">
        <v>990700</v>
      </c>
      <c r="X11" s="98" t="s">
        <v>146</v>
      </c>
      <c r="Y11" s="97">
        <v>0</v>
      </c>
      <c r="Z11" s="97">
        <v>20.52</v>
      </c>
      <c r="AA11" s="97">
        <v>0.82</v>
      </c>
      <c r="AB11" s="97">
        <v>0</v>
      </c>
      <c r="AC11" s="98" t="s">
        <v>724</v>
      </c>
      <c r="AD11" s="98" t="s">
        <v>147</v>
      </c>
      <c r="AE11" s="152">
        <v>3485.81</v>
      </c>
      <c r="AF11" s="153" t="s">
        <v>146</v>
      </c>
      <c r="AG11" s="152">
        <v>4531553</v>
      </c>
      <c r="AH11" s="153"/>
      <c r="AI11" s="152">
        <v>4531553</v>
      </c>
    </row>
    <row r="12" spans="1:35">
      <c r="A12" s="100"/>
      <c r="B12" s="100" t="s">
        <v>149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54">
        <v>3485.81</v>
      </c>
      <c r="AF12" s="155" t="s">
        <v>146</v>
      </c>
      <c r="AG12" s="154">
        <v>4531553</v>
      </c>
      <c r="AH12" s="155"/>
      <c r="AI12" s="154">
        <v>4531553</v>
      </c>
    </row>
    <row r="13" spans="1:35" s="83" customFormat="1">
      <c r="A13" s="97">
        <v>3</v>
      </c>
      <c r="B13" s="98" t="s">
        <v>736</v>
      </c>
      <c r="C13" s="98" t="s">
        <v>737</v>
      </c>
      <c r="D13" s="98" t="s">
        <v>217</v>
      </c>
      <c r="E13" s="98" t="s">
        <v>863</v>
      </c>
      <c r="F13" s="98" t="s">
        <v>737</v>
      </c>
      <c r="G13" s="98" t="s">
        <v>864</v>
      </c>
      <c r="H13" s="98" t="s">
        <v>735</v>
      </c>
      <c r="I13" s="98" t="s">
        <v>896</v>
      </c>
      <c r="J13" s="97">
        <v>1005002355</v>
      </c>
      <c r="K13" s="98" t="s">
        <v>47</v>
      </c>
      <c r="L13" s="98" t="s">
        <v>9</v>
      </c>
      <c r="M13" s="97">
        <v>1001026186</v>
      </c>
      <c r="N13" s="97">
        <v>1004026186</v>
      </c>
      <c r="O13" s="98" t="s">
        <v>178</v>
      </c>
      <c r="P13" s="98" t="s">
        <v>179</v>
      </c>
      <c r="Q13" s="98" t="s">
        <v>868</v>
      </c>
      <c r="R13" s="98" t="s">
        <v>171</v>
      </c>
      <c r="S13" s="98" t="s">
        <v>609</v>
      </c>
      <c r="T13" s="98" t="s">
        <v>148</v>
      </c>
      <c r="U13" s="99">
        <v>1000000</v>
      </c>
      <c r="V13" s="98" t="s">
        <v>146</v>
      </c>
      <c r="W13" s="99">
        <v>998750</v>
      </c>
      <c r="X13" s="98" t="s">
        <v>146</v>
      </c>
      <c r="Y13" s="97">
        <v>0</v>
      </c>
      <c r="Z13" s="97">
        <v>20.49</v>
      </c>
      <c r="AA13" s="97">
        <v>0.81</v>
      </c>
      <c r="AB13" s="97">
        <v>0</v>
      </c>
      <c r="AC13" s="98" t="s">
        <v>724</v>
      </c>
      <c r="AD13" s="98" t="s">
        <v>147</v>
      </c>
      <c r="AE13" s="152">
        <v>2931.93</v>
      </c>
      <c r="AF13" s="153" t="s">
        <v>146</v>
      </c>
      <c r="AG13" s="152">
        <v>3811509</v>
      </c>
      <c r="AH13" s="153"/>
      <c r="AI13" s="152">
        <v>3811509</v>
      </c>
    </row>
    <row r="14" spans="1:35">
      <c r="A14" s="100"/>
      <c r="B14" s="100" t="s">
        <v>149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54">
        <v>2931.93</v>
      </c>
      <c r="AF14" s="155" t="s">
        <v>146</v>
      </c>
      <c r="AG14" s="154">
        <v>3811509</v>
      </c>
      <c r="AH14" s="155"/>
      <c r="AI14" s="154">
        <v>3811509</v>
      </c>
    </row>
    <row r="15" spans="1:35">
      <c r="A15" s="97">
        <v>4</v>
      </c>
      <c r="B15" s="98" t="s">
        <v>174</v>
      </c>
      <c r="C15" s="98" t="s">
        <v>175</v>
      </c>
      <c r="D15" s="98" t="s">
        <v>176</v>
      </c>
      <c r="E15" s="98" t="s">
        <v>863</v>
      </c>
      <c r="F15" s="98" t="s">
        <v>175</v>
      </c>
      <c r="G15" s="98" t="s">
        <v>864</v>
      </c>
      <c r="H15" s="98" t="s">
        <v>735</v>
      </c>
      <c r="I15" s="98" t="s">
        <v>896</v>
      </c>
      <c r="J15" s="97">
        <v>1005002357</v>
      </c>
      <c r="K15" s="98" t="s">
        <v>97</v>
      </c>
      <c r="L15" s="98" t="s">
        <v>6</v>
      </c>
      <c r="M15" s="97">
        <v>1001027180</v>
      </c>
      <c r="N15" s="97">
        <v>1004027180</v>
      </c>
      <c r="O15" s="98" t="s">
        <v>178</v>
      </c>
      <c r="P15" s="98" t="s">
        <v>179</v>
      </c>
      <c r="Q15" s="98" t="s">
        <v>868</v>
      </c>
      <c r="R15" s="98" t="s">
        <v>171</v>
      </c>
      <c r="S15" s="98" t="s">
        <v>609</v>
      </c>
      <c r="T15" s="98" t="s">
        <v>148</v>
      </c>
      <c r="U15" s="99">
        <v>500060</v>
      </c>
      <c r="V15" s="98" t="s">
        <v>146</v>
      </c>
      <c r="W15" s="99">
        <v>500160</v>
      </c>
      <c r="X15" s="98" t="s">
        <v>146</v>
      </c>
      <c r="Y15" s="97">
        <v>0</v>
      </c>
      <c r="Z15" s="97">
        <v>20.54</v>
      </c>
      <c r="AA15" s="97">
        <v>0.85</v>
      </c>
      <c r="AB15" s="97">
        <v>0</v>
      </c>
      <c r="AC15" s="98" t="s">
        <v>724</v>
      </c>
      <c r="AD15" s="98" t="s">
        <v>147</v>
      </c>
      <c r="AE15" s="152">
        <v>1842.6</v>
      </c>
      <c r="AF15" s="153" t="s">
        <v>146</v>
      </c>
      <c r="AG15" s="152">
        <v>1787324</v>
      </c>
      <c r="AH15" s="153"/>
      <c r="AI15" s="152">
        <v>1787324</v>
      </c>
    </row>
    <row r="16" spans="1:35">
      <c r="A16" s="100"/>
      <c r="B16" s="100" t="s">
        <v>149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54">
        <v>1842.6</v>
      </c>
      <c r="AF16" s="155" t="s">
        <v>146</v>
      </c>
      <c r="AG16" s="154">
        <v>1787324</v>
      </c>
      <c r="AH16" s="155"/>
      <c r="AI16" s="154">
        <v>1787324</v>
      </c>
    </row>
    <row r="17" spans="1:35">
      <c r="A17" s="97">
        <v>5</v>
      </c>
      <c r="B17" s="98" t="s">
        <v>743</v>
      </c>
      <c r="C17" s="98" t="s">
        <v>744</v>
      </c>
      <c r="D17" s="98" t="s">
        <v>217</v>
      </c>
      <c r="E17" s="98" t="s">
        <v>863</v>
      </c>
      <c r="F17" s="98" t="s">
        <v>744</v>
      </c>
      <c r="G17" s="98" t="s">
        <v>864</v>
      </c>
      <c r="H17" s="98" t="s">
        <v>735</v>
      </c>
      <c r="I17" s="98" t="s">
        <v>896</v>
      </c>
      <c r="J17" s="97">
        <v>1005002356</v>
      </c>
      <c r="K17" s="98" t="s">
        <v>47</v>
      </c>
      <c r="L17" s="98" t="s">
        <v>48</v>
      </c>
      <c r="M17" s="97">
        <v>1001026187</v>
      </c>
      <c r="N17" s="97">
        <v>1004026187</v>
      </c>
      <c r="O17" s="98" t="s">
        <v>178</v>
      </c>
      <c r="P17" s="98" t="s">
        <v>179</v>
      </c>
      <c r="Q17" s="98" t="s">
        <v>868</v>
      </c>
      <c r="R17" s="98" t="s">
        <v>171</v>
      </c>
      <c r="S17" s="98" t="s">
        <v>609</v>
      </c>
      <c r="T17" s="98" t="s">
        <v>148</v>
      </c>
      <c r="U17" s="99">
        <v>1000000</v>
      </c>
      <c r="V17" s="98" t="s">
        <v>146</v>
      </c>
      <c r="W17" s="99">
        <v>996400</v>
      </c>
      <c r="X17" s="98" t="s">
        <v>146</v>
      </c>
      <c r="Y17" s="97">
        <v>0</v>
      </c>
      <c r="Z17" s="97">
        <v>20.56</v>
      </c>
      <c r="AA17" s="97">
        <v>0.81</v>
      </c>
      <c r="AB17" s="97">
        <v>0</v>
      </c>
      <c r="AC17" s="98" t="s">
        <v>724</v>
      </c>
      <c r="AD17" s="98" t="s">
        <v>147</v>
      </c>
      <c r="AE17" s="152">
        <v>3349.17</v>
      </c>
      <c r="AF17" s="153" t="s">
        <v>146</v>
      </c>
      <c r="AG17" s="152">
        <v>4353921</v>
      </c>
      <c r="AH17" s="153"/>
      <c r="AI17" s="152">
        <v>4353921</v>
      </c>
    </row>
    <row r="18" spans="1:35">
      <c r="A18" s="100"/>
      <c r="B18" s="100" t="s">
        <v>149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54">
        <v>3349.17</v>
      </c>
      <c r="AF18" s="155" t="s">
        <v>146</v>
      </c>
      <c r="AG18" s="154">
        <v>4353921</v>
      </c>
      <c r="AH18" s="155"/>
      <c r="AI18" s="154">
        <v>4353921</v>
      </c>
    </row>
    <row r="19" spans="1:35">
      <c r="A19" s="97">
        <v>6</v>
      </c>
      <c r="B19" s="98" t="s">
        <v>219</v>
      </c>
      <c r="C19" s="98" t="s">
        <v>220</v>
      </c>
      <c r="D19" s="98" t="s">
        <v>221</v>
      </c>
      <c r="E19" s="98" t="s">
        <v>863</v>
      </c>
      <c r="F19" s="98" t="s">
        <v>220</v>
      </c>
      <c r="G19" s="98" t="s">
        <v>864</v>
      </c>
      <c r="H19" s="98" t="s">
        <v>745</v>
      </c>
      <c r="I19" s="98" t="s">
        <v>896</v>
      </c>
      <c r="J19" s="97">
        <v>1005002190</v>
      </c>
      <c r="K19" s="98" t="s">
        <v>729</v>
      </c>
      <c r="L19" s="98" t="s">
        <v>10</v>
      </c>
      <c r="M19" s="97">
        <v>1001025284</v>
      </c>
      <c r="N19" s="97">
        <v>1004025284</v>
      </c>
      <c r="O19" s="98" t="s">
        <v>178</v>
      </c>
      <c r="P19" s="98" t="s">
        <v>179</v>
      </c>
      <c r="Q19" s="98" t="s">
        <v>868</v>
      </c>
      <c r="R19" s="98" t="s">
        <v>171</v>
      </c>
      <c r="S19" s="98" t="s">
        <v>609</v>
      </c>
      <c r="T19" s="98" t="s">
        <v>148</v>
      </c>
      <c r="U19" s="99">
        <v>500000</v>
      </c>
      <c r="V19" s="98" t="s">
        <v>146</v>
      </c>
      <c r="W19" s="99">
        <v>499590</v>
      </c>
      <c r="X19" s="98" t="s">
        <v>146</v>
      </c>
      <c r="Y19" s="97">
        <v>0</v>
      </c>
      <c r="Z19" s="97">
        <v>20.46</v>
      </c>
      <c r="AA19" s="97">
        <v>0.82</v>
      </c>
      <c r="AB19" s="97">
        <v>0</v>
      </c>
      <c r="AC19" s="98" t="s">
        <v>724</v>
      </c>
      <c r="AD19" s="98" t="s">
        <v>147</v>
      </c>
      <c r="AE19" s="152">
        <v>969.57</v>
      </c>
      <c r="AF19" s="153" t="s">
        <v>146</v>
      </c>
      <c r="AG19" s="152">
        <v>1274985</v>
      </c>
      <c r="AH19" s="153"/>
      <c r="AI19" s="152">
        <v>1274985</v>
      </c>
    </row>
    <row r="20" spans="1:35">
      <c r="A20" s="100"/>
      <c r="B20" s="100" t="s">
        <v>149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54">
        <v>969.57</v>
      </c>
      <c r="AF20" s="155" t="s">
        <v>146</v>
      </c>
      <c r="AG20" s="154">
        <v>1274985</v>
      </c>
      <c r="AH20" s="155"/>
      <c r="AI20" s="154">
        <v>1274985</v>
      </c>
    </row>
    <row r="21" spans="1:35">
      <c r="A21" s="97">
        <v>7</v>
      </c>
      <c r="B21" s="98" t="s">
        <v>754</v>
      </c>
      <c r="C21" s="98" t="s">
        <v>755</v>
      </c>
      <c r="D21" s="98" t="s">
        <v>756</v>
      </c>
      <c r="E21" s="98" t="s">
        <v>863</v>
      </c>
      <c r="F21" s="98" t="s">
        <v>755</v>
      </c>
      <c r="G21" s="98" t="s">
        <v>864</v>
      </c>
      <c r="H21" s="98" t="s">
        <v>732</v>
      </c>
      <c r="I21" s="98" t="s">
        <v>896</v>
      </c>
      <c r="J21" s="97">
        <v>1005002305</v>
      </c>
      <c r="K21" s="98" t="s">
        <v>66</v>
      </c>
      <c r="L21" s="98" t="s">
        <v>742</v>
      </c>
      <c r="M21" s="97">
        <v>1001026444</v>
      </c>
      <c r="N21" s="97">
        <v>1004026444</v>
      </c>
      <c r="O21" s="98" t="s">
        <v>178</v>
      </c>
      <c r="P21" s="98" t="s">
        <v>179</v>
      </c>
      <c r="Q21" s="98" t="s">
        <v>868</v>
      </c>
      <c r="R21" s="98" t="s">
        <v>171</v>
      </c>
      <c r="S21" s="98" t="s">
        <v>609</v>
      </c>
      <c r="T21" s="98" t="s">
        <v>148</v>
      </c>
      <c r="U21" s="99">
        <v>998620</v>
      </c>
      <c r="V21" s="98" t="s">
        <v>146</v>
      </c>
      <c r="W21" s="99">
        <v>997040</v>
      </c>
      <c r="X21" s="98" t="s">
        <v>146</v>
      </c>
      <c r="Y21" s="97">
        <v>0</v>
      </c>
      <c r="Z21" s="97">
        <v>20.57</v>
      </c>
      <c r="AA21" s="97">
        <v>0.82</v>
      </c>
      <c r="AB21" s="97">
        <v>0</v>
      </c>
      <c r="AC21" s="98" t="s">
        <v>724</v>
      </c>
      <c r="AD21" s="98" t="s">
        <v>147</v>
      </c>
      <c r="AE21" s="152">
        <v>3479.59</v>
      </c>
      <c r="AF21" s="153" t="s">
        <v>146</v>
      </c>
      <c r="AG21" s="152">
        <v>4105918</v>
      </c>
      <c r="AH21" s="153"/>
      <c r="AI21" s="152">
        <v>4105918</v>
      </c>
    </row>
    <row r="22" spans="1:35">
      <c r="A22" s="100"/>
      <c r="B22" s="100" t="s">
        <v>149</v>
      </c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54">
        <v>3479.59</v>
      </c>
      <c r="AF22" s="155" t="s">
        <v>146</v>
      </c>
      <c r="AG22" s="154">
        <v>4105918</v>
      </c>
      <c r="AH22" s="155"/>
      <c r="AI22" s="154">
        <v>4105918</v>
      </c>
    </row>
    <row r="23" spans="1:35">
      <c r="A23" s="97">
        <v>8</v>
      </c>
      <c r="B23" s="98" t="s">
        <v>275</v>
      </c>
      <c r="C23" s="98" t="s">
        <v>276</v>
      </c>
      <c r="D23" s="98" t="s">
        <v>277</v>
      </c>
      <c r="E23" s="98" t="s">
        <v>863</v>
      </c>
      <c r="F23" s="98" t="s">
        <v>276</v>
      </c>
      <c r="G23" s="98" t="s">
        <v>864</v>
      </c>
      <c r="H23" s="98" t="s">
        <v>745</v>
      </c>
      <c r="I23" s="98" t="s">
        <v>896</v>
      </c>
      <c r="J23" s="97">
        <v>9085000266</v>
      </c>
      <c r="K23" s="98" t="s">
        <v>6</v>
      </c>
      <c r="L23" s="98" t="s">
        <v>48</v>
      </c>
      <c r="M23" s="97">
        <v>9081001539</v>
      </c>
      <c r="N23" s="97">
        <v>9084101539</v>
      </c>
      <c r="O23" s="98" t="s">
        <v>178</v>
      </c>
      <c r="P23" s="98" t="s">
        <v>179</v>
      </c>
      <c r="Q23" s="98" t="s">
        <v>868</v>
      </c>
      <c r="R23" s="98" t="s">
        <v>171</v>
      </c>
      <c r="S23" s="98" t="s">
        <v>609</v>
      </c>
      <c r="T23" s="98" t="s">
        <v>160</v>
      </c>
      <c r="U23" s="98"/>
      <c r="V23" s="98" t="s">
        <v>146</v>
      </c>
      <c r="W23" s="99">
        <v>497190</v>
      </c>
      <c r="X23" s="98" t="s">
        <v>146</v>
      </c>
      <c r="Y23" s="97">
        <v>0</v>
      </c>
      <c r="Z23" s="97">
        <v>20.94</v>
      </c>
      <c r="AA23" s="97">
        <v>0.84</v>
      </c>
      <c r="AB23" s="97">
        <v>0</v>
      </c>
      <c r="AC23" s="98" t="s">
        <v>724</v>
      </c>
      <c r="AD23" s="98" t="s">
        <v>147</v>
      </c>
      <c r="AE23" s="152">
        <v>4357.74</v>
      </c>
      <c r="AF23" s="153" t="s">
        <v>146</v>
      </c>
      <c r="AG23" s="152">
        <v>4880670</v>
      </c>
      <c r="AH23" s="152">
        <v>536873.69999999995</v>
      </c>
      <c r="AI23" s="152">
        <v>5417543.7000000002</v>
      </c>
    </row>
    <row r="24" spans="1:35">
      <c r="A24" s="100"/>
      <c r="B24" s="100" t="s">
        <v>149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54">
        <v>4357.74</v>
      </c>
      <c r="AF24" s="155" t="s">
        <v>146</v>
      </c>
      <c r="AG24" s="154">
        <v>4880670</v>
      </c>
      <c r="AH24" s="154">
        <v>536873.69999999995</v>
      </c>
      <c r="AI24" s="154">
        <v>5417543.7000000002</v>
      </c>
    </row>
    <row r="25" spans="1:35">
      <c r="A25" s="97">
        <v>9</v>
      </c>
      <c r="B25" s="98" t="s">
        <v>766</v>
      </c>
      <c r="C25" s="98" t="s">
        <v>767</v>
      </c>
      <c r="D25" s="98" t="s">
        <v>768</v>
      </c>
      <c r="E25" s="98" t="s">
        <v>863</v>
      </c>
      <c r="F25" s="98" t="s">
        <v>767</v>
      </c>
      <c r="G25" s="98" t="s">
        <v>864</v>
      </c>
      <c r="H25" s="98" t="s">
        <v>745</v>
      </c>
      <c r="I25" s="98" t="s">
        <v>896</v>
      </c>
      <c r="J25" s="97">
        <v>1005002263</v>
      </c>
      <c r="K25" s="98" t="s">
        <v>753</v>
      </c>
      <c r="L25" s="98" t="s">
        <v>57</v>
      </c>
      <c r="M25" s="97">
        <v>1001027016</v>
      </c>
      <c r="N25" s="97">
        <v>1004027016</v>
      </c>
      <c r="O25" s="98" t="s">
        <v>178</v>
      </c>
      <c r="P25" s="98" t="s">
        <v>179</v>
      </c>
      <c r="Q25" s="98" t="s">
        <v>868</v>
      </c>
      <c r="R25" s="98" t="s">
        <v>171</v>
      </c>
      <c r="S25" s="98" t="s">
        <v>609</v>
      </c>
      <c r="T25" s="98" t="s">
        <v>148</v>
      </c>
      <c r="U25" s="99">
        <v>999820</v>
      </c>
      <c r="V25" s="98" t="s">
        <v>146</v>
      </c>
      <c r="W25" s="99">
        <v>1000000</v>
      </c>
      <c r="X25" s="98" t="s">
        <v>146</v>
      </c>
      <c r="Y25" s="97">
        <v>0</v>
      </c>
      <c r="Z25" s="97">
        <v>20.52</v>
      </c>
      <c r="AA25" s="97">
        <v>0.84</v>
      </c>
      <c r="AB25" s="97">
        <v>0</v>
      </c>
      <c r="AC25" s="98" t="s">
        <v>724</v>
      </c>
      <c r="AD25" s="98" t="s">
        <v>147</v>
      </c>
      <c r="AE25" s="152">
        <v>4546.38</v>
      </c>
      <c r="AF25" s="153" t="s">
        <v>146</v>
      </c>
      <c r="AG25" s="152">
        <v>4546380</v>
      </c>
      <c r="AH25" s="153"/>
      <c r="AI25" s="152">
        <v>4546380</v>
      </c>
    </row>
    <row r="26" spans="1:35">
      <c r="A26" s="98"/>
      <c r="B26" s="98"/>
      <c r="C26" s="98"/>
      <c r="D26" s="98"/>
      <c r="E26" s="98" t="s">
        <v>863</v>
      </c>
      <c r="F26" s="87" t="s">
        <v>767</v>
      </c>
      <c r="G26" s="98"/>
      <c r="H26" s="98" t="s">
        <v>745</v>
      </c>
      <c r="I26" s="98" t="s">
        <v>896</v>
      </c>
      <c r="J26" s="97">
        <v>1005002309</v>
      </c>
      <c r="K26" s="98" t="s">
        <v>66</v>
      </c>
      <c r="L26" s="98" t="s">
        <v>70</v>
      </c>
      <c r="M26" s="97">
        <v>1001027045</v>
      </c>
      <c r="N26" s="97">
        <v>1004027045</v>
      </c>
      <c r="O26" s="98" t="s">
        <v>178</v>
      </c>
      <c r="P26" s="98" t="s">
        <v>179</v>
      </c>
      <c r="Q26" s="98" t="s">
        <v>868</v>
      </c>
      <c r="R26" s="98" t="s">
        <v>171</v>
      </c>
      <c r="S26" s="98" t="s">
        <v>609</v>
      </c>
      <c r="T26" s="98" t="s">
        <v>148</v>
      </c>
      <c r="U26" s="99">
        <v>498420</v>
      </c>
      <c r="V26" s="98" t="s">
        <v>146</v>
      </c>
      <c r="W26" s="99">
        <v>496950</v>
      </c>
      <c r="X26" s="98" t="s">
        <v>146</v>
      </c>
      <c r="Y26" s="97">
        <v>0</v>
      </c>
      <c r="Z26" s="97">
        <v>20.56</v>
      </c>
      <c r="AA26" s="97">
        <v>0.83</v>
      </c>
      <c r="AB26" s="97">
        <v>0</v>
      </c>
      <c r="AC26" s="98" t="s">
        <v>724</v>
      </c>
      <c r="AD26" s="98" t="s">
        <v>147</v>
      </c>
      <c r="AE26" s="152">
        <v>2570.13</v>
      </c>
      <c r="AF26" s="153" t="s">
        <v>146</v>
      </c>
      <c r="AG26" s="152">
        <v>2518727</v>
      </c>
      <c r="AH26" s="153"/>
      <c r="AI26" s="152">
        <v>2518727</v>
      </c>
    </row>
    <row r="27" spans="1:35">
      <c r="A27" s="98"/>
      <c r="B27" s="98"/>
      <c r="C27" s="98"/>
      <c r="D27" s="98"/>
      <c r="E27" s="98" t="s">
        <v>863</v>
      </c>
      <c r="F27" s="87" t="s">
        <v>767</v>
      </c>
      <c r="G27" s="98"/>
      <c r="H27" s="98" t="s">
        <v>745</v>
      </c>
      <c r="I27" s="98" t="s">
        <v>896</v>
      </c>
      <c r="J27" s="97">
        <v>1005002440</v>
      </c>
      <c r="K27" s="98" t="s">
        <v>6</v>
      </c>
      <c r="L27" s="98" t="s">
        <v>48</v>
      </c>
      <c r="M27" s="97">
        <v>1001027921</v>
      </c>
      <c r="N27" s="97">
        <v>1004027921</v>
      </c>
      <c r="O27" s="98" t="s">
        <v>178</v>
      </c>
      <c r="P27" s="98" t="s">
        <v>179</v>
      </c>
      <c r="Q27" s="98" t="s">
        <v>868</v>
      </c>
      <c r="R27" s="98" t="s">
        <v>171</v>
      </c>
      <c r="S27" s="98" t="s">
        <v>609</v>
      </c>
      <c r="T27" s="98" t="s">
        <v>148</v>
      </c>
      <c r="U27" s="99">
        <v>508650</v>
      </c>
      <c r="V27" s="98" t="s">
        <v>146</v>
      </c>
      <c r="W27" s="99">
        <v>507320</v>
      </c>
      <c r="X27" s="98" t="s">
        <v>146</v>
      </c>
      <c r="Y27" s="97">
        <v>0</v>
      </c>
      <c r="Z27" s="97">
        <v>20.56</v>
      </c>
      <c r="AA27" s="97">
        <v>1</v>
      </c>
      <c r="AB27" s="97">
        <v>0</v>
      </c>
      <c r="AC27" s="98" t="s">
        <v>724</v>
      </c>
      <c r="AD27" s="98" t="s">
        <v>147</v>
      </c>
      <c r="AE27" s="152">
        <v>2747.3</v>
      </c>
      <c r="AF27" s="153" t="s">
        <v>146</v>
      </c>
      <c r="AG27" s="152">
        <v>2582463</v>
      </c>
      <c r="AH27" s="153"/>
      <c r="AI27" s="152">
        <v>2582463</v>
      </c>
    </row>
    <row r="28" spans="1:35">
      <c r="A28" s="100"/>
      <c r="B28" s="100" t="s">
        <v>149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54">
        <v>9863.81</v>
      </c>
      <c r="AF28" s="155" t="s">
        <v>146</v>
      </c>
      <c r="AG28" s="154">
        <v>9647570</v>
      </c>
      <c r="AH28" s="155"/>
      <c r="AI28" s="154">
        <v>9647570</v>
      </c>
    </row>
    <row r="29" spans="1:35">
      <c r="A29" s="97">
        <v>10</v>
      </c>
      <c r="B29" s="98" t="s">
        <v>773</v>
      </c>
      <c r="C29" s="98" t="s">
        <v>774</v>
      </c>
      <c r="D29" s="98" t="s">
        <v>221</v>
      </c>
      <c r="E29" s="98" t="s">
        <v>863</v>
      </c>
      <c r="F29" s="98" t="s">
        <v>774</v>
      </c>
      <c r="G29" s="98" t="s">
        <v>864</v>
      </c>
      <c r="H29" s="98" t="s">
        <v>775</v>
      </c>
      <c r="I29" s="98" t="s">
        <v>896</v>
      </c>
      <c r="J29" s="97">
        <v>1005002267</v>
      </c>
      <c r="K29" s="98" t="s">
        <v>43</v>
      </c>
      <c r="L29" s="98" t="s">
        <v>742</v>
      </c>
      <c r="M29" s="97">
        <v>1001025054</v>
      </c>
      <c r="N29" s="97">
        <v>1004025054</v>
      </c>
      <c r="O29" s="98" t="s">
        <v>178</v>
      </c>
      <c r="P29" s="98" t="s">
        <v>179</v>
      </c>
      <c r="Q29" s="98" t="s">
        <v>868</v>
      </c>
      <c r="R29" s="98" t="s">
        <v>171</v>
      </c>
      <c r="S29" s="98" t="s">
        <v>609</v>
      </c>
      <c r="T29" s="98" t="s">
        <v>148</v>
      </c>
      <c r="U29" s="99">
        <v>500000</v>
      </c>
      <c r="V29" s="98" t="s">
        <v>146</v>
      </c>
      <c r="W29" s="99">
        <v>498730</v>
      </c>
      <c r="X29" s="98" t="s">
        <v>146</v>
      </c>
      <c r="Y29" s="97">
        <v>0</v>
      </c>
      <c r="Z29" s="97">
        <v>20.93</v>
      </c>
      <c r="AA29" s="97">
        <v>0.84</v>
      </c>
      <c r="AB29" s="97">
        <v>0</v>
      </c>
      <c r="AC29" s="98" t="s">
        <v>724</v>
      </c>
      <c r="AD29" s="98" t="s">
        <v>147</v>
      </c>
      <c r="AE29" s="152">
        <v>3210.3</v>
      </c>
      <c r="AF29" s="153" t="s">
        <v>146</v>
      </c>
      <c r="AG29" s="152">
        <v>4205494</v>
      </c>
      <c r="AH29" s="153"/>
      <c r="AI29" s="152">
        <v>4205494</v>
      </c>
    </row>
    <row r="30" spans="1:35">
      <c r="A30" s="98"/>
      <c r="B30" s="98"/>
      <c r="C30" s="98"/>
      <c r="D30" s="98"/>
      <c r="E30" s="98" t="s">
        <v>863</v>
      </c>
      <c r="F30" s="87" t="s">
        <v>774</v>
      </c>
      <c r="G30" s="98"/>
      <c r="H30" s="98" t="s">
        <v>745</v>
      </c>
      <c r="I30" s="98" t="s">
        <v>896</v>
      </c>
      <c r="J30" s="97">
        <v>1005002141</v>
      </c>
      <c r="K30" s="98" t="s">
        <v>772</v>
      </c>
      <c r="L30" s="98" t="s">
        <v>742</v>
      </c>
      <c r="M30" s="97">
        <v>1001026198</v>
      </c>
      <c r="N30" s="97">
        <v>1004026198</v>
      </c>
      <c r="O30" s="98" t="s">
        <v>178</v>
      </c>
      <c r="P30" s="98" t="s">
        <v>179</v>
      </c>
      <c r="Q30" s="98" t="s">
        <v>868</v>
      </c>
      <c r="R30" s="98" t="s">
        <v>171</v>
      </c>
      <c r="S30" s="98" t="s">
        <v>609</v>
      </c>
      <c r="T30" s="98" t="s">
        <v>148</v>
      </c>
      <c r="U30" s="99">
        <v>500000</v>
      </c>
      <c r="V30" s="98" t="s">
        <v>146</v>
      </c>
      <c r="W30" s="99">
        <v>498260</v>
      </c>
      <c r="X30" s="98" t="s">
        <v>146</v>
      </c>
      <c r="Y30" s="97">
        <v>0</v>
      </c>
      <c r="Z30" s="97">
        <v>20.72</v>
      </c>
      <c r="AA30" s="97">
        <v>0.83</v>
      </c>
      <c r="AB30" s="97">
        <v>0</v>
      </c>
      <c r="AC30" s="98" t="s">
        <v>724</v>
      </c>
      <c r="AD30" s="98" t="s">
        <v>147</v>
      </c>
      <c r="AE30" s="152">
        <v>3376.03</v>
      </c>
      <c r="AF30" s="153" t="s">
        <v>146</v>
      </c>
      <c r="AG30" s="152">
        <v>4220041</v>
      </c>
      <c r="AH30" s="153"/>
      <c r="AI30" s="152">
        <v>4220041</v>
      </c>
    </row>
    <row r="31" spans="1:35">
      <c r="A31" s="98"/>
      <c r="B31" s="98"/>
      <c r="C31" s="98"/>
      <c r="D31" s="98"/>
      <c r="E31" s="98" t="s">
        <v>863</v>
      </c>
      <c r="F31" s="87" t="s">
        <v>774</v>
      </c>
      <c r="G31" s="98"/>
      <c r="H31" s="98" t="s">
        <v>745</v>
      </c>
      <c r="I31" s="98" t="s">
        <v>896</v>
      </c>
      <c r="J31" s="97">
        <v>1005002188</v>
      </c>
      <c r="K31" s="98" t="s">
        <v>729</v>
      </c>
      <c r="L31" s="98" t="s">
        <v>66</v>
      </c>
      <c r="M31" s="97">
        <v>1001026632</v>
      </c>
      <c r="N31" s="97">
        <v>1004026632</v>
      </c>
      <c r="O31" s="98" t="s">
        <v>178</v>
      </c>
      <c r="P31" s="98" t="s">
        <v>179</v>
      </c>
      <c r="Q31" s="98" t="s">
        <v>868</v>
      </c>
      <c r="R31" s="98" t="s">
        <v>171</v>
      </c>
      <c r="S31" s="98" t="s">
        <v>609</v>
      </c>
      <c r="T31" s="98" t="s">
        <v>148</v>
      </c>
      <c r="U31" s="99">
        <v>500000</v>
      </c>
      <c r="V31" s="98" t="s">
        <v>146</v>
      </c>
      <c r="W31" s="99">
        <v>498020</v>
      </c>
      <c r="X31" s="98" t="s">
        <v>146</v>
      </c>
      <c r="Y31" s="97">
        <v>0</v>
      </c>
      <c r="Z31" s="97">
        <v>20.6</v>
      </c>
      <c r="AA31" s="97">
        <v>0.83</v>
      </c>
      <c r="AB31" s="97">
        <v>0</v>
      </c>
      <c r="AC31" s="98" t="s">
        <v>724</v>
      </c>
      <c r="AD31" s="98" t="s">
        <v>147</v>
      </c>
      <c r="AE31" s="152">
        <v>1326.18</v>
      </c>
      <c r="AF31" s="153" t="s">
        <v>146</v>
      </c>
      <c r="AG31" s="152">
        <v>1485323</v>
      </c>
      <c r="AH31" s="153"/>
      <c r="AI31" s="152">
        <v>1485323</v>
      </c>
    </row>
    <row r="32" spans="1:35">
      <c r="A32" s="100"/>
      <c r="B32" s="100" t="s">
        <v>149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54">
        <v>7912.51</v>
      </c>
      <c r="AF32" s="155" t="s">
        <v>146</v>
      </c>
      <c r="AG32" s="154">
        <v>9910858</v>
      </c>
      <c r="AH32" s="155"/>
      <c r="AI32" s="154">
        <v>9910858</v>
      </c>
    </row>
    <row r="33" spans="1:35">
      <c r="A33" s="97">
        <v>11</v>
      </c>
      <c r="B33" s="98" t="s">
        <v>776</v>
      </c>
      <c r="C33" s="98" t="s">
        <v>777</v>
      </c>
      <c r="D33" s="98" t="s">
        <v>778</v>
      </c>
      <c r="E33" s="98" t="s">
        <v>863</v>
      </c>
      <c r="F33" s="98" t="s">
        <v>777</v>
      </c>
      <c r="G33" s="98" t="s">
        <v>864</v>
      </c>
      <c r="H33" s="98" t="s">
        <v>745</v>
      </c>
      <c r="I33" s="98" t="s">
        <v>896</v>
      </c>
      <c r="J33" s="97">
        <v>1005002259</v>
      </c>
      <c r="K33" s="98" t="s">
        <v>753</v>
      </c>
      <c r="L33" s="98" t="s">
        <v>57</v>
      </c>
      <c r="M33" s="97">
        <v>1001027162</v>
      </c>
      <c r="N33" s="97">
        <v>1004027162</v>
      </c>
      <c r="O33" s="98" t="s">
        <v>178</v>
      </c>
      <c r="P33" s="98" t="s">
        <v>179</v>
      </c>
      <c r="Q33" s="98" t="s">
        <v>868</v>
      </c>
      <c r="R33" s="98" t="s">
        <v>171</v>
      </c>
      <c r="S33" s="98" t="s">
        <v>609</v>
      </c>
      <c r="T33" s="98" t="s">
        <v>148</v>
      </c>
      <c r="U33" s="99">
        <v>1006820</v>
      </c>
      <c r="V33" s="98" t="s">
        <v>146</v>
      </c>
      <c r="W33" s="99">
        <v>1000000</v>
      </c>
      <c r="X33" s="98" t="s">
        <v>146</v>
      </c>
      <c r="Y33" s="97">
        <v>0</v>
      </c>
      <c r="Z33" s="97">
        <v>20.59</v>
      </c>
      <c r="AA33" s="97">
        <v>0.82</v>
      </c>
      <c r="AB33" s="97">
        <v>0</v>
      </c>
      <c r="AC33" s="98" t="s">
        <v>724</v>
      </c>
      <c r="AD33" s="98" t="s">
        <v>147</v>
      </c>
      <c r="AE33" s="152">
        <v>5478.37</v>
      </c>
      <c r="AF33" s="153" t="s">
        <v>146</v>
      </c>
      <c r="AG33" s="152">
        <v>5204456</v>
      </c>
      <c r="AH33" s="153"/>
      <c r="AI33" s="152">
        <v>5204456</v>
      </c>
    </row>
    <row r="34" spans="1:35">
      <c r="A34" s="98"/>
      <c r="B34" s="98"/>
      <c r="C34" s="98"/>
      <c r="D34" s="98"/>
      <c r="E34" s="98" t="s">
        <v>863</v>
      </c>
      <c r="F34" s="87" t="s">
        <v>777</v>
      </c>
      <c r="G34" s="98"/>
      <c r="H34" s="98" t="s">
        <v>745</v>
      </c>
      <c r="I34" s="98" t="s">
        <v>896</v>
      </c>
      <c r="J34" s="97">
        <v>1005002225</v>
      </c>
      <c r="K34" s="98" t="s">
        <v>51</v>
      </c>
      <c r="L34" s="98" t="s">
        <v>57</v>
      </c>
      <c r="M34" s="97">
        <v>1001027267</v>
      </c>
      <c r="N34" s="97">
        <v>1004027267</v>
      </c>
      <c r="O34" s="98" t="s">
        <v>178</v>
      </c>
      <c r="P34" s="98" t="s">
        <v>179</v>
      </c>
      <c r="Q34" s="98" t="s">
        <v>868</v>
      </c>
      <c r="R34" s="98" t="s">
        <v>171</v>
      </c>
      <c r="S34" s="98" t="s">
        <v>609</v>
      </c>
      <c r="T34" s="98" t="s">
        <v>148</v>
      </c>
      <c r="U34" s="99">
        <v>369410</v>
      </c>
      <c r="V34" s="98" t="s">
        <v>146</v>
      </c>
      <c r="W34" s="99">
        <v>369530</v>
      </c>
      <c r="X34" s="98" t="s">
        <v>146</v>
      </c>
      <c r="Y34" s="97">
        <v>0</v>
      </c>
      <c r="Z34" s="97">
        <v>20.6</v>
      </c>
      <c r="AA34" s="97">
        <v>0.79</v>
      </c>
      <c r="AB34" s="97">
        <v>0</v>
      </c>
      <c r="AC34" s="98" t="s">
        <v>724</v>
      </c>
      <c r="AD34" s="98" t="s">
        <v>147</v>
      </c>
      <c r="AE34" s="152">
        <v>2229.7800000000002</v>
      </c>
      <c r="AF34" s="153" t="s">
        <v>146</v>
      </c>
      <c r="AG34" s="152">
        <v>2675736</v>
      </c>
      <c r="AH34" s="153"/>
      <c r="AI34" s="152">
        <v>2675736</v>
      </c>
    </row>
    <row r="35" spans="1:35">
      <c r="A35" s="98"/>
      <c r="B35" s="98"/>
      <c r="C35" s="98"/>
      <c r="D35" s="98"/>
      <c r="E35" s="98" t="s">
        <v>863</v>
      </c>
      <c r="F35" s="87" t="s">
        <v>777</v>
      </c>
      <c r="G35" s="98"/>
      <c r="H35" s="98" t="s">
        <v>745</v>
      </c>
      <c r="I35" s="98" t="s">
        <v>896</v>
      </c>
      <c r="J35" s="97">
        <v>1005002349</v>
      </c>
      <c r="K35" s="98" t="s">
        <v>57</v>
      </c>
      <c r="L35" s="98" t="s">
        <v>742</v>
      </c>
      <c r="M35" s="97">
        <v>1001027432</v>
      </c>
      <c r="N35" s="97">
        <v>1004027432</v>
      </c>
      <c r="O35" s="98" t="s">
        <v>178</v>
      </c>
      <c r="P35" s="98" t="s">
        <v>179</v>
      </c>
      <c r="Q35" s="98" t="s">
        <v>868</v>
      </c>
      <c r="R35" s="98" t="s">
        <v>171</v>
      </c>
      <c r="S35" s="98" t="s">
        <v>609</v>
      </c>
      <c r="T35" s="98" t="s">
        <v>148</v>
      </c>
      <c r="U35" s="99">
        <v>1001980</v>
      </c>
      <c r="V35" s="98" t="s">
        <v>146</v>
      </c>
      <c r="W35" s="99">
        <v>993250</v>
      </c>
      <c r="X35" s="98" t="s">
        <v>146</v>
      </c>
      <c r="Y35" s="97">
        <v>0</v>
      </c>
      <c r="Z35" s="97">
        <v>20.67</v>
      </c>
      <c r="AA35" s="97">
        <v>0.83</v>
      </c>
      <c r="AB35" s="97">
        <v>0</v>
      </c>
      <c r="AC35" s="98" t="s">
        <v>724</v>
      </c>
      <c r="AD35" s="98" t="s">
        <v>147</v>
      </c>
      <c r="AE35" s="152">
        <v>5110.3500000000004</v>
      </c>
      <c r="AF35" s="153" t="s">
        <v>146</v>
      </c>
      <c r="AG35" s="152">
        <v>4599315</v>
      </c>
      <c r="AH35" s="153"/>
      <c r="AI35" s="152">
        <v>4599315</v>
      </c>
    </row>
    <row r="36" spans="1:35">
      <c r="A36" s="98"/>
      <c r="B36" s="98"/>
      <c r="C36" s="98"/>
      <c r="D36" s="98"/>
      <c r="E36" s="98" t="s">
        <v>863</v>
      </c>
      <c r="F36" s="87" t="s">
        <v>777</v>
      </c>
      <c r="G36" s="98"/>
      <c r="H36" s="98" t="s">
        <v>745</v>
      </c>
      <c r="I36" s="98" t="s">
        <v>896</v>
      </c>
      <c r="J36" s="97">
        <v>1005002383</v>
      </c>
      <c r="K36" s="98" t="s">
        <v>90</v>
      </c>
      <c r="L36" s="98" t="s">
        <v>9</v>
      </c>
      <c r="M36" s="97">
        <v>1001027833</v>
      </c>
      <c r="N36" s="97">
        <v>1004027833</v>
      </c>
      <c r="O36" s="98" t="s">
        <v>178</v>
      </c>
      <c r="P36" s="98" t="s">
        <v>179</v>
      </c>
      <c r="Q36" s="98" t="s">
        <v>868</v>
      </c>
      <c r="R36" s="98" t="s">
        <v>171</v>
      </c>
      <c r="S36" s="98" t="s">
        <v>609</v>
      </c>
      <c r="T36" s="98" t="s">
        <v>148</v>
      </c>
      <c r="U36" s="99">
        <v>504630</v>
      </c>
      <c r="V36" s="98" t="s">
        <v>146</v>
      </c>
      <c r="W36" s="99">
        <v>500000</v>
      </c>
      <c r="X36" s="98" t="s">
        <v>146</v>
      </c>
      <c r="Y36" s="97">
        <v>0</v>
      </c>
      <c r="Z36" s="97">
        <v>20.78</v>
      </c>
      <c r="AA36" s="97">
        <v>0.87</v>
      </c>
      <c r="AB36" s="97">
        <v>0</v>
      </c>
      <c r="AC36" s="98" t="s">
        <v>724</v>
      </c>
      <c r="AD36" s="98" t="s">
        <v>147</v>
      </c>
      <c r="AE36" s="152">
        <v>2873.05</v>
      </c>
      <c r="AF36" s="153" t="s">
        <v>146</v>
      </c>
      <c r="AG36" s="152">
        <v>2700667</v>
      </c>
      <c r="AH36" s="153"/>
      <c r="AI36" s="152">
        <v>2700667</v>
      </c>
    </row>
    <row r="37" spans="1:35">
      <c r="A37" s="98"/>
      <c r="B37" s="98"/>
      <c r="C37" s="98"/>
      <c r="D37" s="98"/>
      <c r="E37" s="98" t="s">
        <v>863</v>
      </c>
      <c r="F37" s="87" t="s">
        <v>777</v>
      </c>
      <c r="G37" s="98"/>
      <c r="H37" s="98" t="s">
        <v>745</v>
      </c>
      <c r="I37" s="98" t="s">
        <v>896</v>
      </c>
      <c r="J37" s="97">
        <v>1005002391</v>
      </c>
      <c r="K37" s="98" t="s">
        <v>90</v>
      </c>
      <c r="L37" s="98" t="s">
        <v>28</v>
      </c>
      <c r="M37" s="97">
        <v>1001027898</v>
      </c>
      <c r="N37" s="97">
        <v>1004027898</v>
      </c>
      <c r="O37" s="98" t="s">
        <v>178</v>
      </c>
      <c r="P37" s="98" t="s">
        <v>179</v>
      </c>
      <c r="Q37" s="98" t="s">
        <v>868</v>
      </c>
      <c r="R37" s="98" t="s">
        <v>171</v>
      </c>
      <c r="S37" s="98" t="s">
        <v>609</v>
      </c>
      <c r="T37" s="98" t="s">
        <v>148</v>
      </c>
      <c r="U37" s="99">
        <v>1013000</v>
      </c>
      <c r="V37" s="98" t="s">
        <v>146</v>
      </c>
      <c r="W37" s="99">
        <v>1007070</v>
      </c>
      <c r="X37" s="98" t="s">
        <v>146</v>
      </c>
      <c r="Y37" s="97">
        <v>0</v>
      </c>
      <c r="Z37" s="97">
        <v>20.69</v>
      </c>
      <c r="AA37" s="97">
        <v>0.92</v>
      </c>
      <c r="AB37" s="97">
        <v>0</v>
      </c>
      <c r="AC37" s="98" t="s">
        <v>724</v>
      </c>
      <c r="AD37" s="98" t="s">
        <v>147</v>
      </c>
      <c r="AE37" s="152">
        <v>6147.02</v>
      </c>
      <c r="AF37" s="153" t="s">
        <v>146</v>
      </c>
      <c r="AG37" s="152">
        <v>5808936</v>
      </c>
      <c r="AH37" s="153"/>
      <c r="AI37" s="152">
        <v>5808936</v>
      </c>
    </row>
    <row r="38" spans="1:35">
      <c r="A38" s="100"/>
      <c r="B38" s="100" t="s">
        <v>149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54">
        <v>21838.57</v>
      </c>
      <c r="AF38" s="155" t="s">
        <v>146</v>
      </c>
      <c r="AG38" s="154">
        <v>20989110</v>
      </c>
      <c r="AH38" s="155"/>
      <c r="AI38" s="154">
        <v>20989110</v>
      </c>
    </row>
    <row r="39" spans="1:35">
      <c r="A39" s="97">
        <v>12</v>
      </c>
      <c r="B39" s="98" t="s">
        <v>353</v>
      </c>
      <c r="C39" s="98" t="s">
        <v>354</v>
      </c>
      <c r="D39" s="98" t="s">
        <v>355</v>
      </c>
      <c r="E39" s="98" t="s">
        <v>863</v>
      </c>
      <c r="F39" s="98" t="s">
        <v>354</v>
      </c>
      <c r="G39" s="98" t="s">
        <v>864</v>
      </c>
      <c r="H39" s="98" t="s">
        <v>745</v>
      </c>
      <c r="I39" s="98" t="s">
        <v>896</v>
      </c>
      <c r="J39" s="97">
        <v>1005002343</v>
      </c>
      <c r="K39" s="98" t="s">
        <v>42</v>
      </c>
      <c r="L39" s="98" t="s">
        <v>48</v>
      </c>
      <c r="M39" s="97">
        <v>1001026740</v>
      </c>
      <c r="N39" s="97">
        <v>1004026740</v>
      </c>
      <c r="O39" s="98" t="s">
        <v>178</v>
      </c>
      <c r="P39" s="98" t="s">
        <v>179</v>
      </c>
      <c r="Q39" s="98" t="s">
        <v>868</v>
      </c>
      <c r="R39" s="98" t="s">
        <v>171</v>
      </c>
      <c r="S39" s="98" t="s">
        <v>609</v>
      </c>
      <c r="T39" s="98" t="s">
        <v>148</v>
      </c>
      <c r="U39" s="99">
        <v>1010890</v>
      </c>
      <c r="V39" s="98" t="s">
        <v>146</v>
      </c>
      <c r="W39" s="99">
        <v>1000000</v>
      </c>
      <c r="X39" s="98" t="s">
        <v>146</v>
      </c>
      <c r="Y39" s="97">
        <v>0</v>
      </c>
      <c r="Z39" s="97">
        <v>20.67</v>
      </c>
      <c r="AA39" s="97">
        <v>0.83</v>
      </c>
      <c r="AB39" s="97">
        <v>0</v>
      </c>
      <c r="AC39" s="98" t="s">
        <v>724</v>
      </c>
      <c r="AD39" s="98" t="s">
        <v>147</v>
      </c>
      <c r="AE39" s="152">
        <v>5414.68</v>
      </c>
      <c r="AF39" s="153" t="s">
        <v>146</v>
      </c>
      <c r="AG39" s="152">
        <v>5929077</v>
      </c>
      <c r="AH39" s="153"/>
      <c r="AI39" s="152">
        <v>5929077</v>
      </c>
    </row>
    <row r="40" spans="1:35">
      <c r="A40" s="100"/>
      <c r="B40" s="100" t="s">
        <v>149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54">
        <v>5414.68</v>
      </c>
      <c r="AF40" s="155" t="s">
        <v>146</v>
      </c>
      <c r="AG40" s="154">
        <v>5929077</v>
      </c>
      <c r="AH40" s="155"/>
      <c r="AI40" s="154">
        <v>5929077</v>
      </c>
    </row>
    <row r="41" spans="1:35" ht="15" customHeight="1">
      <c r="A41" s="97">
        <v>13</v>
      </c>
      <c r="B41" s="98" t="s">
        <v>365</v>
      </c>
      <c r="C41" s="98" t="s">
        <v>366</v>
      </c>
      <c r="D41" s="98" t="s">
        <v>367</v>
      </c>
      <c r="E41" s="98" t="s">
        <v>863</v>
      </c>
      <c r="F41" s="98" t="s">
        <v>366</v>
      </c>
      <c r="G41" s="98" t="s">
        <v>864</v>
      </c>
      <c r="H41" s="98" t="s">
        <v>735</v>
      </c>
      <c r="I41" s="98" t="s">
        <v>896</v>
      </c>
      <c r="J41" s="97">
        <v>1005002262</v>
      </c>
      <c r="K41" s="98" t="s">
        <v>753</v>
      </c>
      <c r="L41" s="98" t="s">
        <v>66</v>
      </c>
      <c r="M41" s="97">
        <v>1001026802</v>
      </c>
      <c r="N41" s="97">
        <v>1004026802</v>
      </c>
      <c r="O41" s="98" t="s">
        <v>334</v>
      </c>
      <c r="P41" s="98" t="s">
        <v>297</v>
      </c>
      <c r="Q41" s="98" t="s">
        <v>870</v>
      </c>
      <c r="R41" s="98" t="s">
        <v>171</v>
      </c>
      <c r="S41" s="98" t="s">
        <v>609</v>
      </c>
      <c r="T41" s="98" t="s">
        <v>148</v>
      </c>
      <c r="U41" s="99">
        <v>510000</v>
      </c>
      <c r="V41" s="98" t="s">
        <v>146</v>
      </c>
      <c r="W41" s="99">
        <v>509060</v>
      </c>
      <c r="X41" s="98" t="s">
        <v>146</v>
      </c>
      <c r="Y41" s="97">
        <v>35.340000000000003</v>
      </c>
      <c r="Z41" s="97">
        <v>1.41</v>
      </c>
      <c r="AA41" s="97">
        <v>0</v>
      </c>
      <c r="AB41" s="97">
        <v>0</v>
      </c>
      <c r="AC41" s="98" t="s">
        <v>724</v>
      </c>
      <c r="AD41" s="98" t="s">
        <v>147</v>
      </c>
      <c r="AE41" s="152">
        <v>776.08</v>
      </c>
      <c r="AF41" s="153" t="s">
        <v>146</v>
      </c>
      <c r="AG41" s="152">
        <v>9701000</v>
      </c>
      <c r="AH41" s="153"/>
      <c r="AI41" s="152">
        <v>9701000</v>
      </c>
    </row>
    <row r="42" spans="1:35" ht="15" customHeight="1">
      <c r="A42" s="98"/>
      <c r="B42" s="98"/>
      <c r="C42" s="98"/>
      <c r="D42" s="98"/>
      <c r="E42" s="98" t="s">
        <v>863</v>
      </c>
      <c r="F42" s="87" t="s">
        <v>366</v>
      </c>
      <c r="G42" s="98"/>
      <c r="H42" s="98" t="s">
        <v>735</v>
      </c>
      <c r="I42" s="98" t="s">
        <v>896</v>
      </c>
      <c r="J42" s="97">
        <v>1005002282</v>
      </c>
      <c r="K42" s="98" t="s">
        <v>40</v>
      </c>
      <c r="L42" s="98" t="s">
        <v>66</v>
      </c>
      <c r="M42" s="97">
        <v>1001027055</v>
      </c>
      <c r="N42" s="97">
        <v>1004027055</v>
      </c>
      <c r="O42" s="98" t="s">
        <v>334</v>
      </c>
      <c r="P42" s="98" t="s">
        <v>297</v>
      </c>
      <c r="Q42" s="98" t="s">
        <v>870</v>
      </c>
      <c r="R42" s="98" t="s">
        <v>171</v>
      </c>
      <c r="S42" s="98" t="s">
        <v>609</v>
      </c>
      <c r="T42" s="98" t="s">
        <v>148</v>
      </c>
      <c r="U42" s="99">
        <v>1020000</v>
      </c>
      <c r="V42" s="98" t="s">
        <v>146</v>
      </c>
      <c r="W42" s="99">
        <v>1017040</v>
      </c>
      <c r="X42" s="98" t="s">
        <v>146</v>
      </c>
      <c r="Y42" s="97">
        <v>35.78</v>
      </c>
      <c r="Z42" s="97">
        <v>1.37</v>
      </c>
      <c r="AA42" s="97">
        <v>0</v>
      </c>
      <c r="AB42" s="97">
        <v>0</v>
      </c>
      <c r="AC42" s="98" t="s">
        <v>724</v>
      </c>
      <c r="AD42" s="98" t="s">
        <v>147</v>
      </c>
      <c r="AE42" s="152">
        <v>408.7</v>
      </c>
      <c r="AF42" s="153" t="s">
        <v>146</v>
      </c>
      <c r="AG42" s="152">
        <v>5108750</v>
      </c>
      <c r="AH42" s="153"/>
      <c r="AI42" s="152">
        <v>5108750</v>
      </c>
    </row>
    <row r="43" spans="1:35">
      <c r="A43" s="100"/>
      <c r="B43" s="100" t="s">
        <v>149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54">
        <v>1184.78</v>
      </c>
      <c r="AF43" s="155" t="s">
        <v>146</v>
      </c>
      <c r="AG43" s="154">
        <v>14809750</v>
      </c>
      <c r="AH43" s="155"/>
      <c r="AI43" s="154">
        <v>14809750</v>
      </c>
    </row>
    <row r="44" spans="1:35">
      <c r="A44" s="97">
        <v>14</v>
      </c>
      <c r="B44" s="98" t="s">
        <v>391</v>
      </c>
      <c r="C44" s="98" t="s">
        <v>392</v>
      </c>
      <c r="D44" s="98" t="s">
        <v>393</v>
      </c>
      <c r="E44" s="98" t="s">
        <v>863</v>
      </c>
      <c r="F44" s="98" t="s">
        <v>392</v>
      </c>
      <c r="G44" s="98" t="s">
        <v>864</v>
      </c>
      <c r="H44" s="98" t="s">
        <v>745</v>
      </c>
      <c r="I44" s="98" t="s">
        <v>896</v>
      </c>
      <c r="J44" s="97">
        <v>1005001976</v>
      </c>
      <c r="K44" s="98" t="s">
        <v>783</v>
      </c>
      <c r="L44" s="98" t="s">
        <v>90</v>
      </c>
      <c r="M44" s="97">
        <v>1001024616</v>
      </c>
      <c r="N44" s="97">
        <v>1004024616</v>
      </c>
      <c r="O44" s="98" t="s">
        <v>178</v>
      </c>
      <c r="P44" s="98" t="s">
        <v>179</v>
      </c>
      <c r="Q44" s="98" t="s">
        <v>868</v>
      </c>
      <c r="R44" s="98" t="s">
        <v>171</v>
      </c>
      <c r="S44" s="98" t="s">
        <v>609</v>
      </c>
      <c r="T44" s="98" t="s">
        <v>148</v>
      </c>
      <c r="U44" s="99">
        <v>500000</v>
      </c>
      <c r="V44" s="98" t="s">
        <v>146</v>
      </c>
      <c r="W44" s="99">
        <v>499390</v>
      </c>
      <c r="X44" s="98" t="s">
        <v>146</v>
      </c>
      <c r="Y44" s="97">
        <v>0</v>
      </c>
      <c r="Z44" s="97">
        <v>21.19</v>
      </c>
      <c r="AA44" s="97">
        <v>0.82</v>
      </c>
      <c r="AB44" s="97">
        <v>0</v>
      </c>
      <c r="AC44" s="98" t="s">
        <v>724</v>
      </c>
      <c r="AD44" s="98" t="s">
        <v>147</v>
      </c>
      <c r="AE44" s="152">
        <v>2805.18</v>
      </c>
      <c r="AF44" s="153" t="s">
        <v>146</v>
      </c>
      <c r="AG44" s="152">
        <v>3366216</v>
      </c>
      <c r="AH44" s="153"/>
      <c r="AI44" s="152">
        <v>3366216</v>
      </c>
    </row>
    <row r="45" spans="1:35">
      <c r="A45" s="98"/>
      <c r="B45" s="98"/>
      <c r="C45" s="98"/>
      <c r="D45" s="98"/>
      <c r="E45" s="98" t="s">
        <v>863</v>
      </c>
      <c r="F45" s="87" t="s">
        <v>392</v>
      </c>
      <c r="G45" s="98"/>
      <c r="H45" s="98" t="s">
        <v>745</v>
      </c>
      <c r="I45" s="98" t="s">
        <v>896</v>
      </c>
      <c r="J45" s="97">
        <v>1005001977</v>
      </c>
      <c r="K45" s="98" t="s">
        <v>783</v>
      </c>
      <c r="L45" s="98" t="s">
        <v>90</v>
      </c>
      <c r="M45" s="97">
        <v>1001024850</v>
      </c>
      <c r="N45" s="97">
        <v>1004024850</v>
      </c>
      <c r="O45" s="98" t="s">
        <v>178</v>
      </c>
      <c r="P45" s="98" t="s">
        <v>179</v>
      </c>
      <c r="Q45" s="98" t="s">
        <v>868</v>
      </c>
      <c r="R45" s="98" t="s">
        <v>171</v>
      </c>
      <c r="S45" s="98" t="s">
        <v>609</v>
      </c>
      <c r="T45" s="98" t="s">
        <v>148</v>
      </c>
      <c r="U45" s="99">
        <v>500000</v>
      </c>
      <c r="V45" s="98" t="s">
        <v>146</v>
      </c>
      <c r="W45" s="99">
        <v>500220</v>
      </c>
      <c r="X45" s="98" t="s">
        <v>146</v>
      </c>
      <c r="Y45" s="97">
        <v>0</v>
      </c>
      <c r="Z45" s="97">
        <v>21.19</v>
      </c>
      <c r="AA45" s="97">
        <v>0.8</v>
      </c>
      <c r="AB45" s="97">
        <v>0</v>
      </c>
      <c r="AC45" s="98" t="s">
        <v>724</v>
      </c>
      <c r="AD45" s="98" t="s">
        <v>147</v>
      </c>
      <c r="AE45" s="152">
        <v>1654.82</v>
      </c>
      <c r="AF45" s="153" t="s">
        <v>146</v>
      </c>
      <c r="AG45" s="152">
        <v>2126444</v>
      </c>
      <c r="AH45" s="153"/>
      <c r="AI45" s="152">
        <v>2126444</v>
      </c>
    </row>
    <row r="46" spans="1:35">
      <c r="A46" s="98"/>
      <c r="B46" s="98"/>
      <c r="C46" s="98"/>
      <c r="D46" s="98"/>
      <c r="E46" s="98" t="s">
        <v>863</v>
      </c>
      <c r="F46" s="87" t="s">
        <v>392</v>
      </c>
      <c r="G46" s="98"/>
      <c r="H46" s="98" t="s">
        <v>745</v>
      </c>
      <c r="I46" s="98" t="s">
        <v>896</v>
      </c>
      <c r="J46" s="97">
        <v>1005001978</v>
      </c>
      <c r="K46" s="98" t="s">
        <v>783</v>
      </c>
      <c r="L46" s="98" t="s">
        <v>90</v>
      </c>
      <c r="M46" s="97">
        <v>1001025053</v>
      </c>
      <c r="N46" s="97">
        <v>1004025053</v>
      </c>
      <c r="O46" s="98" t="s">
        <v>178</v>
      </c>
      <c r="P46" s="98" t="s">
        <v>179</v>
      </c>
      <c r="Q46" s="98" t="s">
        <v>868</v>
      </c>
      <c r="R46" s="98" t="s">
        <v>171</v>
      </c>
      <c r="S46" s="98" t="s">
        <v>609</v>
      </c>
      <c r="T46" s="98" t="s">
        <v>148</v>
      </c>
      <c r="U46" s="99">
        <v>500000</v>
      </c>
      <c r="V46" s="98" t="s">
        <v>146</v>
      </c>
      <c r="W46" s="99">
        <v>499430</v>
      </c>
      <c r="X46" s="98" t="s">
        <v>146</v>
      </c>
      <c r="Y46" s="97">
        <v>0</v>
      </c>
      <c r="Z46" s="97">
        <v>20.82</v>
      </c>
      <c r="AA46" s="97">
        <v>0.85</v>
      </c>
      <c r="AB46" s="97">
        <v>0</v>
      </c>
      <c r="AC46" s="98" t="s">
        <v>724</v>
      </c>
      <c r="AD46" s="98" t="s">
        <v>147</v>
      </c>
      <c r="AE46" s="152">
        <v>2938.39</v>
      </c>
      <c r="AF46" s="153" t="s">
        <v>146</v>
      </c>
      <c r="AG46" s="152">
        <v>3819907</v>
      </c>
      <c r="AH46" s="153"/>
      <c r="AI46" s="152">
        <v>3819907</v>
      </c>
    </row>
    <row r="47" spans="1:35">
      <c r="A47" s="98"/>
      <c r="B47" s="98"/>
      <c r="C47" s="98"/>
      <c r="D47" s="98"/>
      <c r="E47" s="98" t="s">
        <v>863</v>
      </c>
      <c r="F47" s="87" t="s">
        <v>392</v>
      </c>
      <c r="G47" s="98"/>
      <c r="H47" s="98" t="s">
        <v>745</v>
      </c>
      <c r="I47" s="98" t="s">
        <v>896</v>
      </c>
      <c r="J47" s="97">
        <v>1005001979</v>
      </c>
      <c r="K47" s="98" t="s">
        <v>83</v>
      </c>
      <c r="L47" s="98" t="s">
        <v>90</v>
      </c>
      <c r="M47" s="97">
        <v>1001026028</v>
      </c>
      <c r="N47" s="97">
        <v>1004026028</v>
      </c>
      <c r="O47" s="98" t="s">
        <v>178</v>
      </c>
      <c r="P47" s="98" t="s">
        <v>179</v>
      </c>
      <c r="Q47" s="98" t="s">
        <v>868</v>
      </c>
      <c r="R47" s="98" t="s">
        <v>171</v>
      </c>
      <c r="S47" s="98" t="s">
        <v>609</v>
      </c>
      <c r="T47" s="98" t="s">
        <v>148</v>
      </c>
      <c r="U47" s="99">
        <v>500000</v>
      </c>
      <c r="V47" s="98" t="s">
        <v>146</v>
      </c>
      <c r="W47" s="99">
        <v>501470</v>
      </c>
      <c r="X47" s="98" t="s">
        <v>146</v>
      </c>
      <c r="Y47" s="97">
        <v>0</v>
      </c>
      <c r="Z47" s="97">
        <v>20.45</v>
      </c>
      <c r="AA47" s="97">
        <v>0.82</v>
      </c>
      <c r="AB47" s="97">
        <v>0</v>
      </c>
      <c r="AC47" s="98" t="s">
        <v>724</v>
      </c>
      <c r="AD47" s="98" t="s">
        <v>147</v>
      </c>
      <c r="AE47" s="152">
        <v>1665.11</v>
      </c>
      <c r="AF47" s="153" t="s">
        <v>146</v>
      </c>
      <c r="AG47" s="152">
        <v>2098038</v>
      </c>
      <c r="AH47" s="153"/>
      <c r="AI47" s="152">
        <v>2098038</v>
      </c>
    </row>
    <row r="48" spans="1:35">
      <c r="A48" s="100"/>
      <c r="B48" s="100" t="s">
        <v>149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54">
        <v>9063.5</v>
      </c>
      <c r="AF48" s="155" t="s">
        <v>146</v>
      </c>
      <c r="AG48" s="154">
        <v>11410605</v>
      </c>
      <c r="AH48" s="155"/>
      <c r="AI48" s="154">
        <v>11410605</v>
      </c>
    </row>
    <row r="49" spans="1:35">
      <c r="A49" s="97">
        <v>15</v>
      </c>
      <c r="B49" s="98" t="s">
        <v>395</v>
      </c>
      <c r="C49" s="98" t="s">
        <v>396</v>
      </c>
      <c r="D49" s="98" t="s">
        <v>397</v>
      </c>
      <c r="E49" s="98" t="s">
        <v>863</v>
      </c>
      <c r="F49" s="98" t="s">
        <v>396</v>
      </c>
      <c r="G49" s="98" t="s">
        <v>864</v>
      </c>
      <c r="H49" s="98" t="s">
        <v>732</v>
      </c>
      <c r="I49" s="98" t="s">
        <v>896</v>
      </c>
      <c r="J49" s="97">
        <v>1005002184</v>
      </c>
      <c r="K49" s="98" t="s">
        <v>787</v>
      </c>
      <c r="L49" s="98" t="s">
        <v>42</v>
      </c>
      <c r="M49" s="97">
        <v>1001026316</v>
      </c>
      <c r="N49" s="97">
        <v>1004026316</v>
      </c>
      <c r="O49" s="98" t="s">
        <v>178</v>
      </c>
      <c r="P49" s="98" t="s">
        <v>179</v>
      </c>
      <c r="Q49" s="98" t="s">
        <v>868</v>
      </c>
      <c r="R49" s="98" t="s">
        <v>171</v>
      </c>
      <c r="S49" s="98" t="s">
        <v>609</v>
      </c>
      <c r="T49" s="98" t="s">
        <v>148</v>
      </c>
      <c r="U49" s="99">
        <v>1000060</v>
      </c>
      <c r="V49" s="98" t="s">
        <v>146</v>
      </c>
      <c r="W49" s="99">
        <v>1000000</v>
      </c>
      <c r="X49" s="98" t="s">
        <v>146</v>
      </c>
      <c r="Y49" s="97">
        <v>0</v>
      </c>
      <c r="Z49" s="97">
        <v>20.48</v>
      </c>
      <c r="AA49" s="97">
        <v>0.83</v>
      </c>
      <c r="AB49" s="97">
        <v>0</v>
      </c>
      <c r="AC49" s="98" t="s">
        <v>724</v>
      </c>
      <c r="AD49" s="98" t="s">
        <v>147</v>
      </c>
      <c r="AE49" s="152">
        <v>979.36</v>
      </c>
      <c r="AF49" s="153" t="s">
        <v>146</v>
      </c>
      <c r="AG49" s="152">
        <v>1204613</v>
      </c>
      <c r="AH49" s="153"/>
      <c r="AI49" s="152">
        <v>1204613</v>
      </c>
    </row>
    <row r="50" spans="1:35">
      <c r="A50" s="98"/>
      <c r="B50" s="98"/>
      <c r="C50" s="98"/>
      <c r="D50" s="98"/>
      <c r="E50" s="98" t="s">
        <v>863</v>
      </c>
      <c r="F50" s="98"/>
      <c r="G50" s="98"/>
      <c r="H50" s="98" t="s">
        <v>732</v>
      </c>
      <c r="I50" s="98" t="s">
        <v>896</v>
      </c>
      <c r="J50" s="97">
        <v>1005002311</v>
      </c>
      <c r="K50" s="98" t="s">
        <v>66</v>
      </c>
      <c r="L50" s="98" t="s">
        <v>70</v>
      </c>
      <c r="M50" s="97">
        <v>1001026717</v>
      </c>
      <c r="N50" s="97">
        <v>1004026717</v>
      </c>
      <c r="O50" s="98" t="s">
        <v>178</v>
      </c>
      <c r="P50" s="98" t="s">
        <v>179</v>
      </c>
      <c r="Q50" s="98" t="s">
        <v>868</v>
      </c>
      <c r="R50" s="98" t="s">
        <v>171</v>
      </c>
      <c r="S50" s="98" t="s">
        <v>609</v>
      </c>
      <c r="T50" s="98" t="s">
        <v>148</v>
      </c>
      <c r="U50" s="99">
        <v>788620</v>
      </c>
      <c r="V50" s="98" t="s">
        <v>146</v>
      </c>
      <c r="W50" s="99">
        <v>788270</v>
      </c>
      <c r="X50" s="98" t="s">
        <v>146</v>
      </c>
      <c r="Y50" s="97">
        <v>0</v>
      </c>
      <c r="Z50" s="97">
        <v>20.329999999999998</v>
      </c>
      <c r="AA50" s="97">
        <v>0.85</v>
      </c>
      <c r="AB50" s="97">
        <v>0</v>
      </c>
      <c r="AC50" s="98" t="s">
        <v>724</v>
      </c>
      <c r="AD50" s="98" t="s">
        <v>147</v>
      </c>
      <c r="AE50" s="152">
        <v>641.74</v>
      </c>
      <c r="AF50" s="153" t="s">
        <v>146</v>
      </c>
      <c r="AG50" s="152">
        <v>815009</v>
      </c>
      <c r="AH50" s="153"/>
      <c r="AI50" s="152">
        <v>815009</v>
      </c>
    </row>
    <row r="51" spans="1:35">
      <c r="A51" s="98"/>
      <c r="B51" s="98"/>
      <c r="C51" s="98"/>
      <c r="D51" s="98"/>
      <c r="E51" s="98" t="s">
        <v>863</v>
      </c>
      <c r="F51" s="87" t="s">
        <v>396</v>
      </c>
      <c r="G51" s="98"/>
      <c r="H51" s="98" t="s">
        <v>732</v>
      </c>
      <c r="I51" s="98" t="s">
        <v>896</v>
      </c>
      <c r="J51" s="97">
        <v>1005002446</v>
      </c>
      <c r="K51" s="98" t="s">
        <v>12</v>
      </c>
      <c r="L51" s="98" t="s">
        <v>10</v>
      </c>
      <c r="M51" s="97">
        <v>1001027590</v>
      </c>
      <c r="N51" s="97">
        <v>1004027590</v>
      </c>
      <c r="O51" s="98" t="s">
        <v>178</v>
      </c>
      <c r="P51" s="98" t="s">
        <v>179</v>
      </c>
      <c r="Q51" s="98" t="s">
        <v>868</v>
      </c>
      <c r="R51" s="98" t="s">
        <v>171</v>
      </c>
      <c r="S51" s="98" t="s">
        <v>609</v>
      </c>
      <c r="T51" s="98" t="s">
        <v>148</v>
      </c>
      <c r="U51" s="99">
        <v>498270</v>
      </c>
      <c r="V51" s="98" t="s">
        <v>146</v>
      </c>
      <c r="W51" s="99">
        <v>500000</v>
      </c>
      <c r="X51" s="98" t="s">
        <v>146</v>
      </c>
      <c r="Y51" s="97">
        <v>0</v>
      </c>
      <c r="Z51" s="97">
        <v>20.51</v>
      </c>
      <c r="AA51" s="97">
        <v>0.83</v>
      </c>
      <c r="AB51" s="97">
        <v>0</v>
      </c>
      <c r="AC51" s="98" t="s">
        <v>724</v>
      </c>
      <c r="AD51" s="98" t="s">
        <v>147</v>
      </c>
      <c r="AE51" s="152">
        <v>1827.42</v>
      </c>
      <c r="AF51" s="153" t="s">
        <v>146</v>
      </c>
      <c r="AG51" s="152">
        <v>1699502</v>
      </c>
      <c r="AH51" s="153"/>
      <c r="AI51" s="152">
        <v>1699502</v>
      </c>
    </row>
    <row r="52" spans="1:35">
      <c r="A52" s="100"/>
      <c r="B52" s="100" t="s">
        <v>149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54">
        <v>3448.52</v>
      </c>
      <c r="AF52" s="155" t="s">
        <v>146</v>
      </c>
      <c r="AG52" s="154">
        <v>3719124</v>
      </c>
      <c r="AH52" s="155"/>
      <c r="AI52" s="154">
        <v>3719124</v>
      </c>
    </row>
    <row r="53" spans="1:35">
      <c r="A53" s="97">
        <v>16</v>
      </c>
      <c r="B53" s="98" t="s">
        <v>791</v>
      </c>
      <c r="C53" s="98" t="s">
        <v>792</v>
      </c>
      <c r="D53" s="98" t="s">
        <v>793</v>
      </c>
      <c r="E53" s="98" t="s">
        <v>863</v>
      </c>
      <c r="F53" s="98" t="s">
        <v>792</v>
      </c>
      <c r="G53" s="98" t="s">
        <v>864</v>
      </c>
      <c r="H53" s="98" t="s">
        <v>735</v>
      </c>
      <c r="I53" s="98" t="s">
        <v>896</v>
      </c>
      <c r="J53" s="97">
        <v>1005002358</v>
      </c>
      <c r="K53" s="98" t="s">
        <v>97</v>
      </c>
      <c r="L53" s="98" t="s">
        <v>48</v>
      </c>
      <c r="M53" s="97">
        <v>1001026617</v>
      </c>
      <c r="N53" s="97">
        <v>1004026617</v>
      </c>
      <c r="O53" s="98" t="s">
        <v>178</v>
      </c>
      <c r="P53" s="98" t="s">
        <v>179</v>
      </c>
      <c r="Q53" s="98" t="s">
        <v>868</v>
      </c>
      <c r="R53" s="98" t="s">
        <v>171</v>
      </c>
      <c r="S53" s="98" t="s">
        <v>609</v>
      </c>
      <c r="T53" s="98" t="s">
        <v>148</v>
      </c>
      <c r="U53" s="99">
        <v>199760</v>
      </c>
      <c r="V53" s="98" t="s">
        <v>146</v>
      </c>
      <c r="W53" s="99">
        <v>199500</v>
      </c>
      <c r="X53" s="98" t="s">
        <v>146</v>
      </c>
      <c r="Y53" s="97">
        <v>0</v>
      </c>
      <c r="Z53" s="97">
        <v>20.76</v>
      </c>
      <c r="AA53" s="97">
        <v>0.81</v>
      </c>
      <c r="AB53" s="97">
        <v>0</v>
      </c>
      <c r="AC53" s="98" t="s">
        <v>724</v>
      </c>
      <c r="AD53" s="98" t="s">
        <v>147</v>
      </c>
      <c r="AE53" s="152">
        <v>1268.8800000000001</v>
      </c>
      <c r="AF53" s="153" t="s">
        <v>146</v>
      </c>
      <c r="AG53" s="152">
        <v>1433834</v>
      </c>
      <c r="AH53" s="153"/>
      <c r="AI53" s="152">
        <v>1433834</v>
      </c>
    </row>
    <row r="54" spans="1:35">
      <c r="A54" s="100"/>
      <c r="B54" s="100" t="s">
        <v>149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54">
        <v>1268.8800000000001</v>
      </c>
      <c r="AF54" s="155" t="s">
        <v>146</v>
      </c>
      <c r="AG54" s="154">
        <v>1433834</v>
      </c>
      <c r="AH54" s="155"/>
      <c r="AI54" s="154">
        <v>1433834</v>
      </c>
    </row>
    <row r="55" spans="1:35">
      <c r="A55" s="97">
        <v>17</v>
      </c>
      <c r="B55" s="98" t="s">
        <v>810</v>
      </c>
      <c r="C55" s="98" t="s">
        <v>811</v>
      </c>
      <c r="D55" s="98" t="s">
        <v>812</v>
      </c>
      <c r="E55" s="98" t="s">
        <v>863</v>
      </c>
      <c r="F55" s="98" t="s">
        <v>811</v>
      </c>
      <c r="G55" s="98" t="s">
        <v>864</v>
      </c>
      <c r="H55" s="98" t="s">
        <v>732</v>
      </c>
      <c r="I55" s="98" t="s">
        <v>896</v>
      </c>
      <c r="J55" s="97">
        <v>1005002265</v>
      </c>
      <c r="K55" s="98" t="s">
        <v>43</v>
      </c>
      <c r="L55" s="98" t="s">
        <v>60</v>
      </c>
      <c r="M55" s="97">
        <v>1001026082</v>
      </c>
      <c r="N55" s="97">
        <v>1004026082</v>
      </c>
      <c r="O55" s="98" t="s">
        <v>178</v>
      </c>
      <c r="P55" s="98" t="s">
        <v>179</v>
      </c>
      <c r="Q55" s="98" t="s">
        <v>868</v>
      </c>
      <c r="R55" s="98" t="s">
        <v>171</v>
      </c>
      <c r="S55" s="98" t="s">
        <v>609</v>
      </c>
      <c r="T55" s="98" t="s">
        <v>148</v>
      </c>
      <c r="U55" s="99">
        <v>32590</v>
      </c>
      <c r="V55" s="98" t="s">
        <v>146</v>
      </c>
      <c r="W55" s="99">
        <v>32030</v>
      </c>
      <c r="X55" s="98" t="s">
        <v>146</v>
      </c>
      <c r="Y55" s="97">
        <v>0</v>
      </c>
      <c r="Z55" s="97">
        <v>20.9</v>
      </c>
      <c r="AA55" s="97">
        <v>0.84</v>
      </c>
      <c r="AB55" s="97">
        <v>0</v>
      </c>
      <c r="AC55" s="98" t="s">
        <v>724</v>
      </c>
      <c r="AD55" s="98" t="s">
        <v>147</v>
      </c>
      <c r="AE55" s="152">
        <v>288.27</v>
      </c>
      <c r="AF55" s="153" t="s">
        <v>146</v>
      </c>
      <c r="AG55" s="152">
        <v>363220</v>
      </c>
      <c r="AH55" s="153"/>
      <c r="AI55" s="152">
        <v>363220</v>
      </c>
    </row>
    <row r="56" spans="1:35">
      <c r="A56" s="98"/>
      <c r="B56" s="98"/>
      <c r="C56" s="98"/>
      <c r="D56" s="98"/>
      <c r="E56" s="98" t="s">
        <v>863</v>
      </c>
      <c r="F56" s="87" t="s">
        <v>811</v>
      </c>
      <c r="G56" s="98"/>
      <c r="H56" s="98" t="s">
        <v>732</v>
      </c>
      <c r="I56" s="98" t="s">
        <v>896</v>
      </c>
      <c r="J56" s="97">
        <v>1005002266</v>
      </c>
      <c r="K56" s="98" t="s">
        <v>43</v>
      </c>
      <c r="L56" s="98" t="s">
        <v>60</v>
      </c>
      <c r="M56" s="97">
        <v>1001026361</v>
      </c>
      <c r="N56" s="97">
        <v>1004026361</v>
      </c>
      <c r="O56" s="98" t="s">
        <v>178</v>
      </c>
      <c r="P56" s="98" t="s">
        <v>179</v>
      </c>
      <c r="Q56" s="98" t="s">
        <v>868</v>
      </c>
      <c r="R56" s="98" t="s">
        <v>171</v>
      </c>
      <c r="S56" s="98" t="s">
        <v>609</v>
      </c>
      <c r="T56" s="98" t="s">
        <v>148</v>
      </c>
      <c r="U56" s="99">
        <v>2016230</v>
      </c>
      <c r="V56" s="98" t="s">
        <v>146</v>
      </c>
      <c r="W56" s="99">
        <v>2015910</v>
      </c>
      <c r="X56" s="98" t="s">
        <v>146</v>
      </c>
      <c r="Y56" s="97">
        <v>0</v>
      </c>
      <c r="Z56" s="97">
        <v>20.63</v>
      </c>
      <c r="AA56" s="97">
        <v>0.83</v>
      </c>
      <c r="AB56" s="97">
        <v>0</v>
      </c>
      <c r="AC56" s="98" t="s">
        <v>724</v>
      </c>
      <c r="AD56" s="98" t="s">
        <v>147</v>
      </c>
      <c r="AE56" s="152">
        <v>11421.71</v>
      </c>
      <c r="AF56" s="153" t="s">
        <v>146</v>
      </c>
      <c r="AG56" s="152">
        <v>14105812</v>
      </c>
      <c r="AH56" s="153"/>
      <c r="AI56" s="152">
        <v>14105812</v>
      </c>
    </row>
    <row r="57" spans="1:35">
      <c r="A57" s="100"/>
      <c r="B57" s="100" t="s">
        <v>149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54">
        <v>11709.98</v>
      </c>
      <c r="AF57" s="155" t="s">
        <v>146</v>
      </c>
      <c r="AG57" s="154">
        <v>14469032</v>
      </c>
      <c r="AH57" s="155"/>
      <c r="AI57" s="154">
        <v>14469032</v>
      </c>
    </row>
    <row r="58" spans="1:35">
      <c r="A58" s="97">
        <v>18</v>
      </c>
      <c r="B58" s="98" t="s">
        <v>816</v>
      </c>
      <c r="C58" s="98" t="s">
        <v>817</v>
      </c>
      <c r="D58" s="98" t="s">
        <v>818</v>
      </c>
      <c r="E58" s="98" t="s">
        <v>863</v>
      </c>
      <c r="F58" s="98" t="s">
        <v>817</v>
      </c>
      <c r="G58" s="98" t="s">
        <v>864</v>
      </c>
      <c r="H58" s="98" t="s">
        <v>745</v>
      </c>
      <c r="I58" s="98" t="s">
        <v>896</v>
      </c>
      <c r="J58" s="97">
        <v>1005002334</v>
      </c>
      <c r="K58" s="98" t="s">
        <v>80</v>
      </c>
      <c r="L58" s="98" t="s">
        <v>742</v>
      </c>
      <c r="M58" s="97">
        <v>1001026426</v>
      </c>
      <c r="N58" s="97">
        <v>1004026426</v>
      </c>
      <c r="O58" s="98" t="s">
        <v>178</v>
      </c>
      <c r="P58" s="98" t="s">
        <v>179</v>
      </c>
      <c r="Q58" s="98" t="s">
        <v>868</v>
      </c>
      <c r="R58" s="98" t="s">
        <v>171</v>
      </c>
      <c r="S58" s="98" t="s">
        <v>609</v>
      </c>
      <c r="T58" s="98" t="s">
        <v>148</v>
      </c>
      <c r="U58" s="99">
        <v>503660</v>
      </c>
      <c r="V58" s="98" t="s">
        <v>146</v>
      </c>
      <c r="W58" s="99">
        <v>503350</v>
      </c>
      <c r="X58" s="98" t="s">
        <v>146</v>
      </c>
      <c r="Y58" s="97">
        <v>0</v>
      </c>
      <c r="Z58" s="97">
        <v>20.73</v>
      </c>
      <c r="AA58" s="97">
        <v>0.84</v>
      </c>
      <c r="AB58" s="97">
        <v>0</v>
      </c>
      <c r="AC58" s="98" t="s">
        <v>724</v>
      </c>
      <c r="AD58" s="98" t="s">
        <v>147</v>
      </c>
      <c r="AE58" s="152">
        <v>3111.08</v>
      </c>
      <c r="AF58" s="153" t="s">
        <v>146</v>
      </c>
      <c r="AG58" s="152">
        <v>3671075</v>
      </c>
      <c r="AH58" s="153"/>
      <c r="AI58" s="152">
        <v>3671075</v>
      </c>
    </row>
    <row r="59" spans="1:35">
      <c r="A59" s="100"/>
      <c r="B59" s="100" t="s">
        <v>149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54">
        <v>3111.08</v>
      </c>
      <c r="AF59" s="155" t="s">
        <v>146</v>
      </c>
      <c r="AG59" s="154">
        <v>3671075</v>
      </c>
      <c r="AH59" s="155"/>
      <c r="AI59" s="154">
        <v>3671075</v>
      </c>
    </row>
    <row r="60" spans="1:35">
      <c r="A60" s="97">
        <v>19</v>
      </c>
      <c r="B60" s="98" t="s">
        <v>443</v>
      </c>
      <c r="C60" s="98" t="s">
        <v>444</v>
      </c>
      <c r="D60" s="98" t="s">
        <v>445</v>
      </c>
      <c r="E60" s="98" t="s">
        <v>863</v>
      </c>
      <c r="F60" s="98" t="s">
        <v>444</v>
      </c>
      <c r="G60" s="98" t="s">
        <v>864</v>
      </c>
      <c r="H60" s="98" t="s">
        <v>735</v>
      </c>
      <c r="I60" s="98" t="s">
        <v>896</v>
      </c>
      <c r="J60" s="97">
        <v>9085000066</v>
      </c>
      <c r="K60" s="98" t="s">
        <v>819</v>
      </c>
      <c r="L60" s="98" t="s">
        <v>9</v>
      </c>
      <c r="M60" s="97">
        <v>9081001035</v>
      </c>
      <c r="N60" s="97">
        <v>9084101035</v>
      </c>
      <c r="O60" s="98" t="s">
        <v>178</v>
      </c>
      <c r="P60" s="98" t="s">
        <v>179</v>
      </c>
      <c r="Q60" s="98" t="s">
        <v>868</v>
      </c>
      <c r="R60" s="98" t="s">
        <v>171</v>
      </c>
      <c r="S60" s="98" t="s">
        <v>609</v>
      </c>
      <c r="T60" s="98" t="s">
        <v>160</v>
      </c>
      <c r="U60" s="98"/>
      <c r="V60" s="98" t="s">
        <v>146</v>
      </c>
      <c r="W60" s="99">
        <v>400620</v>
      </c>
      <c r="X60" s="98" t="s">
        <v>146</v>
      </c>
      <c r="Y60" s="97">
        <v>0</v>
      </c>
      <c r="Z60" s="97">
        <v>21.5</v>
      </c>
      <c r="AA60" s="97">
        <v>0.82</v>
      </c>
      <c r="AB60" s="97">
        <v>0</v>
      </c>
      <c r="AC60" s="98" t="s">
        <v>724</v>
      </c>
      <c r="AD60" s="98" t="s">
        <v>147</v>
      </c>
      <c r="AE60" s="152">
        <v>2215.4299999999998</v>
      </c>
      <c r="AF60" s="153" t="s">
        <v>146</v>
      </c>
      <c r="AG60" s="152">
        <v>2702825</v>
      </c>
      <c r="AH60" s="153"/>
      <c r="AI60" s="152">
        <v>2702825</v>
      </c>
    </row>
    <row r="61" spans="1:35">
      <c r="A61" s="98"/>
      <c r="B61" s="98"/>
      <c r="C61" s="98"/>
      <c r="D61" s="98"/>
      <c r="E61" s="98" t="s">
        <v>863</v>
      </c>
      <c r="F61" s="87" t="s">
        <v>444</v>
      </c>
      <c r="G61" s="98"/>
      <c r="H61" s="98" t="s">
        <v>735</v>
      </c>
      <c r="I61" s="98" t="s">
        <v>896</v>
      </c>
      <c r="J61" s="97">
        <v>9085000258</v>
      </c>
      <c r="K61" s="98" t="s">
        <v>41</v>
      </c>
      <c r="L61" s="98" t="s">
        <v>57</v>
      </c>
      <c r="M61" s="97">
        <v>9081001575</v>
      </c>
      <c r="N61" s="97">
        <v>9084101575</v>
      </c>
      <c r="O61" s="98" t="s">
        <v>178</v>
      </c>
      <c r="P61" s="98" t="s">
        <v>179</v>
      </c>
      <c r="Q61" s="98" t="s">
        <v>868</v>
      </c>
      <c r="R61" s="98" t="s">
        <v>171</v>
      </c>
      <c r="S61" s="98" t="s">
        <v>609</v>
      </c>
      <c r="T61" s="98" t="s">
        <v>160</v>
      </c>
      <c r="U61" s="98"/>
      <c r="V61" s="98" t="s">
        <v>146</v>
      </c>
      <c r="W61" s="99">
        <v>395410</v>
      </c>
      <c r="X61" s="98" t="s">
        <v>146</v>
      </c>
      <c r="Y61" s="97">
        <v>0</v>
      </c>
      <c r="Z61" s="97">
        <v>20.2</v>
      </c>
      <c r="AA61" s="97">
        <v>0.83</v>
      </c>
      <c r="AB61" s="97">
        <v>0</v>
      </c>
      <c r="AC61" s="98" t="s">
        <v>724</v>
      </c>
      <c r="AD61" s="98" t="s">
        <v>147</v>
      </c>
      <c r="AE61" s="152">
        <v>112.04</v>
      </c>
      <c r="AF61" s="153" t="s">
        <v>146</v>
      </c>
      <c r="AG61" s="152">
        <v>110920</v>
      </c>
      <c r="AH61" s="152">
        <v>12201.2</v>
      </c>
      <c r="AI61" s="152">
        <v>123121.2</v>
      </c>
    </row>
    <row r="62" spans="1:35">
      <c r="A62" s="100"/>
      <c r="B62" s="100" t="s">
        <v>149</v>
      </c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54">
        <v>2327.4699999999998</v>
      </c>
      <c r="AF62" s="155" t="s">
        <v>146</v>
      </c>
      <c r="AG62" s="154">
        <v>2813745</v>
      </c>
      <c r="AH62" s="154">
        <v>12201.2</v>
      </c>
      <c r="AI62" s="154">
        <v>2825946.2</v>
      </c>
    </row>
    <row r="63" spans="1:35">
      <c r="A63" s="97">
        <v>20</v>
      </c>
      <c r="B63" s="98" t="s">
        <v>820</v>
      </c>
      <c r="C63" s="98" t="s">
        <v>821</v>
      </c>
      <c r="D63" s="98" t="s">
        <v>822</v>
      </c>
      <c r="E63" s="98" t="s">
        <v>863</v>
      </c>
      <c r="F63" s="98" t="s">
        <v>821</v>
      </c>
      <c r="G63" s="98" t="s">
        <v>864</v>
      </c>
      <c r="H63" s="98" t="s">
        <v>775</v>
      </c>
      <c r="I63" s="98" t="s">
        <v>896</v>
      </c>
      <c r="J63" s="97">
        <v>1005001002</v>
      </c>
      <c r="K63" s="98" t="s">
        <v>823</v>
      </c>
      <c r="L63" s="98" t="s">
        <v>9</v>
      </c>
      <c r="M63" s="97">
        <v>1001022958</v>
      </c>
      <c r="N63" s="97">
        <v>1004022958</v>
      </c>
      <c r="O63" s="98" t="s">
        <v>178</v>
      </c>
      <c r="P63" s="98" t="s">
        <v>179</v>
      </c>
      <c r="Q63" s="98" t="s">
        <v>868</v>
      </c>
      <c r="R63" s="98" t="s">
        <v>171</v>
      </c>
      <c r="S63" s="98" t="s">
        <v>609</v>
      </c>
      <c r="T63" s="98" t="s">
        <v>148</v>
      </c>
      <c r="U63" s="99">
        <v>507650</v>
      </c>
      <c r="V63" s="98" t="s">
        <v>146</v>
      </c>
      <c r="W63" s="99">
        <v>500000</v>
      </c>
      <c r="X63" s="98" t="s">
        <v>146</v>
      </c>
      <c r="Y63" s="97">
        <v>0</v>
      </c>
      <c r="Z63" s="97">
        <v>20.8</v>
      </c>
      <c r="AA63" s="97">
        <v>0.64</v>
      </c>
      <c r="AB63" s="97">
        <v>0</v>
      </c>
      <c r="AC63" s="98" t="s">
        <v>724</v>
      </c>
      <c r="AD63" s="98" t="s">
        <v>147</v>
      </c>
      <c r="AE63" s="152">
        <v>25.04</v>
      </c>
      <c r="AF63" s="153" t="s">
        <v>146</v>
      </c>
      <c r="AG63" s="152">
        <v>25040</v>
      </c>
      <c r="AH63" s="153"/>
      <c r="AI63" s="152">
        <v>25040</v>
      </c>
    </row>
    <row r="64" spans="1:35">
      <c r="A64" s="98"/>
      <c r="B64" s="98"/>
      <c r="C64" s="98"/>
      <c r="D64" s="98"/>
      <c r="E64" s="98" t="s">
        <v>863</v>
      </c>
      <c r="F64" s="87" t="s">
        <v>821</v>
      </c>
      <c r="G64" s="98"/>
      <c r="H64" s="98" t="s">
        <v>745</v>
      </c>
      <c r="I64" s="98" t="s">
        <v>896</v>
      </c>
      <c r="J64" s="97">
        <v>1005002285</v>
      </c>
      <c r="K64" s="98" t="s">
        <v>40</v>
      </c>
      <c r="L64" s="98" t="s">
        <v>6</v>
      </c>
      <c r="M64" s="97">
        <v>1001026741</v>
      </c>
      <c r="N64" s="97">
        <v>1004026741</v>
      </c>
      <c r="O64" s="98" t="s">
        <v>178</v>
      </c>
      <c r="P64" s="98" t="s">
        <v>179</v>
      </c>
      <c r="Q64" s="98" t="s">
        <v>868</v>
      </c>
      <c r="R64" s="98" t="s">
        <v>171</v>
      </c>
      <c r="S64" s="98" t="s">
        <v>609</v>
      </c>
      <c r="T64" s="98" t="s">
        <v>148</v>
      </c>
      <c r="U64" s="99">
        <v>2011850</v>
      </c>
      <c r="V64" s="98" t="s">
        <v>146</v>
      </c>
      <c r="W64" s="99">
        <v>2000000</v>
      </c>
      <c r="X64" s="98" t="s">
        <v>146</v>
      </c>
      <c r="Y64" s="97">
        <v>0</v>
      </c>
      <c r="Z64" s="97">
        <v>20.72</v>
      </c>
      <c r="AA64" s="97">
        <v>0.83</v>
      </c>
      <c r="AB64" s="97">
        <v>0</v>
      </c>
      <c r="AC64" s="98" t="s">
        <v>724</v>
      </c>
      <c r="AD64" s="98" t="s">
        <v>147</v>
      </c>
      <c r="AE64" s="152">
        <v>11890.09</v>
      </c>
      <c r="AF64" s="153" t="s">
        <v>146</v>
      </c>
      <c r="AG64" s="152">
        <v>13079099</v>
      </c>
      <c r="AH64" s="153"/>
      <c r="AI64" s="152">
        <v>13079099</v>
      </c>
    </row>
    <row r="65" spans="1:35">
      <c r="A65" s="98"/>
      <c r="B65" s="98"/>
      <c r="C65" s="98"/>
      <c r="D65" s="98"/>
      <c r="E65" s="98" t="s">
        <v>863</v>
      </c>
      <c r="F65" s="87" t="s">
        <v>821</v>
      </c>
      <c r="G65" s="98"/>
      <c r="H65" s="98" t="s">
        <v>732</v>
      </c>
      <c r="I65" s="98" t="s">
        <v>896</v>
      </c>
      <c r="J65" s="97">
        <v>1005002180</v>
      </c>
      <c r="K65" s="98" t="s">
        <v>787</v>
      </c>
      <c r="L65" s="98" t="s">
        <v>80</v>
      </c>
      <c r="M65" s="97">
        <v>1001026759</v>
      </c>
      <c r="N65" s="97">
        <v>1004026759</v>
      </c>
      <c r="O65" s="98" t="s">
        <v>178</v>
      </c>
      <c r="P65" s="98" t="s">
        <v>179</v>
      </c>
      <c r="Q65" s="98" t="s">
        <v>868</v>
      </c>
      <c r="R65" s="98" t="s">
        <v>171</v>
      </c>
      <c r="S65" s="98" t="s">
        <v>609</v>
      </c>
      <c r="T65" s="98" t="s">
        <v>148</v>
      </c>
      <c r="U65" s="99">
        <v>596940</v>
      </c>
      <c r="V65" s="98" t="s">
        <v>146</v>
      </c>
      <c r="W65" s="99">
        <v>586940</v>
      </c>
      <c r="X65" s="98" t="s">
        <v>146</v>
      </c>
      <c r="Y65" s="97">
        <v>0</v>
      </c>
      <c r="Z65" s="97">
        <v>20.73</v>
      </c>
      <c r="AA65" s="97">
        <v>0.84</v>
      </c>
      <c r="AB65" s="97">
        <v>0</v>
      </c>
      <c r="AC65" s="98" t="s">
        <v>724</v>
      </c>
      <c r="AD65" s="98" t="s">
        <v>147</v>
      </c>
      <c r="AE65" s="152">
        <v>4001.59</v>
      </c>
      <c r="AF65" s="153" t="s">
        <v>146</v>
      </c>
      <c r="AG65" s="152">
        <v>5202067</v>
      </c>
      <c r="AH65" s="153"/>
      <c r="AI65" s="152">
        <v>5202067</v>
      </c>
    </row>
    <row r="66" spans="1:35">
      <c r="A66" s="100"/>
      <c r="B66" s="100" t="s">
        <v>149</v>
      </c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54">
        <v>15916.72</v>
      </c>
      <c r="AF66" s="155" t="s">
        <v>146</v>
      </c>
      <c r="AG66" s="154">
        <v>18306206</v>
      </c>
      <c r="AH66" s="155"/>
      <c r="AI66" s="154">
        <v>18306206</v>
      </c>
    </row>
    <row r="67" spans="1:35">
      <c r="A67" s="97">
        <v>21</v>
      </c>
      <c r="B67" s="98" t="s">
        <v>824</v>
      </c>
      <c r="C67" s="98" t="s">
        <v>825</v>
      </c>
      <c r="D67" s="98" t="s">
        <v>826</v>
      </c>
      <c r="E67" s="98" t="s">
        <v>863</v>
      </c>
      <c r="F67" s="98" t="s">
        <v>825</v>
      </c>
      <c r="G67" s="98" t="s">
        <v>864</v>
      </c>
      <c r="H67" s="98" t="s">
        <v>745</v>
      </c>
      <c r="I67" s="98" t="s">
        <v>896</v>
      </c>
      <c r="J67" s="97">
        <v>1005002335</v>
      </c>
      <c r="K67" s="98" t="s">
        <v>80</v>
      </c>
      <c r="L67" s="98" t="s">
        <v>70</v>
      </c>
      <c r="M67" s="97">
        <v>1001026302</v>
      </c>
      <c r="N67" s="97">
        <v>1004026302</v>
      </c>
      <c r="O67" s="98" t="s">
        <v>178</v>
      </c>
      <c r="P67" s="98" t="s">
        <v>179</v>
      </c>
      <c r="Q67" s="98" t="s">
        <v>868</v>
      </c>
      <c r="R67" s="98" t="s">
        <v>171</v>
      </c>
      <c r="S67" s="98" t="s">
        <v>609</v>
      </c>
      <c r="T67" s="98" t="s">
        <v>148</v>
      </c>
      <c r="U67" s="99">
        <v>500000</v>
      </c>
      <c r="V67" s="98" t="s">
        <v>146</v>
      </c>
      <c r="W67" s="99">
        <v>499460</v>
      </c>
      <c r="X67" s="98" t="s">
        <v>146</v>
      </c>
      <c r="Y67" s="97">
        <v>0</v>
      </c>
      <c r="Z67" s="97">
        <v>20.61</v>
      </c>
      <c r="AA67" s="97">
        <v>0.83</v>
      </c>
      <c r="AB67" s="97">
        <v>0</v>
      </c>
      <c r="AC67" s="98" t="s">
        <v>724</v>
      </c>
      <c r="AD67" s="98" t="s">
        <v>147</v>
      </c>
      <c r="AE67" s="152">
        <v>1793.63</v>
      </c>
      <c r="AF67" s="153" t="s">
        <v>146</v>
      </c>
      <c r="AG67" s="152">
        <v>2206166</v>
      </c>
      <c r="AH67" s="153"/>
      <c r="AI67" s="152">
        <v>2206166</v>
      </c>
    </row>
    <row r="68" spans="1:35">
      <c r="A68" s="98"/>
      <c r="B68" s="98"/>
      <c r="C68" s="98"/>
      <c r="D68" s="98"/>
      <c r="E68" s="98" t="s">
        <v>863</v>
      </c>
      <c r="F68" s="87" t="s">
        <v>825</v>
      </c>
      <c r="G68" s="98"/>
      <c r="H68" s="98" t="s">
        <v>745</v>
      </c>
      <c r="I68" s="98" t="s">
        <v>896</v>
      </c>
      <c r="J68" s="97">
        <v>1005002456</v>
      </c>
      <c r="K68" s="98" t="s">
        <v>9</v>
      </c>
      <c r="L68" s="98" t="s">
        <v>10</v>
      </c>
      <c r="M68" s="97">
        <v>1001027517</v>
      </c>
      <c r="N68" s="97">
        <v>1004027517</v>
      </c>
      <c r="O68" s="98" t="s">
        <v>178</v>
      </c>
      <c r="P68" s="98" t="s">
        <v>179</v>
      </c>
      <c r="Q68" s="98" t="s">
        <v>868</v>
      </c>
      <c r="R68" s="98" t="s">
        <v>171</v>
      </c>
      <c r="S68" s="98" t="s">
        <v>609</v>
      </c>
      <c r="T68" s="98" t="s">
        <v>148</v>
      </c>
      <c r="U68" s="99">
        <v>300000</v>
      </c>
      <c r="V68" s="98" t="s">
        <v>146</v>
      </c>
      <c r="W68" s="99">
        <v>299550</v>
      </c>
      <c r="X68" s="98" t="s">
        <v>146</v>
      </c>
      <c r="Y68" s="97">
        <v>0</v>
      </c>
      <c r="Z68" s="97">
        <v>20.67</v>
      </c>
      <c r="AA68" s="97">
        <v>0.82</v>
      </c>
      <c r="AB68" s="97">
        <v>0</v>
      </c>
      <c r="AC68" s="98" t="s">
        <v>724</v>
      </c>
      <c r="AD68" s="98" t="s">
        <v>147</v>
      </c>
      <c r="AE68" s="152">
        <v>1788.13</v>
      </c>
      <c r="AF68" s="153" t="s">
        <v>146</v>
      </c>
      <c r="AG68" s="152">
        <v>1609317</v>
      </c>
      <c r="AH68" s="153"/>
      <c r="AI68" s="152">
        <v>1609317</v>
      </c>
    </row>
    <row r="69" spans="1:35">
      <c r="A69" s="100"/>
      <c r="B69" s="100" t="s">
        <v>149</v>
      </c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54">
        <v>3581.76</v>
      </c>
      <c r="AF69" s="155" t="s">
        <v>146</v>
      </c>
      <c r="AG69" s="154">
        <v>3815483</v>
      </c>
      <c r="AH69" s="155"/>
      <c r="AI69" s="154">
        <v>3815483</v>
      </c>
    </row>
    <row r="70" spans="1:35">
      <c r="A70" s="97">
        <v>22</v>
      </c>
      <c r="B70" s="98" t="s">
        <v>827</v>
      </c>
      <c r="C70" s="98" t="s">
        <v>828</v>
      </c>
      <c r="D70" s="98" t="s">
        <v>829</v>
      </c>
      <c r="E70" s="98" t="s">
        <v>863</v>
      </c>
      <c r="F70" s="98" t="s">
        <v>828</v>
      </c>
      <c r="G70" s="98" t="s">
        <v>864</v>
      </c>
      <c r="H70" s="98" t="s">
        <v>830</v>
      </c>
      <c r="I70" s="98" t="s">
        <v>896</v>
      </c>
      <c r="J70" s="97">
        <v>1005000916</v>
      </c>
      <c r="K70" s="98" t="s">
        <v>831</v>
      </c>
      <c r="L70" s="98" t="s">
        <v>48</v>
      </c>
      <c r="M70" s="97">
        <v>1001022160</v>
      </c>
      <c r="N70" s="97">
        <v>1004022160</v>
      </c>
      <c r="O70" s="98" t="s">
        <v>178</v>
      </c>
      <c r="P70" s="98" t="s">
        <v>179</v>
      </c>
      <c r="Q70" s="98" t="s">
        <v>868</v>
      </c>
      <c r="R70" s="98" t="s">
        <v>171</v>
      </c>
      <c r="S70" s="98" t="s">
        <v>609</v>
      </c>
      <c r="T70" s="98" t="s">
        <v>148</v>
      </c>
      <c r="U70" s="99">
        <v>300000</v>
      </c>
      <c r="V70" s="98" t="s">
        <v>146</v>
      </c>
      <c r="W70" s="99">
        <v>300490</v>
      </c>
      <c r="X70" s="98" t="s">
        <v>146</v>
      </c>
      <c r="Y70" s="97">
        <v>0</v>
      </c>
      <c r="Z70" s="97">
        <v>22.4</v>
      </c>
      <c r="AA70" s="97">
        <v>0.81</v>
      </c>
      <c r="AB70" s="97">
        <v>0</v>
      </c>
      <c r="AC70" s="98" t="s">
        <v>724</v>
      </c>
      <c r="AD70" s="98" t="s">
        <v>147</v>
      </c>
      <c r="AE70" s="152">
        <v>512.64</v>
      </c>
      <c r="AF70" s="153" t="s">
        <v>146</v>
      </c>
      <c r="AG70" s="152">
        <v>574157</v>
      </c>
      <c r="AH70" s="153"/>
      <c r="AI70" s="152">
        <v>574157</v>
      </c>
    </row>
    <row r="71" spans="1:35">
      <c r="A71" s="98"/>
      <c r="B71" s="98"/>
      <c r="C71" s="98"/>
      <c r="D71" s="98"/>
      <c r="E71" s="98" t="s">
        <v>863</v>
      </c>
      <c r="F71" s="87" t="s">
        <v>828</v>
      </c>
      <c r="G71" s="98"/>
      <c r="H71" s="98" t="s">
        <v>732</v>
      </c>
      <c r="I71" s="98" t="s">
        <v>896</v>
      </c>
      <c r="J71" s="97">
        <v>1005002025</v>
      </c>
      <c r="K71" s="98" t="s">
        <v>832</v>
      </c>
      <c r="L71" s="98" t="s">
        <v>48</v>
      </c>
      <c r="M71" s="97">
        <v>1001026141</v>
      </c>
      <c r="N71" s="97">
        <v>1004026141</v>
      </c>
      <c r="O71" s="98" t="s">
        <v>178</v>
      </c>
      <c r="P71" s="98" t="s">
        <v>179</v>
      </c>
      <c r="Q71" s="98" t="s">
        <v>868</v>
      </c>
      <c r="R71" s="98" t="s">
        <v>171</v>
      </c>
      <c r="S71" s="98" t="s">
        <v>609</v>
      </c>
      <c r="T71" s="98" t="s">
        <v>148</v>
      </c>
      <c r="U71" s="99">
        <v>300000</v>
      </c>
      <c r="V71" s="98" t="s">
        <v>146</v>
      </c>
      <c r="W71" s="99">
        <v>299780</v>
      </c>
      <c r="X71" s="98" t="s">
        <v>146</v>
      </c>
      <c r="Y71" s="97">
        <v>0</v>
      </c>
      <c r="Z71" s="97">
        <v>20.16</v>
      </c>
      <c r="AA71" s="97">
        <v>0.75</v>
      </c>
      <c r="AB71" s="97">
        <v>0</v>
      </c>
      <c r="AC71" s="98" t="s">
        <v>724</v>
      </c>
      <c r="AD71" s="98" t="s">
        <v>147</v>
      </c>
      <c r="AE71" s="152">
        <v>117.87</v>
      </c>
      <c r="AF71" s="153" t="s">
        <v>146</v>
      </c>
      <c r="AG71" s="152">
        <v>147338</v>
      </c>
      <c r="AH71" s="153"/>
      <c r="AI71" s="152">
        <v>147338</v>
      </c>
    </row>
    <row r="72" spans="1:35">
      <c r="A72" s="100"/>
      <c r="B72" s="100" t="s">
        <v>149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54">
        <v>630.51</v>
      </c>
      <c r="AF72" s="155" t="s">
        <v>146</v>
      </c>
      <c r="AG72" s="154">
        <v>721495</v>
      </c>
      <c r="AH72" s="155"/>
      <c r="AI72" s="154">
        <v>721495</v>
      </c>
    </row>
    <row r="73" spans="1:35" ht="15.5" customHeight="1">
      <c r="A73" s="97">
        <v>23</v>
      </c>
      <c r="B73" s="98" t="s">
        <v>833</v>
      </c>
      <c r="C73" s="98" t="s">
        <v>834</v>
      </c>
      <c r="D73" s="98" t="s">
        <v>835</v>
      </c>
      <c r="E73" s="98" t="s">
        <v>863</v>
      </c>
      <c r="F73" s="98" t="s">
        <v>834</v>
      </c>
      <c r="G73" s="98" t="s">
        <v>864</v>
      </c>
      <c r="H73" s="98" t="s">
        <v>745</v>
      </c>
      <c r="I73" s="98" t="s">
        <v>896</v>
      </c>
      <c r="J73" s="97">
        <v>1005002332</v>
      </c>
      <c r="K73" s="98" t="s">
        <v>80</v>
      </c>
      <c r="L73" s="98" t="s">
        <v>47</v>
      </c>
      <c r="M73" s="97">
        <v>1001027434</v>
      </c>
      <c r="N73" s="97">
        <v>1004027434</v>
      </c>
      <c r="O73" s="98" t="s">
        <v>296</v>
      </c>
      <c r="P73" s="98" t="s">
        <v>297</v>
      </c>
      <c r="Q73" s="98" t="s">
        <v>897</v>
      </c>
      <c r="R73" s="98" t="s">
        <v>171</v>
      </c>
      <c r="S73" s="98" t="s">
        <v>609</v>
      </c>
      <c r="T73" s="98" t="s">
        <v>148</v>
      </c>
      <c r="U73" s="99">
        <v>150000</v>
      </c>
      <c r="V73" s="98" t="s">
        <v>146</v>
      </c>
      <c r="W73" s="99">
        <v>149310</v>
      </c>
      <c r="X73" s="98" t="s">
        <v>146</v>
      </c>
      <c r="Y73" s="97">
        <v>35.25</v>
      </c>
      <c r="Z73" s="97">
        <v>1.36</v>
      </c>
      <c r="AA73" s="97">
        <v>0</v>
      </c>
      <c r="AB73" s="97">
        <v>0</v>
      </c>
      <c r="AC73" s="98" t="s">
        <v>724</v>
      </c>
      <c r="AD73" s="98" t="s">
        <v>147</v>
      </c>
      <c r="AE73" s="152">
        <v>117980</v>
      </c>
      <c r="AF73" s="153" t="s">
        <v>146</v>
      </c>
      <c r="AG73" s="152">
        <v>11798000</v>
      </c>
      <c r="AH73" s="153"/>
      <c r="AI73" s="152">
        <v>11798000</v>
      </c>
    </row>
    <row r="74" spans="1:35" ht="14.5" customHeight="1">
      <c r="A74" s="98"/>
      <c r="B74" s="98"/>
      <c r="C74" s="98"/>
      <c r="D74" s="98"/>
      <c r="E74" s="98" t="s">
        <v>863</v>
      </c>
      <c r="F74" s="87" t="s">
        <v>834</v>
      </c>
      <c r="G74" s="98"/>
      <c r="H74" s="98" t="s">
        <v>745</v>
      </c>
      <c r="I74" s="98" t="s">
        <v>896</v>
      </c>
      <c r="J74" s="97">
        <v>1005002333</v>
      </c>
      <c r="K74" s="98" t="s">
        <v>80</v>
      </c>
      <c r="L74" s="98" t="s">
        <v>47</v>
      </c>
      <c r="M74" s="97">
        <v>1001027435</v>
      </c>
      <c r="N74" s="97">
        <v>1004027435</v>
      </c>
      <c r="O74" s="98" t="s">
        <v>296</v>
      </c>
      <c r="P74" s="98" t="s">
        <v>297</v>
      </c>
      <c r="Q74" s="98" t="s">
        <v>897</v>
      </c>
      <c r="R74" s="98" t="s">
        <v>171</v>
      </c>
      <c r="S74" s="98" t="s">
        <v>609</v>
      </c>
      <c r="T74" s="98" t="s">
        <v>148</v>
      </c>
      <c r="U74" s="99">
        <v>151180</v>
      </c>
      <c r="V74" s="98" t="s">
        <v>146</v>
      </c>
      <c r="W74" s="99">
        <v>150220</v>
      </c>
      <c r="X74" s="98" t="s">
        <v>146</v>
      </c>
      <c r="Y74" s="97">
        <v>35.380000000000003</v>
      </c>
      <c r="Z74" s="97">
        <v>1.35</v>
      </c>
      <c r="AA74" s="97">
        <v>0</v>
      </c>
      <c r="AB74" s="97">
        <v>0</v>
      </c>
      <c r="AC74" s="98" t="s">
        <v>724</v>
      </c>
      <c r="AD74" s="98" t="s">
        <v>147</v>
      </c>
      <c r="AE74" s="152">
        <v>30540</v>
      </c>
      <c r="AF74" s="153" t="s">
        <v>146</v>
      </c>
      <c r="AG74" s="152">
        <v>3054000</v>
      </c>
      <c r="AH74" s="153"/>
      <c r="AI74" s="152">
        <v>3054000</v>
      </c>
    </row>
    <row r="75" spans="1:35">
      <c r="A75" s="100"/>
      <c r="B75" s="100" t="s">
        <v>149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54">
        <v>148520</v>
      </c>
      <c r="AF75" s="155" t="s">
        <v>146</v>
      </c>
      <c r="AG75" s="154">
        <v>14852000</v>
      </c>
      <c r="AH75" s="155"/>
      <c r="AI75" s="154">
        <v>14852000</v>
      </c>
    </row>
    <row r="76" spans="1:35">
      <c r="A76" s="97">
        <v>24</v>
      </c>
      <c r="B76" s="98" t="s">
        <v>545</v>
      </c>
      <c r="C76" s="98" t="s">
        <v>546</v>
      </c>
      <c r="D76" s="98" t="s">
        <v>535</v>
      </c>
      <c r="E76" s="98" t="s">
        <v>863</v>
      </c>
      <c r="F76" s="98" t="s">
        <v>444</v>
      </c>
      <c r="G76" s="98" t="s">
        <v>872</v>
      </c>
      <c r="H76" s="98" t="s">
        <v>735</v>
      </c>
      <c r="I76" s="98" t="s">
        <v>896</v>
      </c>
      <c r="J76" s="97">
        <v>1005000636</v>
      </c>
      <c r="K76" s="98" t="s">
        <v>819</v>
      </c>
      <c r="L76" s="98" t="s">
        <v>9</v>
      </c>
      <c r="M76" s="97">
        <v>1001021988</v>
      </c>
      <c r="N76" s="97">
        <v>1004021988</v>
      </c>
      <c r="O76" s="98" t="s">
        <v>178</v>
      </c>
      <c r="P76" s="98" t="s">
        <v>179</v>
      </c>
      <c r="Q76" s="98" t="s">
        <v>868</v>
      </c>
      <c r="R76" s="98" t="s">
        <v>171</v>
      </c>
      <c r="S76" s="98" t="s">
        <v>609</v>
      </c>
      <c r="T76" s="98" t="s">
        <v>148</v>
      </c>
      <c r="U76" s="99">
        <v>400000</v>
      </c>
      <c r="V76" s="98" t="s">
        <v>146</v>
      </c>
      <c r="W76" s="99">
        <v>400620</v>
      </c>
      <c r="X76" s="98" t="s">
        <v>146</v>
      </c>
      <c r="Y76" s="97">
        <v>0</v>
      </c>
      <c r="Z76" s="97">
        <v>21.5</v>
      </c>
      <c r="AA76" s="97">
        <v>0.82</v>
      </c>
      <c r="AB76" s="97">
        <v>0</v>
      </c>
      <c r="AC76" s="98" t="s">
        <v>724</v>
      </c>
      <c r="AD76" s="98" t="s">
        <v>147</v>
      </c>
      <c r="AE76" s="152">
        <v>2215.4299999999998</v>
      </c>
      <c r="AF76" s="153" t="s">
        <v>146</v>
      </c>
      <c r="AG76" s="152">
        <v>2724979</v>
      </c>
      <c r="AH76" s="153"/>
      <c r="AI76" s="152">
        <v>2724979</v>
      </c>
    </row>
    <row r="77" spans="1:35">
      <c r="A77" s="98"/>
      <c r="B77" s="98"/>
      <c r="C77" s="98"/>
      <c r="D77" s="98"/>
      <c r="E77" s="98" t="s">
        <v>863</v>
      </c>
      <c r="F77" s="87" t="s">
        <v>276</v>
      </c>
      <c r="G77" s="98"/>
      <c r="H77" s="98" t="s">
        <v>745</v>
      </c>
      <c r="I77" s="98" t="s">
        <v>896</v>
      </c>
      <c r="J77" s="97">
        <v>1005002441</v>
      </c>
      <c r="K77" s="98" t="s">
        <v>6</v>
      </c>
      <c r="L77" s="98" t="s">
        <v>48</v>
      </c>
      <c r="M77" s="97">
        <v>1001026680</v>
      </c>
      <c r="N77" s="97">
        <v>1004026680</v>
      </c>
      <c r="O77" s="98" t="s">
        <v>178</v>
      </c>
      <c r="P77" s="98" t="s">
        <v>179</v>
      </c>
      <c r="Q77" s="98" t="s">
        <v>868</v>
      </c>
      <c r="R77" s="98" t="s">
        <v>171</v>
      </c>
      <c r="S77" s="98" t="s">
        <v>609</v>
      </c>
      <c r="T77" s="98" t="s">
        <v>148</v>
      </c>
      <c r="U77" s="99">
        <v>500000</v>
      </c>
      <c r="V77" s="98" t="s">
        <v>146</v>
      </c>
      <c r="W77" s="99">
        <v>497190</v>
      </c>
      <c r="X77" s="98" t="s">
        <v>146</v>
      </c>
      <c r="Y77" s="97">
        <v>0</v>
      </c>
      <c r="Z77" s="97">
        <v>20.94</v>
      </c>
      <c r="AA77" s="97">
        <v>0.84</v>
      </c>
      <c r="AB77" s="97">
        <v>0</v>
      </c>
      <c r="AC77" s="98" t="s">
        <v>724</v>
      </c>
      <c r="AD77" s="98" t="s">
        <v>147</v>
      </c>
      <c r="AE77" s="152">
        <v>4357.74</v>
      </c>
      <c r="AF77" s="153" t="s">
        <v>146</v>
      </c>
      <c r="AG77" s="152">
        <v>4924246</v>
      </c>
      <c r="AH77" s="153"/>
      <c r="AI77" s="152">
        <v>4924246</v>
      </c>
    </row>
    <row r="78" spans="1:35">
      <c r="A78" s="98"/>
      <c r="B78" s="98"/>
      <c r="C78" s="98"/>
      <c r="D78" s="98"/>
      <c r="E78" s="98" t="s">
        <v>863</v>
      </c>
      <c r="F78" s="87" t="s">
        <v>444</v>
      </c>
      <c r="G78" s="98"/>
      <c r="H78" s="98" t="s">
        <v>735</v>
      </c>
      <c r="I78" s="98" t="s">
        <v>896</v>
      </c>
      <c r="J78" s="97">
        <v>1005002290</v>
      </c>
      <c r="K78" s="98" t="s">
        <v>41</v>
      </c>
      <c r="L78" s="98" t="s">
        <v>57</v>
      </c>
      <c r="M78" s="97">
        <v>1001026957</v>
      </c>
      <c r="N78" s="97">
        <v>1004026957</v>
      </c>
      <c r="O78" s="98" t="s">
        <v>178</v>
      </c>
      <c r="P78" s="98" t="s">
        <v>179</v>
      </c>
      <c r="Q78" s="98" t="s">
        <v>868</v>
      </c>
      <c r="R78" s="98" t="s">
        <v>171</v>
      </c>
      <c r="S78" s="98" t="s">
        <v>609</v>
      </c>
      <c r="T78" s="98" t="s">
        <v>148</v>
      </c>
      <c r="U78" s="99">
        <v>393890</v>
      </c>
      <c r="V78" s="98" t="s">
        <v>146</v>
      </c>
      <c r="W78" s="99">
        <v>395410</v>
      </c>
      <c r="X78" s="98" t="s">
        <v>146</v>
      </c>
      <c r="Y78" s="97">
        <v>0</v>
      </c>
      <c r="Z78" s="97">
        <v>20.2</v>
      </c>
      <c r="AA78" s="97">
        <v>0.83</v>
      </c>
      <c r="AB78" s="97">
        <v>0</v>
      </c>
      <c r="AC78" s="98" t="s">
        <v>724</v>
      </c>
      <c r="AD78" s="98" t="s">
        <v>147</v>
      </c>
      <c r="AE78" s="152">
        <v>112.04</v>
      </c>
      <c r="AF78" s="153" t="s">
        <v>146</v>
      </c>
      <c r="AG78" s="152">
        <v>112040</v>
      </c>
      <c r="AH78" s="153"/>
      <c r="AI78" s="152">
        <v>112040</v>
      </c>
    </row>
    <row r="79" spans="1:35">
      <c r="A79" s="100"/>
      <c r="B79" s="100" t="s">
        <v>149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54">
        <v>6685.21</v>
      </c>
      <c r="AF79" s="155" t="s">
        <v>146</v>
      </c>
      <c r="AG79" s="154">
        <v>7761265</v>
      </c>
      <c r="AH79" s="155"/>
      <c r="AI79" s="154">
        <v>7761265</v>
      </c>
    </row>
    <row r="80" spans="1:35" s="83" customFormat="1">
      <c r="A80" s="102"/>
      <c r="B80" s="102" t="s">
        <v>880</v>
      </c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56">
        <v>274446.74</v>
      </c>
      <c r="AF80" s="157" t="s">
        <v>146</v>
      </c>
      <c r="AG80" s="156">
        <v>170465318</v>
      </c>
      <c r="AH80" s="156">
        <v>549074.9</v>
      </c>
      <c r="AI80" s="156">
        <v>171014392.90000001</v>
      </c>
    </row>
    <row r="336" spans="25:35" s="131" customFormat="1">
      <c r="Y336" s="130"/>
      <c r="Z336" s="130"/>
      <c r="AA336" s="130"/>
      <c r="AB336" s="130"/>
      <c r="AE336" s="149"/>
      <c r="AF336" s="149"/>
      <c r="AG336" s="149"/>
      <c r="AH336" s="149"/>
      <c r="AI336" s="149"/>
    </row>
  </sheetData>
  <autoFilter ref="A8:AI80" xr:uid="{00000000-0009-0000-0000-000009000000}"/>
  <mergeCells count="5">
    <mergeCell ref="U5:X5"/>
    <mergeCell ref="Y5:AB5"/>
    <mergeCell ref="U6:X6"/>
    <mergeCell ref="Y6:AB6"/>
    <mergeCell ref="AE5:AI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AI20"/>
  <sheetViews>
    <sheetView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J9" sqref="J9"/>
    </sheetView>
  </sheetViews>
  <sheetFormatPr defaultColWidth="9.1796875" defaultRowHeight="14.5"/>
  <cols>
    <col min="1" max="1" width="5.453125" style="111" customWidth="1"/>
    <col min="2" max="2" width="14" style="111" hidden="1" customWidth="1"/>
    <col min="3" max="3" width="30.26953125" style="111" bestFit="1" customWidth="1"/>
    <col min="4" max="4" width="11.81640625" style="111" bestFit="1" customWidth="1"/>
    <col min="5" max="5" width="13.26953125" style="111" hidden="1" customWidth="1"/>
    <col min="6" max="6" width="30.26953125" style="111" hidden="1" customWidth="1"/>
    <col min="7" max="7" width="22" style="111" hidden="1" customWidth="1"/>
    <col min="8" max="8" width="9.453125" style="111" hidden="1" customWidth="1"/>
    <col min="9" max="9" width="16.54296875" style="111" hidden="1" customWidth="1"/>
    <col min="10" max="10" width="10.81640625" style="118" bestFit="1" customWidth="1"/>
    <col min="11" max="11" width="11.54296875" style="111" bestFit="1" customWidth="1"/>
    <col min="12" max="12" width="10.1796875" style="111" bestFit="1" customWidth="1"/>
    <col min="13" max="13" width="15.453125" style="118" bestFit="1" customWidth="1"/>
    <col min="14" max="14" width="15.453125" style="118" hidden="1" customWidth="1"/>
    <col min="15" max="15" width="13.453125" style="111" hidden="1" customWidth="1"/>
    <col min="16" max="16" width="12.26953125" style="111" bestFit="1" customWidth="1"/>
    <col min="17" max="17" width="24.453125" style="111" hidden="1" customWidth="1"/>
    <col min="18" max="18" width="5.26953125" style="111" hidden="1" customWidth="1"/>
    <col min="19" max="19" width="4.26953125" style="111" hidden="1" customWidth="1"/>
    <col min="20" max="20" width="7.7265625" style="111" hidden="1" customWidth="1"/>
    <col min="21" max="21" width="10.1796875" style="111" hidden="1" customWidth="1"/>
    <col min="22" max="22" width="5.1796875" style="111" hidden="1" customWidth="1"/>
    <col min="23" max="23" width="10.1796875" style="111" hidden="1" customWidth="1"/>
    <col min="24" max="24" width="5.1796875" style="111" hidden="1" customWidth="1"/>
    <col min="25" max="25" width="8.7265625" style="112" hidden="1" customWidth="1"/>
    <col min="26" max="26" width="5" style="112" hidden="1" customWidth="1"/>
    <col min="27" max="27" width="4.7265625" style="112" hidden="1" customWidth="1"/>
    <col min="28" max="28" width="5.453125" style="112" hidden="1" customWidth="1"/>
    <col min="29" max="29" width="8" style="111" hidden="1" customWidth="1"/>
    <col min="30" max="30" width="6.7265625" style="111" hidden="1" customWidth="1"/>
    <col min="31" max="31" width="10.1796875" style="158" bestFit="1" customWidth="1"/>
    <col min="32" max="32" width="5.453125" style="158" hidden="1" customWidth="1"/>
    <col min="33" max="33" width="16.54296875" style="158" hidden="1" customWidth="1"/>
    <col min="34" max="34" width="7.7265625" style="158" hidden="1" customWidth="1"/>
    <col min="35" max="35" width="15.26953125" style="158" bestFit="1" customWidth="1"/>
    <col min="36" max="16384" width="9.1796875" style="111"/>
  </cols>
  <sheetData>
    <row r="1" spans="1:35">
      <c r="A1" s="115" t="s">
        <v>625</v>
      </c>
    </row>
    <row r="2" spans="1:35">
      <c r="A2" s="115" t="s">
        <v>901</v>
      </c>
    </row>
    <row r="3" spans="1:35">
      <c r="A3" s="115" t="s">
        <v>644</v>
      </c>
    </row>
    <row r="5" spans="1:35" s="89" customFormat="1">
      <c r="A5" s="134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 t="s">
        <v>0</v>
      </c>
      <c r="T5" s="134" t="s">
        <v>699</v>
      </c>
      <c r="U5" s="185" t="s">
        <v>850</v>
      </c>
      <c r="V5" s="185"/>
      <c r="W5" s="185"/>
      <c r="X5" s="185"/>
      <c r="Y5" s="186" t="s">
        <v>851</v>
      </c>
      <c r="Z5" s="186"/>
      <c r="AA5" s="186"/>
      <c r="AB5" s="186"/>
      <c r="AC5" s="134"/>
      <c r="AD5" s="134"/>
      <c r="AE5" s="187" t="s">
        <v>700</v>
      </c>
      <c r="AF5" s="188"/>
      <c r="AG5" s="188"/>
      <c r="AH5" s="188"/>
      <c r="AI5" s="189"/>
    </row>
    <row r="6" spans="1:35" s="89" customFormat="1">
      <c r="A6" s="134" t="s">
        <v>124</v>
      </c>
      <c r="B6" s="134" t="s">
        <v>125</v>
      </c>
      <c r="C6" s="134" t="s">
        <v>701</v>
      </c>
      <c r="D6" s="134" t="s">
        <v>702</v>
      </c>
      <c r="E6" s="134" t="s">
        <v>852</v>
      </c>
      <c r="F6" s="134" t="s">
        <v>128</v>
      </c>
      <c r="G6" s="134" t="s">
        <v>853</v>
      </c>
      <c r="H6" s="134" t="s">
        <v>703</v>
      </c>
      <c r="I6" s="134" t="s">
        <v>854</v>
      </c>
      <c r="J6" s="134" t="s">
        <v>704</v>
      </c>
      <c r="K6" s="134" t="s">
        <v>705</v>
      </c>
      <c r="L6" s="134" t="s">
        <v>706</v>
      </c>
      <c r="M6" s="134" t="s">
        <v>707</v>
      </c>
      <c r="N6" s="134" t="s">
        <v>133</v>
      </c>
      <c r="O6" s="134" t="s">
        <v>134</v>
      </c>
      <c r="P6" s="134" t="s">
        <v>708</v>
      </c>
      <c r="Q6" s="134" t="s">
        <v>855</v>
      </c>
      <c r="R6" s="134" t="s">
        <v>132</v>
      </c>
      <c r="S6" s="134" t="s">
        <v>709</v>
      </c>
      <c r="T6" s="134" t="s">
        <v>710</v>
      </c>
      <c r="U6" s="185" t="s">
        <v>856</v>
      </c>
      <c r="V6" s="185"/>
      <c r="W6" s="185"/>
      <c r="X6" s="185"/>
      <c r="Y6" s="186" t="s">
        <v>856</v>
      </c>
      <c r="Z6" s="186"/>
      <c r="AA6" s="186"/>
      <c r="AB6" s="186"/>
      <c r="AC6" s="134" t="s">
        <v>711</v>
      </c>
      <c r="AD6" s="134" t="s">
        <v>2</v>
      </c>
      <c r="AE6" s="190"/>
      <c r="AF6" s="191"/>
      <c r="AG6" s="191"/>
      <c r="AH6" s="191"/>
      <c r="AI6" s="192"/>
    </row>
    <row r="7" spans="1:35" s="89" customFormat="1">
      <c r="A7" s="134"/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 t="s">
        <v>857</v>
      </c>
      <c r="V7" s="134" t="s">
        <v>858</v>
      </c>
      <c r="W7" s="134" t="s">
        <v>859</v>
      </c>
      <c r="X7" s="134" t="s">
        <v>858</v>
      </c>
      <c r="Y7" s="135" t="s">
        <v>860</v>
      </c>
      <c r="Z7" s="135" t="s">
        <v>861</v>
      </c>
      <c r="AA7" s="135" t="s">
        <v>862</v>
      </c>
      <c r="AB7" s="135" t="s">
        <v>135</v>
      </c>
      <c r="AC7" s="134" t="s">
        <v>713</v>
      </c>
      <c r="AD7" s="134"/>
      <c r="AE7" s="142" t="s">
        <v>714</v>
      </c>
      <c r="AF7" s="142" t="s">
        <v>1</v>
      </c>
      <c r="AG7" s="142" t="s">
        <v>715</v>
      </c>
      <c r="AH7" s="142" t="s">
        <v>716</v>
      </c>
      <c r="AI7" s="142" t="s">
        <v>717</v>
      </c>
    </row>
    <row r="8" spans="1:35" s="89" customFormat="1">
      <c r="A8" s="134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5"/>
      <c r="Z8" s="135"/>
      <c r="AA8" s="135"/>
      <c r="AB8" s="135"/>
      <c r="AC8" s="134"/>
      <c r="AD8" s="134"/>
      <c r="AE8" s="142"/>
      <c r="AF8" s="142"/>
      <c r="AG8" s="142" t="s">
        <v>642</v>
      </c>
      <c r="AH8" s="142" t="s">
        <v>718</v>
      </c>
      <c r="AI8" s="142" t="s">
        <v>642</v>
      </c>
    </row>
    <row r="9" spans="1:35">
      <c r="A9" s="84">
        <v>1</v>
      </c>
      <c r="B9" s="85" t="s">
        <v>757</v>
      </c>
      <c r="C9" s="85" t="s">
        <v>758</v>
      </c>
      <c r="D9" s="85" t="s">
        <v>225</v>
      </c>
      <c r="E9" s="85" t="s">
        <v>863</v>
      </c>
      <c r="F9" s="85" t="s">
        <v>758</v>
      </c>
      <c r="G9" s="85" t="s">
        <v>864</v>
      </c>
      <c r="H9" s="85" t="s">
        <v>759</v>
      </c>
      <c r="I9" s="85" t="s">
        <v>900</v>
      </c>
      <c r="J9" s="119">
        <v>1385000072</v>
      </c>
      <c r="K9" s="85" t="s">
        <v>760</v>
      </c>
      <c r="L9" s="85" t="s">
        <v>6</v>
      </c>
      <c r="M9" s="119">
        <v>1381002341</v>
      </c>
      <c r="N9" s="119">
        <v>1384002341</v>
      </c>
      <c r="O9" s="85" t="s">
        <v>144</v>
      </c>
      <c r="P9" s="85" t="s">
        <v>145</v>
      </c>
      <c r="Q9" s="85" t="s">
        <v>867</v>
      </c>
      <c r="R9" s="85" t="s">
        <v>253</v>
      </c>
      <c r="S9" s="85" t="s">
        <v>609</v>
      </c>
      <c r="T9" s="85" t="s">
        <v>255</v>
      </c>
      <c r="U9" s="86">
        <v>250000</v>
      </c>
      <c r="V9" s="85" t="s">
        <v>146</v>
      </c>
      <c r="W9" s="86">
        <v>250040</v>
      </c>
      <c r="X9" s="85" t="s">
        <v>146</v>
      </c>
      <c r="Y9" s="84">
        <v>3.3</v>
      </c>
      <c r="Z9" s="84">
        <v>0.6</v>
      </c>
      <c r="AA9" s="84">
        <v>0</v>
      </c>
      <c r="AB9" s="84">
        <v>2.1</v>
      </c>
      <c r="AC9" s="85" t="s">
        <v>724</v>
      </c>
      <c r="AD9" s="85" t="s">
        <v>147</v>
      </c>
      <c r="AE9" s="150">
        <v>20.34</v>
      </c>
      <c r="AF9" s="151" t="s">
        <v>146</v>
      </c>
      <c r="AG9" s="150">
        <v>289337</v>
      </c>
      <c r="AH9" s="151"/>
      <c r="AI9" s="150">
        <v>289337</v>
      </c>
    </row>
    <row r="10" spans="1:35">
      <c r="A10" s="90"/>
      <c r="B10" s="90" t="s">
        <v>149</v>
      </c>
      <c r="C10" s="90"/>
      <c r="D10" s="90"/>
      <c r="E10" s="90"/>
      <c r="F10" s="90"/>
      <c r="G10" s="90"/>
      <c r="H10" s="90"/>
      <c r="I10" s="90"/>
      <c r="J10" s="120"/>
      <c r="K10" s="90"/>
      <c r="L10" s="90"/>
      <c r="M10" s="120"/>
      <c r="N10" s="12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145">
        <v>20.34</v>
      </c>
      <c r="AF10" s="146" t="s">
        <v>146</v>
      </c>
      <c r="AG10" s="145">
        <v>289337</v>
      </c>
      <c r="AH10" s="146"/>
      <c r="AI10" s="145">
        <v>289337</v>
      </c>
    </row>
    <row r="11" spans="1:35" s="89" customFormat="1">
      <c r="A11" s="84">
        <v>2</v>
      </c>
      <c r="B11" s="85" t="s">
        <v>788</v>
      </c>
      <c r="C11" s="85" t="s">
        <v>789</v>
      </c>
      <c r="D11" s="85" t="s">
        <v>790</v>
      </c>
      <c r="E11" s="85" t="s">
        <v>863</v>
      </c>
      <c r="F11" s="85" t="s">
        <v>789</v>
      </c>
      <c r="G11" s="85" t="s">
        <v>864</v>
      </c>
      <c r="H11" s="85" t="s">
        <v>763</v>
      </c>
      <c r="I11" s="85" t="s">
        <v>900</v>
      </c>
      <c r="J11" s="119">
        <v>1385000073</v>
      </c>
      <c r="K11" s="85" t="s">
        <v>47</v>
      </c>
      <c r="L11" s="85" t="s">
        <v>28</v>
      </c>
      <c r="M11" s="119">
        <v>1381002252</v>
      </c>
      <c r="N11" s="119">
        <v>1384002252</v>
      </c>
      <c r="O11" s="85" t="s">
        <v>144</v>
      </c>
      <c r="P11" s="85" t="s">
        <v>145</v>
      </c>
      <c r="Q11" s="85" t="s">
        <v>867</v>
      </c>
      <c r="R11" s="85" t="s">
        <v>253</v>
      </c>
      <c r="S11" s="85" t="s">
        <v>609</v>
      </c>
      <c r="T11" s="85" t="s">
        <v>255</v>
      </c>
      <c r="U11" s="86">
        <v>150000</v>
      </c>
      <c r="V11" s="85" t="s">
        <v>146</v>
      </c>
      <c r="W11" s="86">
        <v>149660</v>
      </c>
      <c r="X11" s="85" t="s">
        <v>146</v>
      </c>
      <c r="Y11" s="84">
        <v>5.3</v>
      </c>
      <c r="Z11" s="84">
        <v>0.43</v>
      </c>
      <c r="AA11" s="84">
        <v>0</v>
      </c>
      <c r="AB11" s="84">
        <v>2</v>
      </c>
      <c r="AC11" s="85" t="s">
        <v>724</v>
      </c>
      <c r="AD11" s="85" t="s">
        <v>147</v>
      </c>
      <c r="AE11" s="150">
        <v>25480</v>
      </c>
      <c r="AF11" s="151" t="s">
        <v>146</v>
      </c>
      <c r="AG11" s="150">
        <v>2548000</v>
      </c>
      <c r="AH11" s="151"/>
      <c r="AI11" s="150">
        <v>2548000</v>
      </c>
    </row>
    <row r="12" spans="1:35">
      <c r="A12" s="85"/>
      <c r="B12" s="85"/>
      <c r="C12" s="85"/>
      <c r="D12" s="85"/>
      <c r="E12" s="85" t="s">
        <v>863</v>
      </c>
      <c r="F12" s="87" t="s">
        <v>789</v>
      </c>
      <c r="G12" s="85"/>
      <c r="H12" s="85" t="s">
        <v>763</v>
      </c>
      <c r="I12" s="85" t="s">
        <v>900</v>
      </c>
      <c r="J12" s="119">
        <v>1385000074</v>
      </c>
      <c r="K12" s="85" t="s">
        <v>47</v>
      </c>
      <c r="L12" s="85" t="s">
        <v>28</v>
      </c>
      <c r="M12" s="119">
        <v>1381002252</v>
      </c>
      <c r="N12" s="119">
        <v>1384002252</v>
      </c>
      <c r="O12" s="85" t="s">
        <v>144</v>
      </c>
      <c r="P12" s="85" t="s">
        <v>145</v>
      </c>
      <c r="Q12" s="85" t="s">
        <v>867</v>
      </c>
      <c r="R12" s="85" t="s">
        <v>253</v>
      </c>
      <c r="S12" s="85" t="s">
        <v>609</v>
      </c>
      <c r="T12" s="85" t="s">
        <v>255</v>
      </c>
      <c r="U12" s="86">
        <v>150000</v>
      </c>
      <c r="V12" s="85" t="s">
        <v>146</v>
      </c>
      <c r="W12" s="86">
        <v>149660</v>
      </c>
      <c r="X12" s="85" t="s">
        <v>146</v>
      </c>
      <c r="Y12" s="84">
        <v>4.9000000000000004</v>
      </c>
      <c r="Z12" s="84">
        <v>0.56999999999999995</v>
      </c>
      <c r="AA12" s="84">
        <v>0</v>
      </c>
      <c r="AB12" s="84">
        <v>2</v>
      </c>
      <c r="AC12" s="85" t="s">
        <v>724</v>
      </c>
      <c r="AD12" s="85" t="s">
        <v>147</v>
      </c>
      <c r="AE12" s="150">
        <v>17.54</v>
      </c>
      <c r="AF12" s="151" t="s">
        <v>146</v>
      </c>
      <c r="AG12" s="150">
        <v>243806</v>
      </c>
      <c r="AH12" s="151"/>
      <c r="AI12" s="150">
        <v>243806</v>
      </c>
    </row>
    <row r="13" spans="1:35" s="89" customFormat="1" ht="16.5" customHeight="1">
      <c r="A13" s="90"/>
      <c r="B13" s="90" t="s">
        <v>149</v>
      </c>
      <c r="C13" s="90"/>
      <c r="D13" s="90"/>
      <c r="E13" s="90"/>
      <c r="F13" s="90"/>
      <c r="G13" s="90"/>
      <c r="H13" s="90"/>
      <c r="I13" s="90"/>
      <c r="J13" s="120"/>
      <c r="K13" s="90"/>
      <c r="L13" s="90"/>
      <c r="M13" s="120"/>
      <c r="N13" s="12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45">
        <v>25497.54</v>
      </c>
      <c r="AF13" s="146" t="s">
        <v>146</v>
      </c>
      <c r="AG13" s="145">
        <v>2791806</v>
      </c>
      <c r="AH13" s="146"/>
      <c r="AI13" s="145">
        <v>2791806</v>
      </c>
    </row>
    <row r="14" spans="1:35">
      <c r="A14" s="84">
        <v>3</v>
      </c>
      <c r="B14" s="85" t="s">
        <v>417</v>
      </c>
      <c r="C14" s="85" t="s">
        <v>418</v>
      </c>
      <c r="D14" s="85" t="s">
        <v>419</v>
      </c>
      <c r="E14" s="85" t="s">
        <v>863</v>
      </c>
      <c r="F14" s="85" t="s">
        <v>418</v>
      </c>
      <c r="G14" s="85" t="s">
        <v>864</v>
      </c>
      <c r="H14" s="85" t="s">
        <v>759</v>
      </c>
      <c r="I14" s="85" t="s">
        <v>900</v>
      </c>
      <c r="J14" s="119">
        <v>1385000058</v>
      </c>
      <c r="K14" s="85" t="s">
        <v>782</v>
      </c>
      <c r="L14" s="85" t="s">
        <v>70</v>
      </c>
      <c r="M14" s="119">
        <v>1381002163</v>
      </c>
      <c r="N14" s="119">
        <v>1384002163</v>
      </c>
      <c r="O14" s="85" t="s">
        <v>144</v>
      </c>
      <c r="P14" s="85" t="s">
        <v>145</v>
      </c>
      <c r="Q14" s="85" t="s">
        <v>867</v>
      </c>
      <c r="R14" s="85" t="s">
        <v>253</v>
      </c>
      <c r="S14" s="85" t="s">
        <v>609</v>
      </c>
      <c r="T14" s="85" t="s">
        <v>255</v>
      </c>
      <c r="U14" s="86">
        <v>600000</v>
      </c>
      <c r="V14" s="85" t="s">
        <v>146</v>
      </c>
      <c r="W14" s="86">
        <v>599350</v>
      </c>
      <c r="X14" s="85" t="s">
        <v>146</v>
      </c>
      <c r="Y14" s="84">
        <v>5.3</v>
      </c>
      <c r="Z14" s="84">
        <v>0.5</v>
      </c>
      <c r="AA14" s="84">
        <v>0</v>
      </c>
      <c r="AB14" s="84">
        <v>2.1</v>
      </c>
      <c r="AC14" s="85" t="s">
        <v>724</v>
      </c>
      <c r="AD14" s="85" t="s">
        <v>147</v>
      </c>
      <c r="AE14" s="150">
        <v>29960</v>
      </c>
      <c r="AF14" s="151" t="s">
        <v>146</v>
      </c>
      <c r="AG14" s="150">
        <v>2996000</v>
      </c>
      <c r="AH14" s="151"/>
      <c r="AI14" s="150">
        <v>2996000</v>
      </c>
    </row>
    <row r="15" spans="1:35">
      <c r="A15" s="85"/>
      <c r="B15" s="85"/>
      <c r="C15" s="85"/>
      <c r="D15" s="85"/>
      <c r="E15" s="85" t="s">
        <v>863</v>
      </c>
      <c r="F15" s="87" t="s">
        <v>418</v>
      </c>
      <c r="G15" s="85"/>
      <c r="H15" s="85" t="s">
        <v>759</v>
      </c>
      <c r="I15" s="85" t="s">
        <v>900</v>
      </c>
      <c r="J15" s="119">
        <v>1385000068</v>
      </c>
      <c r="K15" s="85" t="s">
        <v>771</v>
      </c>
      <c r="L15" s="85" t="s">
        <v>742</v>
      </c>
      <c r="M15" s="119">
        <v>1381002250</v>
      </c>
      <c r="N15" s="119">
        <v>1384002250</v>
      </c>
      <c r="O15" s="85" t="s">
        <v>144</v>
      </c>
      <c r="P15" s="85" t="s">
        <v>145</v>
      </c>
      <c r="Q15" s="85" t="s">
        <v>867</v>
      </c>
      <c r="R15" s="85" t="s">
        <v>253</v>
      </c>
      <c r="S15" s="85" t="s">
        <v>609</v>
      </c>
      <c r="T15" s="85" t="s">
        <v>255</v>
      </c>
      <c r="U15" s="86">
        <v>600000</v>
      </c>
      <c r="V15" s="85" t="s">
        <v>146</v>
      </c>
      <c r="W15" s="86">
        <v>599100</v>
      </c>
      <c r="X15" s="85" t="s">
        <v>146</v>
      </c>
      <c r="Y15" s="84">
        <v>5.39</v>
      </c>
      <c r="Z15" s="84">
        <v>0.48</v>
      </c>
      <c r="AA15" s="84">
        <v>0</v>
      </c>
      <c r="AB15" s="84">
        <v>2.1</v>
      </c>
      <c r="AC15" s="85" t="s">
        <v>724</v>
      </c>
      <c r="AD15" s="85" t="s">
        <v>147</v>
      </c>
      <c r="AE15" s="150">
        <v>28480</v>
      </c>
      <c r="AF15" s="151" t="s">
        <v>146</v>
      </c>
      <c r="AG15" s="150">
        <v>2848000</v>
      </c>
      <c r="AH15" s="151"/>
      <c r="AI15" s="150">
        <v>2848000</v>
      </c>
    </row>
    <row r="16" spans="1:35">
      <c r="A16" s="85"/>
      <c r="B16" s="85"/>
      <c r="C16" s="85"/>
      <c r="D16" s="85"/>
      <c r="E16" s="85" t="s">
        <v>863</v>
      </c>
      <c r="F16" s="87" t="s">
        <v>418</v>
      </c>
      <c r="G16" s="85"/>
      <c r="H16" s="85" t="s">
        <v>759</v>
      </c>
      <c r="I16" s="85" t="s">
        <v>900</v>
      </c>
      <c r="J16" s="119">
        <v>1385000069</v>
      </c>
      <c r="K16" s="85" t="s">
        <v>771</v>
      </c>
      <c r="L16" s="85" t="s">
        <v>742</v>
      </c>
      <c r="M16" s="119">
        <v>1381002250</v>
      </c>
      <c r="N16" s="119">
        <v>1384002250</v>
      </c>
      <c r="O16" s="85" t="s">
        <v>144</v>
      </c>
      <c r="P16" s="85" t="s">
        <v>145</v>
      </c>
      <c r="Q16" s="85" t="s">
        <v>867</v>
      </c>
      <c r="R16" s="85" t="s">
        <v>253</v>
      </c>
      <c r="S16" s="85" t="s">
        <v>609</v>
      </c>
      <c r="T16" s="85" t="s">
        <v>255</v>
      </c>
      <c r="U16" s="86">
        <v>600000</v>
      </c>
      <c r="V16" s="85" t="s">
        <v>146</v>
      </c>
      <c r="W16" s="86">
        <v>599100</v>
      </c>
      <c r="X16" s="85" t="s">
        <v>146</v>
      </c>
      <c r="Y16" s="84">
        <v>4.29</v>
      </c>
      <c r="Z16" s="84">
        <v>0.61</v>
      </c>
      <c r="AA16" s="84">
        <v>0</v>
      </c>
      <c r="AB16" s="84">
        <v>2.1</v>
      </c>
      <c r="AC16" s="85" t="s">
        <v>724</v>
      </c>
      <c r="AD16" s="85" t="s">
        <v>147</v>
      </c>
      <c r="AE16" s="150">
        <v>65.62</v>
      </c>
      <c r="AF16" s="151" t="s">
        <v>146</v>
      </c>
      <c r="AG16" s="150">
        <v>910149</v>
      </c>
      <c r="AH16" s="151"/>
      <c r="AI16" s="150">
        <v>910149</v>
      </c>
    </row>
    <row r="17" spans="1:35">
      <c r="A17" s="90"/>
      <c r="B17" s="90" t="s">
        <v>149</v>
      </c>
      <c r="C17" s="90"/>
      <c r="D17" s="90"/>
      <c r="E17" s="90"/>
      <c r="F17" s="90"/>
      <c r="G17" s="90"/>
      <c r="H17" s="90"/>
      <c r="I17" s="90"/>
      <c r="J17" s="120"/>
      <c r="K17" s="90"/>
      <c r="L17" s="90"/>
      <c r="M17" s="120"/>
      <c r="N17" s="12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145">
        <v>58505.62</v>
      </c>
      <c r="AF17" s="146" t="s">
        <v>146</v>
      </c>
      <c r="AG17" s="145">
        <v>6754149</v>
      </c>
      <c r="AH17" s="146"/>
      <c r="AI17" s="145">
        <v>6754149</v>
      </c>
    </row>
    <row r="18" spans="1:35">
      <c r="A18" s="84">
        <v>4</v>
      </c>
      <c r="B18" s="85" t="s">
        <v>840</v>
      </c>
      <c r="C18" s="85" t="s">
        <v>841</v>
      </c>
      <c r="D18" s="85" t="s">
        <v>842</v>
      </c>
      <c r="E18" s="85" t="s">
        <v>863</v>
      </c>
      <c r="F18" s="85" t="s">
        <v>841</v>
      </c>
      <c r="G18" s="85" t="s">
        <v>864</v>
      </c>
      <c r="H18" s="85" t="s">
        <v>759</v>
      </c>
      <c r="I18" s="85" t="s">
        <v>900</v>
      </c>
      <c r="J18" s="119">
        <v>1385000067</v>
      </c>
      <c r="K18" s="85" t="s">
        <v>843</v>
      </c>
      <c r="L18" s="85" t="s">
        <v>28</v>
      </c>
      <c r="M18" s="119">
        <v>1381002344</v>
      </c>
      <c r="N18" s="119">
        <v>1384002344</v>
      </c>
      <c r="O18" s="85" t="s">
        <v>144</v>
      </c>
      <c r="P18" s="85" t="s">
        <v>145</v>
      </c>
      <c r="Q18" s="85" t="s">
        <v>867</v>
      </c>
      <c r="R18" s="85" t="s">
        <v>253</v>
      </c>
      <c r="S18" s="85" t="s">
        <v>609</v>
      </c>
      <c r="T18" s="85" t="s">
        <v>255</v>
      </c>
      <c r="U18" s="86">
        <v>100200</v>
      </c>
      <c r="V18" s="85" t="s">
        <v>146</v>
      </c>
      <c r="W18" s="86">
        <v>99940</v>
      </c>
      <c r="X18" s="85" t="s">
        <v>146</v>
      </c>
      <c r="Y18" s="84">
        <v>4.3</v>
      </c>
      <c r="Z18" s="84">
        <v>0.54</v>
      </c>
      <c r="AA18" s="84">
        <v>0</v>
      </c>
      <c r="AB18" s="84">
        <v>2</v>
      </c>
      <c r="AC18" s="85" t="s">
        <v>724</v>
      </c>
      <c r="AD18" s="85" t="s">
        <v>147</v>
      </c>
      <c r="AE18" s="150">
        <v>13.15</v>
      </c>
      <c r="AF18" s="151" t="s">
        <v>146</v>
      </c>
      <c r="AG18" s="150">
        <v>187651</v>
      </c>
      <c r="AH18" s="151"/>
      <c r="AI18" s="150">
        <v>187651</v>
      </c>
    </row>
    <row r="19" spans="1:35">
      <c r="A19" s="90"/>
      <c r="B19" s="90" t="s">
        <v>149</v>
      </c>
      <c r="C19" s="90"/>
      <c r="D19" s="90"/>
      <c r="E19" s="90"/>
      <c r="F19" s="90"/>
      <c r="G19" s="90"/>
      <c r="H19" s="90"/>
      <c r="I19" s="90"/>
      <c r="J19" s="120"/>
      <c r="K19" s="90"/>
      <c r="L19" s="90"/>
      <c r="M19" s="120"/>
      <c r="N19" s="12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145">
        <v>13.15</v>
      </c>
      <c r="AF19" s="146" t="s">
        <v>146</v>
      </c>
      <c r="AG19" s="145">
        <v>187651</v>
      </c>
      <c r="AH19" s="146"/>
      <c r="AI19" s="145">
        <v>187651</v>
      </c>
    </row>
    <row r="20" spans="1:35">
      <c r="A20" s="91"/>
      <c r="B20" s="91" t="s">
        <v>880</v>
      </c>
      <c r="C20" s="91"/>
      <c r="D20" s="91"/>
      <c r="E20" s="91"/>
      <c r="F20" s="91"/>
      <c r="G20" s="91"/>
      <c r="H20" s="91"/>
      <c r="I20" s="91"/>
      <c r="J20" s="121"/>
      <c r="K20" s="91"/>
      <c r="L20" s="91"/>
      <c r="M20" s="121"/>
      <c r="N20" s="12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147">
        <v>84036.65</v>
      </c>
      <c r="AF20" s="148" t="s">
        <v>146</v>
      </c>
      <c r="AG20" s="147">
        <v>10022943</v>
      </c>
      <c r="AH20" s="148"/>
      <c r="AI20" s="147">
        <v>10022943</v>
      </c>
    </row>
  </sheetData>
  <autoFilter ref="A8:AI20" xr:uid="{00000000-0009-0000-0000-00000D000000}"/>
  <mergeCells count="5">
    <mergeCell ref="U5:X5"/>
    <mergeCell ref="Y5:AB5"/>
    <mergeCell ref="U6:X6"/>
    <mergeCell ref="Y6:AB6"/>
    <mergeCell ref="AE5:AI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I335"/>
  <sheetViews>
    <sheetView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K9" sqref="K9"/>
    </sheetView>
  </sheetViews>
  <sheetFormatPr defaultRowHeight="14.5"/>
  <cols>
    <col min="1" max="1" width="4.1796875" bestFit="1" customWidth="1"/>
    <col min="2" max="2" width="14" hidden="1" customWidth="1"/>
    <col min="3" max="3" width="26.81640625" customWidth="1"/>
    <col min="4" max="4" width="12.54296875" bestFit="1" customWidth="1"/>
    <col min="5" max="5" width="13.453125" hidden="1" customWidth="1"/>
    <col min="6" max="6" width="39" hidden="1" customWidth="1"/>
    <col min="7" max="7" width="25.54296875" hidden="1" customWidth="1"/>
    <col min="8" max="8" width="11.1796875" hidden="1" customWidth="1"/>
    <col min="9" max="9" width="18.453125" hidden="1" customWidth="1"/>
    <col min="10" max="10" width="12.453125" hidden="1" customWidth="1"/>
    <col min="11" max="11" width="11.54296875" customWidth="1"/>
    <col min="12" max="12" width="13.453125" customWidth="1"/>
    <col min="13" max="13" width="12.453125" bestFit="1" customWidth="1"/>
    <col min="14" max="14" width="13" hidden="1" customWidth="1"/>
    <col min="15" max="15" width="13.453125" hidden="1" customWidth="1"/>
    <col min="16" max="16" width="12.7265625" bestFit="1" customWidth="1"/>
    <col min="17" max="17" width="24.453125" hidden="1" customWidth="1"/>
    <col min="18" max="18" width="5.26953125" hidden="1" customWidth="1"/>
    <col min="19" max="19" width="5.7265625" hidden="1" customWidth="1"/>
    <col min="20" max="20" width="7.81640625" hidden="1" customWidth="1"/>
    <col min="21" max="21" width="5.7265625" hidden="1" customWidth="1"/>
    <col min="22" max="22" width="5.453125" hidden="1" customWidth="1"/>
    <col min="23" max="23" width="9.1796875" hidden="1" customWidth="1"/>
    <col min="24" max="24" width="5.453125" hidden="1" customWidth="1"/>
    <col min="25" max="28" width="9.453125" style="104" hidden="1" customWidth="1"/>
    <col min="29" max="29" width="0" hidden="1" customWidth="1"/>
    <col min="30" max="30" width="6.81640625" hidden="1" customWidth="1"/>
    <col min="31" max="31" width="10.7265625" style="82" bestFit="1" customWidth="1"/>
    <col min="32" max="32" width="0" style="82" hidden="1" customWidth="1"/>
    <col min="33" max="33" width="16.7265625" style="82" hidden="1" customWidth="1"/>
    <col min="34" max="34" width="12.81640625" style="82" hidden="1" customWidth="1"/>
    <col min="35" max="35" width="15.54296875" style="82" bestFit="1" customWidth="1"/>
  </cols>
  <sheetData>
    <row r="1" spans="1:35">
      <c r="A1" s="83" t="s">
        <v>625</v>
      </c>
    </row>
    <row r="2" spans="1:35">
      <c r="A2" s="83" t="s">
        <v>894</v>
      </c>
    </row>
    <row r="3" spans="1:35">
      <c r="A3" s="83" t="s">
        <v>644</v>
      </c>
    </row>
    <row r="5" spans="1:35" s="89" customFormat="1">
      <c r="A5" s="134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 t="s">
        <v>0</v>
      </c>
      <c r="T5" s="134" t="s">
        <v>699</v>
      </c>
      <c r="U5" s="185" t="s">
        <v>850</v>
      </c>
      <c r="V5" s="185"/>
      <c r="W5" s="185"/>
      <c r="X5" s="185"/>
      <c r="Y5" s="186" t="s">
        <v>851</v>
      </c>
      <c r="Z5" s="186"/>
      <c r="AA5" s="186"/>
      <c r="AB5" s="186"/>
      <c r="AC5" s="134"/>
      <c r="AD5" s="134"/>
      <c r="AE5" s="187" t="s">
        <v>700</v>
      </c>
      <c r="AF5" s="188"/>
      <c r="AG5" s="188"/>
      <c r="AH5" s="188"/>
      <c r="AI5" s="189"/>
    </row>
    <row r="6" spans="1:35" s="89" customFormat="1">
      <c r="A6" s="134" t="s">
        <v>124</v>
      </c>
      <c r="B6" s="134" t="s">
        <v>125</v>
      </c>
      <c r="C6" s="134" t="s">
        <v>701</v>
      </c>
      <c r="D6" s="134" t="s">
        <v>702</v>
      </c>
      <c r="E6" s="134" t="s">
        <v>852</v>
      </c>
      <c r="F6" s="134" t="s">
        <v>128</v>
      </c>
      <c r="G6" s="134" t="s">
        <v>853</v>
      </c>
      <c r="H6" s="134" t="s">
        <v>703</v>
      </c>
      <c r="I6" s="134" t="s">
        <v>854</v>
      </c>
      <c r="J6" s="134" t="s">
        <v>704</v>
      </c>
      <c r="K6" s="134" t="s">
        <v>705</v>
      </c>
      <c r="L6" s="134" t="s">
        <v>706</v>
      </c>
      <c r="M6" s="134" t="s">
        <v>707</v>
      </c>
      <c r="N6" s="134" t="s">
        <v>133</v>
      </c>
      <c r="O6" s="134" t="s">
        <v>134</v>
      </c>
      <c r="P6" s="134" t="s">
        <v>708</v>
      </c>
      <c r="Q6" s="134" t="s">
        <v>855</v>
      </c>
      <c r="R6" s="134" t="s">
        <v>132</v>
      </c>
      <c r="S6" s="134" t="s">
        <v>709</v>
      </c>
      <c r="T6" s="134" t="s">
        <v>710</v>
      </c>
      <c r="U6" s="185" t="s">
        <v>856</v>
      </c>
      <c r="V6" s="185"/>
      <c r="W6" s="185"/>
      <c r="X6" s="185"/>
      <c r="Y6" s="186" t="s">
        <v>856</v>
      </c>
      <c r="Z6" s="186"/>
      <c r="AA6" s="186"/>
      <c r="AB6" s="186"/>
      <c r="AC6" s="134" t="s">
        <v>711</v>
      </c>
      <c r="AD6" s="134" t="s">
        <v>2</v>
      </c>
      <c r="AE6" s="190"/>
      <c r="AF6" s="191"/>
      <c r="AG6" s="191"/>
      <c r="AH6" s="191"/>
      <c r="AI6" s="192"/>
    </row>
    <row r="7" spans="1:35" s="89" customFormat="1">
      <c r="A7" s="134"/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 t="s">
        <v>857</v>
      </c>
      <c r="V7" s="134" t="s">
        <v>858</v>
      </c>
      <c r="W7" s="134" t="s">
        <v>859</v>
      </c>
      <c r="X7" s="134" t="s">
        <v>858</v>
      </c>
      <c r="Y7" s="135" t="s">
        <v>860</v>
      </c>
      <c r="Z7" s="135" t="s">
        <v>861</v>
      </c>
      <c r="AA7" s="135" t="s">
        <v>862</v>
      </c>
      <c r="AB7" s="135" t="s">
        <v>135</v>
      </c>
      <c r="AC7" s="134" t="s">
        <v>713</v>
      </c>
      <c r="AD7" s="134"/>
      <c r="AE7" s="142" t="s">
        <v>714</v>
      </c>
      <c r="AF7" s="142" t="s">
        <v>1</v>
      </c>
      <c r="AG7" s="142" t="s">
        <v>715</v>
      </c>
      <c r="AH7" s="142" t="s">
        <v>716</v>
      </c>
      <c r="AI7" s="142" t="s">
        <v>717</v>
      </c>
    </row>
    <row r="8" spans="1:35" s="89" customFormat="1">
      <c r="A8" s="134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5"/>
      <c r="Z8" s="135"/>
      <c r="AA8" s="135"/>
      <c r="AB8" s="135"/>
      <c r="AC8" s="134"/>
      <c r="AD8" s="134"/>
      <c r="AE8" s="142"/>
      <c r="AF8" s="142"/>
      <c r="AG8" s="142" t="s">
        <v>642</v>
      </c>
      <c r="AH8" s="142" t="s">
        <v>718</v>
      </c>
      <c r="AI8" s="142" t="s">
        <v>642</v>
      </c>
    </row>
    <row r="9" spans="1:35" ht="15.75" customHeight="1">
      <c r="A9" s="97">
        <v>1</v>
      </c>
      <c r="B9" s="98" t="s">
        <v>761</v>
      </c>
      <c r="C9" s="98" t="s">
        <v>762</v>
      </c>
      <c r="D9" s="98"/>
      <c r="E9" s="98" t="s">
        <v>863</v>
      </c>
      <c r="F9" s="98" t="s">
        <v>762</v>
      </c>
      <c r="G9" s="98" t="s">
        <v>864</v>
      </c>
      <c r="H9" s="98" t="s">
        <v>763</v>
      </c>
      <c r="I9" s="98" t="s">
        <v>893</v>
      </c>
      <c r="J9" s="97">
        <v>9085000264</v>
      </c>
      <c r="K9" s="98" t="s">
        <v>47</v>
      </c>
      <c r="L9" s="98" t="s">
        <v>60</v>
      </c>
      <c r="M9" s="97">
        <v>9081001556</v>
      </c>
      <c r="N9" s="97">
        <v>9084101556</v>
      </c>
      <c r="O9" s="98" t="s">
        <v>144</v>
      </c>
      <c r="P9" s="98" t="s">
        <v>145</v>
      </c>
      <c r="Q9" s="98" t="s">
        <v>867</v>
      </c>
      <c r="R9" s="98" t="s">
        <v>344</v>
      </c>
      <c r="S9" s="98" t="s">
        <v>609</v>
      </c>
      <c r="T9" s="98" t="s">
        <v>160</v>
      </c>
      <c r="U9" s="98"/>
      <c r="V9" s="98" t="s">
        <v>146</v>
      </c>
      <c r="W9" s="99">
        <v>96790</v>
      </c>
      <c r="X9" s="98" t="s">
        <v>146</v>
      </c>
      <c r="Y9" s="105">
        <v>5.23</v>
      </c>
      <c r="Z9" s="105">
        <v>0.45</v>
      </c>
      <c r="AA9" s="105">
        <v>0</v>
      </c>
      <c r="AB9" s="105">
        <v>0</v>
      </c>
      <c r="AC9" s="98" t="s">
        <v>724</v>
      </c>
      <c r="AD9" s="98" t="s">
        <v>147</v>
      </c>
      <c r="AE9" s="152">
        <v>23910</v>
      </c>
      <c r="AF9" s="153" t="s">
        <v>146</v>
      </c>
      <c r="AG9" s="152">
        <v>2391000</v>
      </c>
      <c r="AH9" s="152">
        <v>263010</v>
      </c>
      <c r="AI9" s="152">
        <v>2654010</v>
      </c>
    </row>
    <row r="10" spans="1:35">
      <c r="A10" s="100"/>
      <c r="B10" s="100" t="s">
        <v>149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6"/>
      <c r="Z10" s="106"/>
      <c r="AA10" s="106"/>
      <c r="AB10" s="106"/>
      <c r="AC10" s="100"/>
      <c r="AD10" s="100"/>
      <c r="AE10" s="154">
        <v>23910</v>
      </c>
      <c r="AF10" s="155" t="s">
        <v>146</v>
      </c>
      <c r="AG10" s="154">
        <v>2391000</v>
      </c>
      <c r="AH10" s="154">
        <v>263010</v>
      </c>
      <c r="AI10" s="154">
        <v>2654010</v>
      </c>
    </row>
    <row r="11" spans="1:35">
      <c r="A11" s="97">
        <v>2</v>
      </c>
      <c r="B11" s="98" t="s">
        <v>545</v>
      </c>
      <c r="C11" s="98" t="s">
        <v>546</v>
      </c>
      <c r="D11" s="98" t="s">
        <v>535</v>
      </c>
      <c r="E11" s="98" t="s">
        <v>863</v>
      </c>
      <c r="F11" s="98" t="s">
        <v>762</v>
      </c>
      <c r="G11" s="98" t="s">
        <v>872</v>
      </c>
      <c r="H11" s="98" t="s">
        <v>763</v>
      </c>
      <c r="I11" s="98" t="s">
        <v>893</v>
      </c>
      <c r="J11" s="97">
        <v>1015000139</v>
      </c>
      <c r="K11" s="98" t="s">
        <v>47</v>
      </c>
      <c r="L11" s="98" t="s">
        <v>60</v>
      </c>
      <c r="M11" s="97">
        <v>1011002780</v>
      </c>
      <c r="N11" s="97">
        <v>1014002780</v>
      </c>
      <c r="O11" s="98" t="s">
        <v>144</v>
      </c>
      <c r="P11" s="98" t="s">
        <v>145</v>
      </c>
      <c r="Q11" s="98" t="s">
        <v>867</v>
      </c>
      <c r="R11" s="98" t="s">
        <v>344</v>
      </c>
      <c r="S11" s="98" t="s">
        <v>609</v>
      </c>
      <c r="T11" s="98" t="s">
        <v>346</v>
      </c>
      <c r="U11" s="98"/>
      <c r="V11" s="98" t="s">
        <v>146</v>
      </c>
      <c r="W11" s="98"/>
      <c r="X11" s="98" t="s">
        <v>146</v>
      </c>
      <c r="Y11" s="105">
        <v>5.23</v>
      </c>
      <c r="Z11" s="105">
        <v>0.45</v>
      </c>
      <c r="AA11" s="105">
        <v>0</v>
      </c>
      <c r="AB11" s="105">
        <v>0</v>
      </c>
      <c r="AC11" s="98" t="s">
        <v>724</v>
      </c>
      <c r="AD11" s="98" t="s">
        <v>147</v>
      </c>
      <c r="AE11" s="152">
        <v>23910</v>
      </c>
      <c r="AF11" s="153" t="s">
        <v>146</v>
      </c>
      <c r="AG11" s="152">
        <v>2391000</v>
      </c>
      <c r="AH11" s="153"/>
      <c r="AI11" s="152">
        <v>2391000</v>
      </c>
    </row>
    <row r="12" spans="1:35">
      <c r="A12" s="100"/>
      <c r="B12" s="100" t="s">
        <v>149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6"/>
      <c r="Z12" s="106"/>
      <c r="AA12" s="106"/>
      <c r="AB12" s="106"/>
      <c r="AC12" s="100"/>
      <c r="AD12" s="100"/>
      <c r="AE12" s="154">
        <v>23910</v>
      </c>
      <c r="AF12" s="155" t="s">
        <v>146</v>
      </c>
      <c r="AG12" s="154">
        <v>2391000</v>
      </c>
      <c r="AH12" s="155"/>
      <c r="AI12" s="154">
        <v>2391000</v>
      </c>
    </row>
    <row r="13" spans="1:35" s="83" customFormat="1">
      <c r="A13" s="102"/>
      <c r="B13" s="102" t="s">
        <v>880</v>
      </c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7"/>
      <c r="Z13" s="107"/>
      <c r="AA13" s="107"/>
      <c r="AB13" s="107"/>
      <c r="AC13" s="102"/>
      <c r="AD13" s="102"/>
      <c r="AE13" s="156">
        <v>47820</v>
      </c>
      <c r="AF13" s="157" t="s">
        <v>146</v>
      </c>
      <c r="AG13" s="156">
        <v>4782000</v>
      </c>
      <c r="AH13" s="156">
        <v>263010</v>
      </c>
      <c r="AI13" s="156">
        <v>5045010</v>
      </c>
    </row>
    <row r="335" spans="25:35" s="131" customFormat="1">
      <c r="Y335" s="130"/>
      <c r="Z335" s="130"/>
      <c r="AA335" s="130"/>
      <c r="AB335" s="130"/>
      <c r="AE335" s="149"/>
      <c r="AF335" s="149"/>
      <c r="AG335" s="149"/>
      <c r="AH335" s="149"/>
      <c r="AI335" s="149"/>
    </row>
  </sheetData>
  <autoFilter ref="A8:AI13" xr:uid="{00000000-0009-0000-0000-000008000000}"/>
  <mergeCells count="5">
    <mergeCell ref="U5:X5"/>
    <mergeCell ref="Y5:AB5"/>
    <mergeCell ref="U6:X6"/>
    <mergeCell ref="Y6:AB6"/>
    <mergeCell ref="AE5:AI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AI336"/>
  <sheetViews>
    <sheetView workbookViewId="0">
      <selection activeCell="P22" sqref="P22"/>
    </sheetView>
  </sheetViews>
  <sheetFormatPr defaultColWidth="9.1796875" defaultRowHeight="14.5"/>
  <cols>
    <col min="1" max="1" width="6" style="111" customWidth="1"/>
    <col min="2" max="2" width="14" style="111" hidden="1" customWidth="1"/>
    <col min="3" max="3" width="24.26953125" style="111" customWidth="1"/>
    <col min="4" max="4" width="11.26953125" style="111" bestFit="1" customWidth="1"/>
    <col min="5" max="5" width="13.453125" style="111" hidden="1" customWidth="1"/>
    <col min="6" max="6" width="28.7265625" style="111" hidden="1" customWidth="1"/>
    <col min="7" max="7" width="25.54296875" style="111" hidden="1" customWidth="1"/>
    <col min="8" max="8" width="11.1796875" style="111" hidden="1" customWidth="1"/>
    <col min="9" max="9" width="14.81640625" style="111" hidden="1" customWidth="1"/>
    <col min="10" max="10" width="11.1796875" style="111" hidden="1" customWidth="1"/>
    <col min="11" max="11" width="11.7265625" style="111" bestFit="1" customWidth="1"/>
    <col min="12" max="12" width="10.1796875" style="111" bestFit="1" customWidth="1"/>
    <col min="13" max="13" width="11.1796875" style="111" bestFit="1" customWidth="1"/>
    <col min="14" max="14" width="13" style="111" hidden="1" customWidth="1"/>
    <col min="15" max="15" width="13.453125" style="111" hidden="1" customWidth="1"/>
    <col min="16" max="16" width="12.7265625" style="111" bestFit="1" customWidth="1"/>
    <col min="17" max="17" width="24.453125" style="111" hidden="1" customWidth="1"/>
    <col min="18" max="18" width="5.26953125" style="111" hidden="1" customWidth="1"/>
    <col min="19" max="19" width="4.26953125" style="111" hidden="1" customWidth="1"/>
    <col min="20" max="20" width="7.81640625" style="111" hidden="1" customWidth="1"/>
    <col min="21" max="21" width="11.7265625" style="111" hidden="1" customWidth="1"/>
    <col min="22" max="22" width="5.453125" style="111" hidden="1" customWidth="1"/>
    <col min="23" max="23" width="11.81640625" style="111" hidden="1" customWidth="1"/>
    <col min="24" max="24" width="5.453125" style="111" hidden="1" customWidth="1"/>
    <col min="25" max="25" width="8.81640625" style="112" hidden="1" customWidth="1"/>
    <col min="26" max="26" width="5.1796875" style="112" hidden="1" customWidth="1"/>
    <col min="27" max="27" width="4.81640625" style="112" hidden="1" customWidth="1"/>
    <col min="28" max="28" width="5.54296875" style="112" hidden="1" customWidth="1"/>
    <col min="29" max="29" width="8.1796875" style="111" hidden="1" customWidth="1"/>
    <col min="30" max="30" width="6.81640625" style="111" hidden="1" customWidth="1"/>
    <col min="31" max="31" width="11.90625" style="158" bestFit="1" customWidth="1"/>
    <col min="32" max="32" width="5.7265625" style="158" hidden="1" customWidth="1"/>
    <col min="33" max="33" width="16.90625" style="158" hidden="1" customWidth="1"/>
    <col min="34" max="34" width="11.1796875" style="158" hidden="1" customWidth="1"/>
    <col min="35" max="35" width="15.6328125" style="158" bestFit="1" customWidth="1"/>
    <col min="36" max="16384" width="9.1796875" style="111"/>
  </cols>
  <sheetData>
    <row r="1" spans="1:35">
      <c r="A1" s="115" t="s">
        <v>625</v>
      </c>
    </row>
    <row r="2" spans="1:35">
      <c r="A2" s="115" t="s">
        <v>898</v>
      </c>
    </row>
    <row r="3" spans="1:35">
      <c r="A3" s="115" t="s">
        <v>644</v>
      </c>
    </row>
    <row r="5" spans="1:35" s="89" customFormat="1">
      <c r="A5" s="134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 t="s">
        <v>0</v>
      </c>
      <c r="T5" s="134" t="s">
        <v>699</v>
      </c>
      <c r="U5" s="185" t="s">
        <v>850</v>
      </c>
      <c r="V5" s="185"/>
      <c r="W5" s="185"/>
      <c r="X5" s="185"/>
      <c r="Y5" s="186" t="s">
        <v>851</v>
      </c>
      <c r="Z5" s="186"/>
      <c r="AA5" s="186"/>
      <c r="AB5" s="186"/>
      <c r="AC5" s="134"/>
      <c r="AD5" s="134"/>
      <c r="AE5" s="187" t="s">
        <v>700</v>
      </c>
      <c r="AF5" s="188"/>
      <c r="AG5" s="188"/>
      <c r="AH5" s="188"/>
      <c r="AI5" s="189"/>
    </row>
    <row r="6" spans="1:35" s="89" customFormat="1">
      <c r="A6" s="134" t="s">
        <v>124</v>
      </c>
      <c r="B6" s="134" t="s">
        <v>125</v>
      </c>
      <c r="C6" s="134" t="s">
        <v>701</v>
      </c>
      <c r="D6" s="134" t="s">
        <v>702</v>
      </c>
      <c r="E6" s="134" t="s">
        <v>852</v>
      </c>
      <c r="F6" s="134" t="s">
        <v>128</v>
      </c>
      <c r="G6" s="134" t="s">
        <v>853</v>
      </c>
      <c r="H6" s="134" t="s">
        <v>703</v>
      </c>
      <c r="I6" s="134" t="s">
        <v>854</v>
      </c>
      <c r="J6" s="134" t="s">
        <v>704</v>
      </c>
      <c r="K6" s="134" t="s">
        <v>705</v>
      </c>
      <c r="L6" s="134" t="s">
        <v>706</v>
      </c>
      <c r="M6" s="134" t="s">
        <v>707</v>
      </c>
      <c r="N6" s="134" t="s">
        <v>133</v>
      </c>
      <c r="O6" s="134" t="s">
        <v>134</v>
      </c>
      <c r="P6" s="134" t="s">
        <v>708</v>
      </c>
      <c r="Q6" s="134" t="s">
        <v>855</v>
      </c>
      <c r="R6" s="134" t="s">
        <v>132</v>
      </c>
      <c r="S6" s="134" t="s">
        <v>709</v>
      </c>
      <c r="T6" s="134" t="s">
        <v>710</v>
      </c>
      <c r="U6" s="185" t="s">
        <v>856</v>
      </c>
      <c r="V6" s="185"/>
      <c r="W6" s="185"/>
      <c r="X6" s="185"/>
      <c r="Y6" s="186" t="s">
        <v>856</v>
      </c>
      <c r="Z6" s="186"/>
      <c r="AA6" s="186"/>
      <c r="AB6" s="186"/>
      <c r="AC6" s="134" t="s">
        <v>711</v>
      </c>
      <c r="AD6" s="134" t="s">
        <v>2</v>
      </c>
      <c r="AE6" s="190"/>
      <c r="AF6" s="191"/>
      <c r="AG6" s="191"/>
      <c r="AH6" s="191"/>
      <c r="AI6" s="192"/>
    </row>
    <row r="7" spans="1:35" s="89" customFormat="1">
      <c r="A7" s="134"/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 t="s">
        <v>857</v>
      </c>
      <c r="V7" s="134" t="s">
        <v>858</v>
      </c>
      <c r="W7" s="134" t="s">
        <v>859</v>
      </c>
      <c r="X7" s="134" t="s">
        <v>858</v>
      </c>
      <c r="Y7" s="135" t="s">
        <v>860</v>
      </c>
      <c r="Z7" s="135" t="s">
        <v>861</v>
      </c>
      <c r="AA7" s="135" t="s">
        <v>862</v>
      </c>
      <c r="AB7" s="135" t="s">
        <v>135</v>
      </c>
      <c r="AC7" s="134" t="s">
        <v>713</v>
      </c>
      <c r="AD7" s="134"/>
      <c r="AE7" s="142" t="s">
        <v>714</v>
      </c>
      <c r="AF7" s="142" t="s">
        <v>1</v>
      </c>
      <c r="AG7" s="142" t="s">
        <v>715</v>
      </c>
      <c r="AH7" s="142" t="s">
        <v>716</v>
      </c>
      <c r="AI7" s="142" t="s">
        <v>717</v>
      </c>
    </row>
    <row r="8" spans="1:35" s="89" customFormat="1">
      <c r="A8" s="134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5"/>
      <c r="Z8" s="135"/>
      <c r="AA8" s="135"/>
      <c r="AB8" s="135"/>
      <c r="AC8" s="134"/>
      <c r="AD8" s="134"/>
      <c r="AE8" s="142"/>
      <c r="AF8" s="142"/>
      <c r="AG8" s="142" t="s">
        <v>642</v>
      </c>
      <c r="AH8" s="142" t="s">
        <v>718</v>
      </c>
      <c r="AI8" s="142" t="s">
        <v>642</v>
      </c>
    </row>
    <row r="9" spans="1:35">
      <c r="A9" s="113">
        <v>1</v>
      </c>
      <c r="B9" s="113" t="s">
        <v>353</v>
      </c>
      <c r="C9" s="163" t="s">
        <v>354</v>
      </c>
      <c r="D9" s="113" t="s">
        <v>355</v>
      </c>
      <c r="E9" s="113" t="s">
        <v>863</v>
      </c>
      <c r="F9" s="113" t="s">
        <v>354</v>
      </c>
      <c r="G9" s="113" t="s">
        <v>864</v>
      </c>
      <c r="H9" s="113" t="s">
        <v>732</v>
      </c>
      <c r="I9" s="113" t="s">
        <v>899</v>
      </c>
      <c r="J9" s="113">
        <v>1365000213</v>
      </c>
      <c r="K9" s="113" t="s">
        <v>51</v>
      </c>
      <c r="L9" s="113" t="s">
        <v>97</v>
      </c>
      <c r="M9" s="113">
        <v>1361001931</v>
      </c>
      <c r="N9" s="113">
        <v>1364001931</v>
      </c>
      <c r="O9" s="113" t="s">
        <v>178</v>
      </c>
      <c r="P9" s="113" t="s">
        <v>179</v>
      </c>
      <c r="Q9" s="113" t="s">
        <v>868</v>
      </c>
      <c r="R9" s="113" t="s">
        <v>226</v>
      </c>
      <c r="S9" s="113" t="s">
        <v>609</v>
      </c>
      <c r="T9" s="113" t="s">
        <v>228</v>
      </c>
      <c r="U9" s="114">
        <v>1013830</v>
      </c>
      <c r="V9" s="113" t="s">
        <v>146</v>
      </c>
      <c r="W9" s="114">
        <v>1004660</v>
      </c>
      <c r="X9" s="113" t="s">
        <v>146</v>
      </c>
      <c r="Y9" s="113">
        <v>0</v>
      </c>
      <c r="Z9" s="113">
        <v>21.44</v>
      </c>
      <c r="AA9" s="113">
        <v>0.53</v>
      </c>
      <c r="AB9" s="113">
        <v>0</v>
      </c>
      <c r="AC9" s="113" t="s">
        <v>724</v>
      </c>
      <c r="AD9" s="113" t="s">
        <v>147</v>
      </c>
      <c r="AE9" s="159">
        <v>435.89</v>
      </c>
      <c r="AF9" s="159" t="s">
        <v>146</v>
      </c>
      <c r="AG9" s="159">
        <v>551401</v>
      </c>
      <c r="AH9" s="159">
        <v>60654.11</v>
      </c>
      <c r="AI9" s="159">
        <v>612055.11</v>
      </c>
    </row>
    <row r="10" spans="1:35">
      <c r="A10" s="116"/>
      <c r="B10" s="116" t="s">
        <v>149</v>
      </c>
      <c r="C10" s="164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60">
        <v>435.89</v>
      </c>
      <c r="AF10" s="160" t="s">
        <v>146</v>
      </c>
      <c r="AG10" s="160">
        <v>551401</v>
      </c>
      <c r="AH10" s="160">
        <v>60654.11</v>
      </c>
      <c r="AI10" s="160">
        <v>612055.11</v>
      </c>
    </row>
    <row r="11" spans="1:35" s="89" customFormat="1">
      <c r="A11" s="113">
        <v>2</v>
      </c>
      <c r="B11" s="113" t="s">
        <v>813</v>
      </c>
      <c r="C11" s="163" t="s">
        <v>814</v>
      </c>
      <c r="D11" s="113" t="s">
        <v>815</v>
      </c>
      <c r="E11" s="113" t="s">
        <v>863</v>
      </c>
      <c r="F11" s="113" t="s">
        <v>814</v>
      </c>
      <c r="G11" s="113" t="s">
        <v>864</v>
      </c>
      <c r="H11" s="113" t="s">
        <v>745</v>
      </c>
      <c r="I11" s="113" t="s">
        <v>899</v>
      </c>
      <c r="J11" s="113">
        <v>1365000208</v>
      </c>
      <c r="K11" s="113" t="s">
        <v>729</v>
      </c>
      <c r="L11" s="113" t="s">
        <v>57</v>
      </c>
      <c r="M11" s="113">
        <v>1361001963</v>
      </c>
      <c r="N11" s="113">
        <v>1364001963</v>
      </c>
      <c r="O11" s="113" t="s">
        <v>178</v>
      </c>
      <c r="P11" s="113" t="s">
        <v>179</v>
      </c>
      <c r="Q11" s="113" t="s">
        <v>868</v>
      </c>
      <c r="R11" s="113" t="s">
        <v>226</v>
      </c>
      <c r="S11" s="113" t="s">
        <v>609</v>
      </c>
      <c r="T11" s="113" t="s">
        <v>228</v>
      </c>
      <c r="U11" s="114">
        <v>200000</v>
      </c>
      <c r="V11" s="113" t="s">
        <v>146</v>
      </c>
      <c r="W11" s="114">
        <v>197600</v>
      </c>
      <c r="X11" s="113" t="s">
        <v>146</v>
      </c>
      <c r="Y11" s="113">
        <v>0</v>
      </c>
      <c r="Z11" s="113">
        <v>20.73</v>
      </c>
      <c r="AA11" s="113">
        <v>0.53</v>
      </c>
      <c r="AB11" s="113">
        <v>0</v>
      </c>
      <c r="AC11" s="113" t="s">
        <v>724</v>
      </c>
      <c r="AD11" s="113" t="s">
        <v>147</v>
      </c>
      <c r="AE11" s="159">
        <v>308.45999999999998</v>
      </c>
      <c r="AF11" s="159" t="s">
        <v>146</v>
      </c>
      <c r="AG11" s="159">
        <v>374779</v>
      </c>
      <c r="AH11" s="159">
        <v>41225.69</v>
      </c>
      <c r="AI11" s="159">
        <v>416004.69</v>
      </c>
    </row>
    <row r="12" spans="1:35">
      <c r="A12" s="116"/>
      <c r="B12" s="116" t="s">
        <v>149</v>
      </c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60">
        <v>308.45999999999998</v>
      </c>
      <c r="AF12" s="160" t="s">
        <v>146</v>
      </c>
      <c r="AG12" s="160">
        <v>374779</v>
      </c>
      <c r="AH12" s="160">
        <v>41225.69</v>
      </c>
      <c r="AI12" s="160">
        <v>416004.69</v>
      </c>
    </row>
    <row r="13" spans="1:35" s="89" customFormat="1" ht="16.5" customHeight="1">
      <c r="A13" s="117"/>
      <c r="B13" s="117" t="s">
        <v>880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61">
        <v>744.35</v>
      </c>
      <c r="AF13" s="161" t="s">
        <v>146</v>
      </c>
      <c r="AG13" s="161">
        <v>926180</v>
      </c>
      <c r="AH13" s="161">
        <v>101879.8</v>
      </c>
      <c r="AI13" s="161">
        <v>1028059.8</v>
      </c>
    </row>
    <row r="336" spans="25:35" s="128" customFormat="1">
      <c r="Y336" s="129"/>
      <c r="Z336" s="129"/>
      <c r="AA336" s="129"/>
      <c r="AB336" s="129"/>
      <c r="AE336" s="162"/>
      <c r="AF336" s="162"/>
      <c r="AG336" s="162"/>
      <c r="AH336" s="162"/>
      <c r="AI336" s="162"/>
    </row>
  </sheetData>
  <autoFilter ref="A8:AI13" xr:uid="{00000000-0009-0000-0000-00000C000000}"/>
  <mergeCells count="5">
    <mergeCell ref="U5:X5"/>
    <mergeCell ref="Y5:AB5"/>
    <mergeCell ref="U6:X6"/>
    <mergeCell ref="Y6:AB6"/>
    <mergeCell ref="AE5:AI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V175"/>
  <sheetViews>
    <sheetView workbookViewId="0">
      <pane xSplit="8" ySplit="8" topLeftCell="I145" activePane="bottomRight" state="frozen"/>
      <selection pane="topRight" activeCell="I1" sqref="I1"/>
      <selection pane="bottomLeft" activeCell="A9" sqref="A9"/>
      <selection pane="bottomRight" activeCell="I9" sqref="I9"/>
    </sheetView>
  </sheetViews>
  <sheetFormatPr defaultColWidth="9.1796875" defaultRowHeight="14.5"/>
  <cols>
    <col min="1" max="1" width="4.453125" style="63" customWidth="1"/>
    <col min="2" max="2" width="14.81640625" style="63" hidden="1" customWidth="1"/>
    <col min="3" max="3" width="36.54296875" style="63" bestFit="1" customWidth="1"/>
    <col min="4" max="4" width="24.81640625" style="63" customWidth="1"/>
    <col min="5" max="5" width="36.54296875" style="63" hidden="1" customWidth="1"/>
    <col min="6" max="6" width="30.26953125" style="63" hidden="1" customWidth="1"/>
    <col min="7" max="7" width="4.453125" style="63" hidden="1" customWidth="1"/>
    <col min="8" max="8" width="12.453125" style="63" hidden="1" customWidth="1"/>
    <col min="9" max="9" width="12.453125" style="63" bestFit="1" customWidth="1"/>
    <col min="10" max="10" width="10" style="63" customWidth="1"/>
    <col min="11" max="11" width="8.81640625" style="63" hidden="1" customWidth="1"/>
    <col min="12" max="12" width="12.453125" style="63" bestFit="1" customWidth="1"/>
    <col min="13" max="13" width="36.54296875" style="63" hidden="1" customWidth="1"/>
    <col min="14" max="14" width="18.453125" style="63" hidden="1" customWidth="1"/>
    <col min="15" max="15" width="9.90625" style="137" customWidth="1"/>
    <col min="16" max="16" width="9.36328125" style="63" hidden="1" customWidth="1"/>
    <col min="17" max="17" width="11.90625" style="63" hidden="1" customWidth="1"/>
    <col min="18" max="18" width="20.90625" style="63" hidden="1" customWidth="1"/>
    <col min="19" max="19" width="18.453125" style="65" bestFit="1" customWidth="1"/>
    <col min="20" max="21" width="30.26953125" style="65" hidden="1" customWidth="1"/>
    <col min="22" max="22" width="21.81640625" style="65" customWidth="1"/>
    <col min="23" max="16384" width="9.1796875" style="63"/>
  </cols>
  <sheetData>
    <row r="1" spans="1:22">
      <c r="A1" s="62" t="s">
        <v>625</v>
      </c>
    </row>
    <row r="2" spans="1:22">
      <c r="A2" s="62" t="s">
        <v>687</v>
      </c>
    </row>
    <row r="3" spans="1:22">
      <c r="A3" s="4" t="s">
        <v>644</v>
      </c>
    </row>
    <row r="4" spans="1:22">
      <c r="A4" s="66"/>
    </row>
    <row r="5" spans="1:22" ht="15" customHeight="1">
      <c r="A5" s="202" t="s">
        <v>124</v>
      </c>
      <c r="B5" s="202" t="s">
        <v>125</v>
      </c>
      <c r="C5" s="202" t="s">
        <v>126</v>
      </c>
      <c r="D5" s="208" t="s">
        <v>127</v>
      </c>
      <c r="E5" s="202" t="s">
        <v>128</v>
      </c>
      <c r="F5" s="202" t="s">
        <v>129</v>
      </c>
      <c r="G5" s="202" t="s">
        <v>0</v>
      </c>
      <c r="H5" s="202" t="s">
        <v>130</v>
      </c>
      <c r="I5" s="202" t="s">
        <v>131</v>
      </c>
      <c r="J5" s="202" t="s">
        <v>635</v>
      </c>
      <c r="K5" s="202" t="s">
        <v>132</v>
      </c>
      <c r="L5" s="202" t="s">
        <v>707</v>
      </c>
      <c r="M5" s="205" t="s">
        <v>133</v>
      </c>
      <c r="N5" s="202" t="s">
        <v>134</v>
      </c>
      <c r="O5" s="208" t="s">
        <v>637</v>
      </c>
      <c r="P5" s="202" t="s">
        <v>1</v>
      </c>
      <c r="Q5" s="202" t="s">
        <v>2</v>
      </c>
      <c r="R5" s="202" t="s">
        <v>638</v>
      </c>
      <c r="S5" s="193" t="s">
        <v>639</v>
      </c>
      <c r="T5" s="194"/>
      <c r="U5" s="194"/>
      <c r="V5" s="195"/>
    </row>
    <row r="6" spans="1:22" ht="15" customHeight="1">
      <c r="A6" s="203"/>
      <c r="B6" s="203"/>
      <c r="C6" s="203"/>
      <c r="D6" s="209"/>
      <c r="E6" s="203"/>
      <c r="F6" s="203"/>
      <c r="G6" s="203"/>
      <c r="H6" s="203"/>
      <c r="I6" s="203"/>
      <c r="J6" s="203"/>
      <c r="K6" s="203"/>
      <c r="L6" s="203"/>
      <c r="M6" s="206"/>
      <c r="N6" s="203"/>
      <c r="O6" s="209"/>
      <c r="P6" s="203"/>
      <c r="Q6" s="203"/>
      <c r="R6" s="203"/>
      <c r="S6" s="196" t="s">
        <v>640</v>
      </c>
      <c r="T6" s="198" t="s">
        <v>641</v>
      </c>
      <c r="U6" s="198" t="s">
        <v>642</v>
      </c>
      <c r="V6" s="200" t="s">
        <v>643</v>
      </c>
    </row>
    <row r="7" spans="1:22" ht="15" customHeight="1">
      <c r="A7" s="204"/>
      <c r="B7" s="204"/>
      <c r="C7" s="204"/>
      <c r="D7" s="210"/>
      <c r="E7" s="204"/>
      <c r="F7" s="204"/>
      <c r="G7" s="204"/>
      <c r="H7" s="204"/>
      <c r="I7" s="204"/>
      <c r="J7" s="204"/>
      <c r="K7" s="204"/>
      <c r="L7" s="204"/>
      <c r="M7" s="207"/>
      <c r="N7" s="204"/>
      <c r="O7" s="210"/>
      <c r="P7" s="204"/>
      <c r="Q7" s="204"/>
      <c r="R7" s="204"/>
      <c r="S7" s="197"/>
      <c r="T7" s="199"/>
      <c r="U7" s="199"/>
      <c r="V7" s="201"/>
    </row>
    <row r="8" spans="1:22" ht="15" customHeight="1">
      <c r="A8" s="67" t="s">
        <v>124</v>
      </c>
      <c r="B8" s="67" t="s">
        <v>627</v>
      </c>
      <c r="C8" s="67" t="s">
        <v>126</v>
      </c>
      <c r="D8" s="67" t="s">
        <v>628</v>
      </c>
      <c r="E8" s="67" t="s">
        <v>128</v>
      </c>
      <c r="F8" s="67" t="s">
        <v>633</v>
      </c>
      <c r="G8" s="67" t="s">
        <v>0</v>
      </c>
      <c r="H8" s="67" t="s">
        <v>634</v>
      </c>
      <c r="I8" s="67" t="s">
        <v>131</v>
      </c>
      <c r="J8" s="67" t="s">
        <v>635</v>
      </c>
      <c r="K8" s="67" t="s">
        <v>132</v>
      </c>
      <c r="L8" s="67" t="s">
        <v>636</v>
      </c>
      <c r="M8" s="68" t="s">
        <v>133</v>
      </c>
      <c r="N8" s="67" t="s">
        <v>134</v>
      </c>
      <c r="O8" s="67" t="s">
        <v>637</v>
      </c>
      <c r="P8" s="67" t="s">
        <v>1</v>
      </c>
      <c r="Q8" s="67" t="s">
        <v>2</v>
      </c>
      <c r="R8" s="67" t="s">
        <v>638</v>
      </c>
      <c r="S8" s="70" t="s">
        <v>640</v>
      </c>
      <c r="T8" s="70" t="s">
        <v>641</v>
      </c>
      <c r="U8" s="71" t="s">
        <v>642</v>
      </c>
      <c r="V8" s="72" t="s">
        <v>643</v>
      </c>
    </row>
    <row r="9" spans="1:22" ht="15" customHeight="1">
      <c r="A9" s="51">
        <v>1</v>
      </c>
      <c r="B9" s="51" t="s">
        <v>180</v>
      </c>
      <c r="C9" s="51" t="s">
        <v>181</v>
      </c>
      <c r="D9" s="51" t="s">
        <v>182</v>
      </c>
      <c r="E9" s="51" t="s">
        <v>181</v>
      </c>
      <c r="F9" s="51" t="s">
        <v>183</v>
      </c>
      <c r="G9" s="51" t="s">
        <v>141</v>
      </c>
      <c r="H9" s="51">
        <v>337</v>
      </c>
      <c r="I9" s="51" t="s">
        <v>13</v>
      </c>
      <c r="J9" s="51">
        <v>1050</v>
      </c>
      <c r="K9" s="51" t="s">
        <v>184</v>
      </c>
      <c r="L9" s="51">
        <v>1001009714</v>
      </c>
      <c r="M9" s="51" t="s">
        <v>185</v>
      </c>
      <c r="N9" s="51" t="s">
        <v>144</v>
      </c>
      <c r="O9" s="138" t="s">
        <v>145</v>
      </c>
      <c r="P9" s="51" t="s">
        <v>146</v>
      </c>
      <c r="Q9" s="51" t="s">
        <v>147</v>
      </c>
      <c r="R9" s="51" t="s">
        <v>148</v>
      </c>
      <c r="S9" s="74">
        <v>1002275</v>
      </c>
      <c r="T9" s="74">
        <v>9069386</v>
      </c>
      <c r="U9" s="74"/>
      <c r="V9" s="74">
        <v>9069386</v>
      </c>
    </row>
    <row r="10" spans="1:22" ht="15" customHeight="1">
      <c r="A10" s="51">
        <v>1</v>
      </c>
      <c r="B10" s="51" t="s">
        <v>180</v>
      </c>
      <c r="C10" s="51" t="s">
        <v>181</v>
      </c>
      <c r="D10" s="51" t="s">
        <v>182</v>
      </c>
      <c r="E10" s="51" t="s">
        <v>181</v>
      </c>
      <c r="F10" s="51" t="s">
        <v>183</v>
      </c>
      <c r="G10" s="51" t="s">
        <v>141</v>
      </c>
      <c r="H10" s="51">
        <v>338</v>
      </c>
      <c r="I10" s="51" t="s">
        <v>13</v>
      </c>
      <c r="J10" s="51">
        <v>1050</v>
      </c>
      <c r="K10" s="51" t="s">
        <v>184</v>
      </c>
      <c r="L10" s="51">
        <v>1001010102</v>
      </c>
      <c r="M10" s="51" t="s">
        <v>185</v>
      </c>
      <c r="N10" s="51" t="s">
        <v>144</v>
      </c>
      <c r="O10" s="138" t="s">
        <v>145</v>
      </c>
      <c r="P10" s="51" t="s">
        <v>146</v>
      </c>
      <c r="Q10" s="51" t="s">
        <v>147</v>
      </c>
      <c r="R10" s="51" t="s">
        <v>148</v>
      </c>
      <c r="S10" s="74">
        <v>1665562</v>
      </c>
      <c r="T10" s="74">
        <v>45392605</v>
      </c>
      <c r="U10" s="74"/>
      <c r="V10" s="74">
        <v>45392605</v>
      </c>
    </row>
    <row r="11" spans="1:22" ht="15" customHeight="1">
      <c r="A11" s="51">
        <v>1</v>
      </c>
      <c r="B11" s="51" t="s">
        <v>180</v>
      </c>
      <c r="C11" s="51" t="s">
        <v>181</v>
      </c>
      <c r="D11" s="51" t="s">
        <v>182</v>
      </c>
      <c r="E11" s="51" t="s">
        <v>181</v>
      </c>
      <c r="F11" s="51" t="s">
        <v>153</v>
      </c>
      <c r="G11" s="51" t="s">
        <v>141</v>
      </c>
      <c r="H11" s="51">
        <v>865</v>
      </c>
      <c r="I11" s="51" t="s">
        <v>15</v>
      </c>
      <c r="J11" s="51">
        <v>857</v>
      </c>
      <c r="K11" s="51" t="s">
        <v>184</v>
      </c>
      <c r="L11" s="51">
        <v>1001011419</v>
      </c>
      <c r="M11" s="51" t="s">
        <v>187</v>
      </c>
      <c r="N11" s="51" t="s">
        <v>144</v>
      </c>
      <c r="O11" s="138" t="s">
        <v>145</v>
      </c>
      <c r="P11" s="51" t="s">
        <v>146</v>
      </c>
      <c r="Q11" s="51" t="s">
        <v>147</v>
      </c>
      <c r="R11" s="51" t="s">
        <v>148</v>
      </c>
      <c r="S11" s="74">
        <v>1345</v>
      </c>
      <c r="T11" s="74">
        <v>12967145</v>
      </c>
      <c r="U11" s="74"/>
      <c r="V11" s="74">
        <v>12967145</v>
      </c>
    </row>
    <row r="12" spans="1:22" ht="15" customHeight="1">
      <c r="A12" s="51">
        <v>1</v>
      </c>
      <c r="B12" s="51" t="s">
        <v>180</v>
      </c>
      <c r="C12" s="51" t="s">
        <v>181</v>
      </c>
      <c r="D12" s="51" t="s">
        <v>182</v>
      </c>
      <c r="E12" s="51" t="s">
        <v>181</v>
      </c>
      <c r="F12" s="51" t="s">
        <v>153</v>
      </c>
      <c r="G12" s="51" t="s">
        <v>141</v>
      </c>
      <c r="H12" s="51">
        <v>866</v>
      </c>
      <c r="I12" s="51" t="s">
        <v>15</v>
      </c>
      <c r="J12" s="51">
        <v>857</v>
      </c>
      <c r="K12" s="51" t="s">
        <v>184</v>
      </c>
      <c r="L12" s="51">
        <v>1001011955</v>
      </c>
      <c r="M12" s="51" t="s">
        <v>188</v>
      </c>
      <c r="N12" s="51" t="s">
        <v>144</v>
      </c>
      <c r="O12" s="138" t="s">
        <v>145</v>
      </c>
      <c r="P12" s="51" t="s">
        <v>146</v>
      </c>
      <c r="Q12" s="51" t="s">
        <v>147</v>
      </c>
      <c r="R12" s="51" t="s">
        <v>148</v>
      </c>
      <c r="S12" s="74">
        <v>1401</v>
      </c>
      <c r="T12" s="74">
        <v>14763738</v>
      </c>
      <c r="U12" s="74"/>
      <c r="V12" s="74">
        <v>14763738</v>
      </c>
    </row>
    <row r="13" spans="1:22" ht="15" customHeight="1">
      <c r="A13" s="56"/>
      <c r="B13" s="56" t="s">
        <v>149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139"/>
      <c r="P13" s="56" t="s">
        <v>146</v>
      </c>
      <c r="Q13" s="56"/>
      <c r="R13" s="56"/>
      <c r="S13" s="58">
        <v>2670583</v>
      </c>
      <c r="T13" s="58">
        <v>82192874</v>
      </c>
      <c r="U13" s="58"/>
      <c r="V13" s="58">
        <v>82192874</v>
      </c>
    </row>
    <row r="14" spans="1:22" ht="15" customHeight="1">
      <c r="A14" s="51">
        <v>2</v>
      </c>
      <c r="B14" s="51" t="s">
        <v>239</v>
      </c>
      <c r="C14" s="51" t="s">
        <v>240</v>
      </c>
      <c r="D14" s="51" t="s">
        <v>241</v>
      </c>
      <c r="E14" s="51" t="s">
        <v>240</v>
      </c>
      <c r="F14" s="51" t="s">
        <v>183</v>
      </c>
      <c r="G14" s="51" t="s">
        <v>141</v>
      </c>
      <c r="H14" s="51">
        <v>9145000090</v>
      </c>
      <c r="I14" s="51" t="s">
        <v>35</v>
      </c>
      <c r="J14" s="51">
        <v>224</v>
      </c>
      <c r="K14" s="51" t="s">
        <v>184</v>
      </c>
      <c r="L14" s="51">
        <v>9141001251</v>
      </c>
      <c r="M14" s="51">
        <v>1131000076</v>
      </c>
      <c r="N14" s="51" t="s">
        <v>144</v>
      </c>
      <c r="O14" s="138" t="s">
        <v>145</v>
      </c>
      <c r="P14" s="51" t="s">
        <v>146</v>
      </c>
      <c r="Q14" s="51" t="s">
        <v>147</v>
      </c>
      <c r="R14" s="51" t="s">
        <v>162</v>
      </c>
      <c r="S14" s="74">
        <v>592450</v>
      </c>
      <c r="T14" s="74">
        <v>31629500</v>
      </c>
      <c r="U14" s="74"/>
      <c r="V14" s="74">
        <v>31629500</v>
      </c>
    </row>
    <row r="15" spans="1:22" ht="15" customHeight="1">
      <c r="A15" s="51">
        <v>2</v>
      </c>
      <c r="B15" s="51" t="s">
        <v>239</v>
      </c>
      <c r="C15" s="51" t="s">
        <v>240</v>
      </c>
      <c r="D15" s="51" t="s">
        <v>241</v>
      </c>
      <c r="E15" s="51" t="s">
        <v>240</v>
      </c>
      <c r="F15" s="51" t="s">
        <v>183</v>
      </c>
      <c r="G15" s="51" t="s">
        <v>141</v>
      </c>
      <c r="H15" s="51">
        <v>9145000091</v>
      </c>
      <c r="I15" s="51" t="s">
        <v>35</v>
      </c>
      <c r="J15" s="51">
        <v>224</v>
      </c>
      <c r="K15" s="51" t="s">
        <v>184</v>
      </c>
      <c r="L15" s="51">
        <v>9141001276</v>
      </c>
      <c r="M15" s="51">
        <v>1131000077</v>
      </c>
      <c r="N15" s="51" t="s">
        <v>144</v>
      </c>
      <c r="O15" s="138" t="s">
        <v>145</v>
      </c>
      <c r="P15" s="51" t="s">
        <v>146</v>
      </c>
      <c r="Q15" s="51" t="s">
        <v>147</v>
      </c>
      <c r="R15" s="51" t="s">
        <v>162</v>
      </c>
      <c r="S15" s="74">
        <v>910540</v>
      </c>
      <c r="T15" s="74">
        <v>45527000</v>
      </c>
      <c r="U15" s="74"/>
      <c r="V15" s="74">
        <v>45527000</v>
      </c>
    </row>
    <row r="16" spans="1:22" ht="15" customHeight="1">
      <c r="A16" s="51">
        <v>2</v>
      </c>
      <c r="B16" s="51" t="s">
        <v>239</v>
      </c>
      <c r="C16" s="51" t="s">
        <v>240</v>
      </c>
      <c r="D16" s="51" t="s">
        <v>241</v>
      </c>
      <c r="E16" s="51" t="s">
        <v>240</v>
      </c>
      <c r="F16" s="51" t="s">
        <v>183</v>
      </c>
      <c r="G16" s="51" t="s">
        <v>141</v>
      </c>
      <c r="H16" s="51">
        <v>9145000092</v>
      </c>
      <c r="I16" s="51" t="s">
        <v>36</v>
      </c>
      <c r="J16" s="51">
        <v>220</v>
      </c>
      <c r="K16" s="51" t="s">
        <v>184</v>
      </c>
      <c r="L16" s="51">
        <v>9141001277</v>
      </c>
      <c r="M16" s="51">
        <v>1131000078</v>
      </c>
      <c r="N16" s="51" t="s">
        <v>144</v>
      </c>
      <c r="O16" s="138" t="s">
        <v>145</v>
      </c>
      <c r="P16" s="51" t="s">
        <v>146</v>
      </c>
      <c r="Q16" s="51" t="s">
        <v>147</v>
      </c>
      <c r="R16" s="51" t="s">
        <v>162</v>
      </c>
      <c r="S16" s="74">
        <v>1012100</v>
      </c>
      <c r="T16" s="74">
        <v>50605000</v>
      </c>
      <c r="U16" s="74"/>
      <c r="V16" s="74">
        <v>50605000</v>
      </c>
    </row>
    <row r="17" spans="1:22" ht="15" customHeight="1">
      <c r="A17" s="51">
        <v>2</v>
      </c>
      <c r="B17" s="51" t="s">
        <v>239</v>
      </c>
      <c r="C17" s="51" t="s">
        <v>240</v>
      </c>
      <c r="D17" s="51" t="s">
        <v>241</v>
      </c>
      <c r="E17" s="51" t="s">
        <v>240</v>
      </c>
      <c r="F17" s="51" t="s">
        <v>183</v>
      </c>
      <c r="G17" s="51" t="s">
        <v>141</v>
      </c>
      <c r="H17" s="51">
        <v>9145000093</v>
      </c>
      <c r="I17" s="51" t="s">
        <v>36</v>
      </c>
      <c r="J17" s="51">
        <v>220</v>
      </c>
      <c r="K17" s="51" t="s">
        <v>184</v>
      </c>
      <c r="L17" s="51">
        <v>9141001278</v>
      </c>
      <c r="M17" s="51">
        <v>1131000079</v>
      </c>
      <c r="N17" s="51" t="s">
        <v>144</v>
      </c>
      <c r="O17" s="138" t="s">
        <v>145</v>
      </c>
      <c r="P17" s="51" t="s">
        <v>146</v>
      </c>
      <c r="Q17" s="51" t="s">
        <v>147</v>
      </c>
      <c r="R17" s="51" t="s">
        <v>162</v>
      </c>
      <c r="S17" s="74">
        <v>985070</v>
      </c>
      <c r="T17" s="74">
        <v>49253500</v>
      </c>
      <c r="U17" s="74"/>
      <c r="V17" s="74">
        <v>49253500</v>
      </c>
    </row>
    <row r="18" spans="1:22" ht="15" customHeight="1">
      <c r="A18" s="51">
        <v>2</v>
      </c>
      <c r="B18" s="51" t="s">
        <v>239</v>
      </c>
      <c r="C18" s="51" t="s">
        <v>240</v>
      </c>
      <c r="D18" s="51" t="s">
        <v>241</v>
      </c>
      <c r="E18" s="51" t="s">
        <v>240</v>
      </c>
      <c r="F18" s="51" t="s">
        <v>183</v>
      </c>
      <c r="G18" s="51" t="s">
        <v>141</v>
      </c>
      <c r="H18" s="51">
        <v>9145000094</v>
      </c>
      <c r="I18" s="51" t="s">
        <v>36</v>
      </c>
      <c r="J18" s="51">
        <v>220</v>
      </c>
      <c r="K18" s="51" t="s">
        <v>184</v>
      </c>
      <c r="L18" s="51">
        <v>9141001279</v>
      </c>
      <c r="M18" s="51">
        <v>1131000080</v>
      </c>
      <c r="N18" s="51" t="s">
        <v>144</v>
      </c>
      <c r="O18" s="138" t="s">
        <v>145</v>
      </c>
      <c r="P18" s="51" t="s">
        <v>146</v>
      </c>
      <c r="Q18" s="51" t="s">
        <v>147</v>
      </c>
      <c r="R18" s="51" t="s">
        <v>162</v>
      </c>
      <c r="S18" s="74">
        <v>1010710</v>
      </c>
      <c r="T18" s="74">
        <v>50535500</v>
      </c>
      <c r="U18" s="74"/>
      <c r="V18" s="74">
        <v>50535500</v>
      </c>
    </row>
    <row r="19" spans="1:22" ht="15" customHeight="1">
      <c r="A19" s="51">
        <v>2</v>
      </c>
      <c r="B19" s="51" t="s">
        <v>239</v>
      </c>
      <c r="C19" s="51" t="s">
        <v>240</v>
      </c>
      <c r="D19" s="51" t="s">
        <v>241</v>
      </c>
      <c r="E19" s="51" t="s">
        <v>240</v>
      </c>
      <c r="F19" s="51" t="s">
        <v>183</v>
      </c>
      <c r="G19" s="51" t="s">
        <v>141</v>
      </c>
      <c r="H19" s="51">
        <v>9145000095</v>
      </c>
      <c r="I19" s="51" t="s">
        <v>36</v>
      </c>
      <c r="J19" s="51">
        <v>220</v>
      </c>
      <c r="K19" s="51" t="s">
        <v>184</v>
      </c>
      <c r="L19" s="51">
        <v>9141001290</v>
      </c>
      <c r="M19" s="51">
        <v>1131000083</v>
      </c>
      <c r="N19" s="51" t="s">
        <v>144</v>
      </c>
      <c r="O19" s="138" t="s">
        <v>145</v>
      </c>
      <c r="P19" s="51" t="s">
        <v>146</v>
      </c>
      <c r="Q19" s="51" t="s">
        <v>147</v>
      </c>
      <c r="R19" s="51" t="s">
        <v>162</v>
      </c>
      <c r="S19" s="74">
        <v>1014500</v>
      </c>
      <c r="T19" s="74">
        <v>50725000</v>
      </c>
      <c r="U19" s="74"/>
      <c r="V19" s="74">
        <v>50725000</v>
      </c>
    </row>
    <row r="20" spans="1:22" ht="15" customHeight="1">
      <c r="A20" s="51">
        <v>2</v>
      </c>
      <c r="B20" s="51" t="s">
        <v>239</v>
      </c>
      <c r="C20" s="51" t="s">
        <v>240</v>
      </c>
      <c r="D20" s="51" t="s">
        <v>241</v>
      </c>
      <c r="E20" s="51" t="s">
        <v>240</v>
      </c>
      <c r="F20" s="51" t="s">
        <v>183</v>
      </c>
      <c r="G20" s="51" t="s">
        <v>141</v>
      </c>
      <c r="H20" s="51">
        <v>9145000096</v>
      </c>
      <c r="I20" s="51" t="s">
        <v>36</v>
      </c>
      <c r="J20" s="51">
        <v>220</v>
      </c>
      <c r="K20" s="51" t="s">
        <v>184</v>
      </c>
      <c r="L20" s="51">
        <v>9141001291</v>
      </c>
      <c r="M20" s="51">
        <v>1131000084</v>
      </c>
      <c r="N20" s="51" t="s">
        <v>144</v>
      </c>
      <c r="O20" s="138" t="s">
        <v>145</v>
      </c>
      <c r="P20" s="51" t="s">
        <v>146</v>
      </c>
      <c r="Q20" s="51" t="s">
        <v>147</v>
      </c>
      <c r="R20" s="51" t="s">
        <v>162</v>
      </c>
      <c r="S20" s="74">
        <v>876930</v>
      </c>
      <c r="T20" s="74">
        <v>43846500</v>
      </c>
      <c r="U20" s="74"/>
      <c r="V20" s="74">
        <v>43846500</v>
      </c>
    </row>
    <row r="21" spans="1:22" ht="15" customHeight="1">
      <c r="A21" s="51">
        <v>2</v>
      </c>
      <c r="B21" s="51" t="s">
        <v>239</v>
      </c>
      <c r="C21" s="51" t="s">
        <v>240</v>
      </c>
      <c r="D21" s="51" t="s">
        <v>241</v>
      </c>
      <c r="E21" s="51" t="s">
        <v>240</v>
      </c>
      <c r="F21" s="51" t="s">
        <v>183</v>
      </c>
      <c r="G21" s="51" t="s">
        <v>141</v>
      </c>
      <c r="H21" s="51">
        <v>9145000097</v>
      </c>
      <c r="I21" s="51" t="s">
        <v>36</v>
      </c>
      <c r="J21" s="51">
        <v>220</v>
      </c>
      <c r="K21" s="51" t="s">
        <v>184</v>
      </c>
      <c r="L21" s="51">
        <v>9141001311</v>
      </c>
      <c r="M21" s="51">
        <v>1131000091</v>
      </c>
      <c r="N21" s="51" t="s">
        <v>144</v>
      </c>
      <c r="O21" s="138" t="s">
        <v>145</v>
      </c>
      <c r="P21" s="51" t="s">
        <v>146</v>
      </c>
      <c r="Q21" s="51" t="s">
        <v>147</v>
      </c>
      <c r="R21" s="51" t="s">
        <v>162</v>
      </c>
      <c r="S21" s="74">
        <v>759090</v>
      </c>
      <c r="T21" s="74">
        <v>37954500</v>
      </c>
      <c r="U21" s="74"/>
      <c r="V21" s="74">
        <v>37954500</v>
      </c>
    </row>
    <row r="22" spans="1:22" ht="15" customHeight="1">
      <c r="A22" s="51">
        <v>2</v>
      </c>
      <c r="B22" s="51" t="s">
        <v>239</v>
      </c>
      <c r="C22" s="51" t="s">
        <v>240</v>
      </c>
      <c r="D22" s="51" t="s">
        <v>241</v>
      </c>
      <c r="E22" s="51" t="s">
        <v>240</v>
      </c>
      <c r="F22" s="51" t="s">
        <v>183</v>
      </c>
      <c r="G22" s="51" t="s">
        <v>141</v>
      </c>
      <c r="H22" s="51">
        <v>9145000098</v>
      </c>
      <c r="I22" s="51" t="s">
        <v>36</v>
      </c>
      <c r="J22" s="51">
        <v>220</v>
      </c>
      <c r="K22" s="51" t="s">
        <v>184</v>
      </c>
      <c r="L22" s="51">
        <v>9141001312</v>
      </c>
      <c r="M22" s="51">
        <v>1131000092</v>
      </c>
      <c r="N22" s="51" t="s">
        <v>144</v>
      </c>
      <c r="O22" s="138" t="s">
        <v>145</v>
      </c>
      <c r="P22" s="51" t="s">
        <v>146</v>
      </c>
      <c r="Q22" s="51" t="s">
        <v>147</v>
      </c>
      <c r="R22" s="51" t="s">
        <v>162</v>
      </c>
      <c r="S22" s="74">
        <v>1003590</v>
      </c>
      <c r="T22" s="74">
        <v>50179500</v>
      </c>
      <c r="U22" s="74"/>
      <c r="V22" s="74">
        <v>50179500</v>
      </c>
    </row>
    <row r="23" spans="1:22" ht="15" customHeight="1">
      <c r="A23" s="51">
        <v>2</v>
      </c>
      <c r="B23" s="51" t="s">
        <v>239</v>
      </c>
      <c r="C23" s="51" t="s">
        <v>240</v>
      </c>
      <c r="D23" s="51" t="s">
        <v>241</v>
      </c>
      <c r="E23" s="51" t="s">
        <v>240</v>
      </c>
      <c r="F23" s="51" t="s">
        <v>183</v>
      </c>
      <c r="G23" s="51" t="s">
        <v>141</v>
      </c>
      <c r="H23" s="51">
        <v>9145000099</v>
      </c>
      <c r="I23" s="51" t="s">
        <v>36</v>
      </c>
      <c r="J23" s="51">
        <v>220</v>
      </c>
      <c r="K23" s="51" t="s">
        <v>184</v>
      </c>
      <c r="L23" s="51">
        <v>9141001317</v>
      </c>
      <c r="M23" s="51">
        <v>1131000094</v>
      </c>
      <c r="N23" s="51" t="s">
        <v>144</v>
      </c>
      <c r="O23" s="138" t="s">
        <v>145</v>
      </c>
      <c r="P23" s="51" t="s">
        <v>146</v>
      </c>
      <c r="Q23" s="51" t="s">
        <v>147</v>
      </c>
      <c r="R23" s="51" t="s">
        <v>162</v>
      </c>
      <c r="S23" s="74">
        <v>1000620</v>
      </c>
      <c r="T23" s="74">
        <v>50031000</v>
      </c>
      <c r="U23" s="74"/>
      <c r="V23" s="74">
        <v>50031000</v>
      </c>
    </row>
    <row r="24" spans="1:22" ht="15" customHeight="1">
      <c r="A24" s="51">
        <v>2</v>
      </c>
      <c r="B24" s="51" t="s">
        <v>239</v>
      </c>
      <c r="C24" s="51" t="s">
        <v>240</v>
      </c>
      <c r="D24" s="51" t="s">
        <v>241</v>
      </c>
      <c r="E24" s="51" t="s">
        <v>240</v>
      </c>
      <c r="F24" s="51" t="s">
        <v>183</v>
      </c>
      <c r="G24" s="51" t="s">
        <v>141</v>
      </c>
      <c r="H24" s="51">
        <v>9145000100</v>
      </c>
      <c r="I24" s="51" t="s">
        <v>36</v>
      </c>
      <c r="J24" s="51">
        <v>220</v>
      </c>
      <c r="K24" s="51" t="s">
        <v>184</v>
      </c>
      <c r="L24" s="51">
        <v>9141001318</v>
      </c>
      <c r="M24" s="51">
        <v>1131000095</v>
      </c>
      <c r="N24" s="51" t="s">
        <v>144</v>
      </c>
      <c r="O24" s="138" t="s">
        <v>145</v>
      </c>
      <c r="P24" s="51" t="s">
        <v>146</v>
      </c>
      <c r="Q24" s="51" t="s">
        <v>147</v>
      </c>
      <c r="R24" s="51" t="s">
        <v>162</v>
      </c>
      <c r="S24" s="74">
        <v>514120</v>
      </c>
      <c r="T24" s="74">
        <v>25706000</v>
      </c>
      <c r="U24" s="74"/>
      <c r="V24" s="74">
        <v>25706000</v>
      </c>
    </row>
    <row r="25" spans="1:22" ht="15" customHeight="1">
      <c r="A25" s="51">
        <v>2</v>
      </c>
      <c r="B25" s="51" t="s">
        <v>239</v>
      </c>
      <c r="C25" s="51" t="s">
        <v>240</v>
      </c>
      <c r="D25" s="51" t="s">
        <v>241</v>
      </c>
      <c r="E25" s="51" t="s">
        <v>240</v>
      </c>
      <c r="F25" s="51" t="s">
        <v>183</v>
      </c>
      <c r="G25" s="51" t="s">
        <v>141</v>
      </c>
      <c r="H25" s="51">
        <v>9145000101</v>
      </c>
      <c r="I25" s="51" t="s">
        <v>36</v>
      </c>
      <c r="J25" s="51">
        <v>220</v>
      </c>
      <c r="K25" s="51" t="s">
        <v>184</v>
      </c>
      <c r="L25" s="51">
        <v>9141001326</v>
      </c>
      <c r="M25" s="51">
        <v>1131000096</v>
      </c>
      <c r="N25" s="51" t="s">
        <v>144</v>
      </c>
      <c r="O25" s="138" t="s">
        <v>145</v>
      </c>
      <c r="P25" s="51" t="s">
        <v>146</v>
      </c>
      <c r="Q25" s="51" t="s">
        <v>147</v>
      </c>
      <c r="R25" s="51" t="s">
        <v>162</v>
      </c>
      <c r="S25" s="74">
        <v>584850</v>
      </c>
      <c r="T25" s="74">
        <v>29242500</v>
      </c>
      <c r="U25" s="74"/>
      <c r="V25" s="74">
        <v>29242500</v>
      </c>
    </row>
    <row r="26" spans="1:22" ht="15" customHeight="1">
      <c r="A26" s="51">
        <v>2</v>
      </c>
      <c r="B26" s="51" t="s">
        <v>239</v>
      </c>
      <c r="C26" s="51" t="s">
        <v>240</v>
      </c>
      <c r="D26" s="51" t="s">
        <v>241</v>
      </c>
      <c r="E26" s="51" t="s">
        <v>240</v>
      </c>
      <c r="F26" s="51" t="s">
        <v>183</v>
      </c>
      <c r="G26" s="51" t="s">
        <v>141</v>
      </c>
      <c r="H26" s="51">
        <v>9145000102</v>
      </c>
      <c r="I26" s="51" t="s">
        <v>36</v>
      </c>
      <c r="J26" s="51">
        <v>220</v>
      </c>
      <c r="K26" s="51" t="s">
        <v>184</v>
      </c>
      <c r="L26" s="51">
        <v>9141001327</v>
      </c>
      <c r="M26" s="51">
        <v>1131000097</v>
      </c>
      <c r="N26" s="51" t="s">
        <v>144</v>
      </c>
      <c r="O26" s="138" t="s">
        <v>145</v>
      </c>
      <c r="P26" s="51" t="s">
        <v>146</v>
      </c>
      <c r="Q26" s="51" t="s">
        <v>147</v>
      </c>
      <c r="R26" s="51" t="s">
        <v>162</v>
      </c>
      <c r="S26" s="74">
        <v>299140</v>
      </c>
      <c r="T26" s="74">
        <v>14957000</v>
      </c>
      <c r="U26" s="74"/>
      <c r="V26" s="74">
        <v>14957000</v>
      </c>
    </row>
    <row r="27" spans="1:22" ht="15" customHeight="1">
      <c r="A27" s="51">
        <v>2</v>
      </c>
      <c r="B27" s="51" t="s">
        <v>239</v>
      </c>
      <c r="C27" s="51" t="s">
        <v>240</v>
      </c>
      <c r="D27" s="51" t="s">
        <v>241</v>
      </c>
      <c r="E27" s="51" t="s">
        <v>240</v>
      </c>
      <c r="F27" s="51" t="s">
        <v>183</v>
      </c>
      <c r="G27" s="51" t="s">
        <v>141</v>
      </c>
      <c r="H27" s="51">
        <v>9145000103</v>
      </c>
      <c r="I27" s="51" t="s">
        <v>37</v>
      </c>
      <c r="J27" s="51">
        <v>219</v>
      </c>
      <c r="K27" s="51" t="s">
        <v>184</v>
      </c>
      <c r="L27" s="51">
        <v>9141001337</v>
      </c>
      <c r="M27" s="51">
        <v>1131000101</v>
      </c>
      <c r="N27" s="51" t="s">
        <v>144</v>
      </c>
      <c r="O27" s="138" t="s">
        <v>145</v>
      </c>
      <c r="P27" s="51" t="s">
        <v>146</v>
      </c>
      <c r="Q27" s="51" t="s">
        <v>147</v>
      </c>
      <c r="R27" s="51" t="s">
        <v>162</v>
      </c>
      <c r="S27" s="74">
        <v>1015290</v>
      </c>
      <c r="T27" s="74">
        <v>203058000</v>
      </c>
      <c r="U27" s="74"/>
      <c r="V27" s="74">
        <v>203058000</v>
      </c>
    </row>
    <row r="28" spans="1:22" ht="15" customHeight="1">
      <c r="A28" s="51">
        <v>2</v>
      </c>
      <c r="B28" s="51" t="s">
        <v>239</v>
      </c>
      <c r="C28" s="51" t="s">
        <v>240</v>
      </c>
      <c r="D28" s="51" t="s">
        <v>241</v>
      </c>
      <c r="E28" s="51" t="s">
        <v>240</v>
      </c>
      <c r="F28" s="51" t="s">
        <v>183</v>
      </c>
      <c r="G28" s="51" t="s">
        <v>141</v>
      </c>
      <c r="H28" s="51">
        <v>9145000104</v>
      </c>
      <c r="I28" s="51" t="s">
        <v>37</v>
      </c>
      <c r="J28" s="51">
        <v>219</v>
      </c>
      <c r="K28" s="51" t="s">
        <v>184</v>
      </c>
      <c r="L28" s="51">
        <v>9141001383</v>
      </c>
      <c r="M28" s="51">
        <v>1131000113</v>
      </c>
      <c r="N28" s="51" t="s">
        <v>144</v>
      </c>
      <c r="O28" s="138" t="s">
        <v>145</v>
      </c>
      <c r="P28" s="51" t="s">
        <v>146</v>
      </c>
      <c r="Q28" s="51" t="s">
        <v>147</v>
      </c>
      <c r="R28" s="51" t="s">
        <v>162</v>
      </c>
      <c r="S28" s="74">
        <v>1014400</v>
      </c>
      <c r="T28" s="74">
        <v>202880000</v>
      </c>
      <c r="U28" s="74"/>
      <c r="V28" s="74">
        <v>202880000</v>
      </c>
    </row>
    <row r="29" spans="1:22" ht="15" customHeight="1">
      <c r="A29" s="51">
        <v>2</v>
      </c>
      <c r="B29" s="51" t="s">
        <v>239</v>
      </c>
      <c r="C29" s="51" t="s">
        <v>240</v>
      </c>
      <c r="D29" s="51" t="s">
        <v>241</v>
      </c>
      <c r="E29" s="51" t="s">
        <v>240</v>
      </c>
      <c r="F29" s="51" t="s">
        <v>183</v>
      </c>
      <c r="G29" s="51" t="s">
        <v>141</v>
      </c>
      <c r="H29" s="51">
        <v>9145000105</v>
      </c>
      <c r="I29" s="51" t="s">
        <v>37</v>
      </c>
      <c r="J29" s="51">
        <v>219</v>
      </c>
      <c r="K29" s="51" t="s">
        <v>184</v>
      </c>
      <c r="L29" s="51">
        <v>9141001384</v>
      </c>
      <c r="M29" s="51">
        <v>1131000114</v>
      </c>
      <c r="N29" s="51" t="s">
        <v>144</v>
      </c>
      <c r="O29" s="138" t="s">
        <v>145</v>
      </c>
      <c r="P29" s="51" t="s">
        <v>146</v>
      </c>
      <c r="Q29" s="51" t="s">
        <v>147</v>
      </c>
      <c r="R29" s="51" t="s">
        <v>162</v>
      </c>
      <c r="S29" s="74">
        <v>1015790</v>
      </c>
      <c r="T29" s="74">
        <v>203158000</v>
      </c>
      <c r="U29" s="74"/>
      <c r="V29" s="74">
        <v>203158000</v>
      </c>
    </row>
    <row r="30" spans="1:22" ht="15" customHeight="1">
      <c r="A30" s="51">
        <v>2</v>
      </c>
      <c r="B30" s="51" t="s">
        <v>239</v>
      </c>
      <c r="C30" s="51" t="s">
        <v>240</v>
      </c>
      <c r="D30" s="51" t="s">
        <v>241</v>
      </c>
      <c r="E30" s="51" t="s">
        <v>240</v>
      </c>
      <c r="F30" s="51" t="s">
        <v>183</v>
      </c>
      <c r="G30" s="51" t="s">
        <v>141</v>
      </c>
      <c r="H30" s="51">
        <v>9145000106</v>
      </c>
      <c r="I30" s="51" t="s">
        <v>37</v>
      </c>
      <c r="J30" s="51">
        <v>219</v>
      </c>
      <c r="K30" s="51" t="s">
        <v>184</v>
      </c>
      <c r="L30" s="51">
        <v>9141001429</v>
      </c>
      <c r="M30" s="51">
        <v>1131000122</v>
      </c>
      <c r="N30" s="51" t="s">
        <v>144</v>
      </c>
      <c r="O30" s="138" t="s">
        <v>145</v>
      </c>
      <c r="P30" s="51" t="s">
        <v>146</v>
      </c>
      <c r="Q30" s="51" t="s">
        <v>147</v>
      </c>
      <c r="R30" s="51" t="s">
        <v>162</v>
      </c>
      <c r="S30" s="74">
        <v>1012510</v>
      </c>
      <c r="T30" s="74">
        <v>405004000</v>
      </c>
      <c r="U30" s="74"/>
      <c r="V30" s="74">
        <v>405004000</v>
      </c>
    </row>
    <row r="31" spans="1:22" ht="15" customHeight="1">
      <c r="A31" s="51">
        <v>2</v>
      </c>
      <c r="B31" s="51" t="s">
        <v>239</v>
      </c>
      <c r="C31" s="51" t="s">
        <v>240</v>
      </c>
      <c r="D31" s="51" t="s">
        <v>241</v>
      </c>
      <c r="E31" s="51" t="s">
        <v>240</v>
      </c>
      <c r="F31" s="51" t="s">
        <v>183</v>
      </c>
      <c r="G31" s="51" t="s">
        <v>141</v>
      </c>
      <c r="H31" s="51">
        <v>9145000107</v>
      </c>
      <c r="I31" s="51" t="s">
        <v>37</v>
      </c>
      <c r="J31" s="51">
        <v>219</v>
      </c>
      <c r="K31" s="51" t="s">
        <v>184</v>
      </c>
      <c r="L31" s="51">
        <v>9141001430</v>
      </c>
      <c r="M31" s="51">
        <v>1131000123</v>
      </c>
      <c r="N31" s="51" t="s">
        <v>144</v>
      </c>
      <c r="O31" s="138" t="s">
        <v>145</v>
      </c>
      <c r="P31" s="51" t="s">
        <v>146</v>
      </c>
      <c r="Q31" s="51" t="s">
        <v>147</v>
      </c>
      <c r="R31" s="51" t="s">
        <v>162</v>
      </c>
      <c r="S31" s="74">
        <v>1013110</v>
      </c>
      <c r="T31" s="74">
        <v>202622000</v>
      </c>
      <c r="U31" s="74"/>
      <c r="V31" s="74">
        <v>202622000</v>
      </c>
    </row>
    <row r="32" spans="1:22" ht="15" customHeight="1">
      <c r="A32" s="51">
        <v>2</v>
      </c>
      <c r="B32" s="51" t="s">
        <v>239</v>
      </c>
      <c r="C32" s="51" t="s">
        <v>240</v>
      </c>
      <c r="D32" s="51" t="s">
        <v>241</v>
      </c>
      <c r="E32" s="51" t="s">
        <v>240</v>
      </c>
      <c r="F32" s="51" t="s">
        <v>183</v>
      </c>
      <c r="G32" s="51" t="s">
        <v>141</v>
      </c>
      <c r="H32" s="51">
        <v>9145000108</v>
      </c>
      <c r="I32" s="51" t="s">
        <v>37</v>
      </c>
      <c r="J32" s="51">
        <v>219</v>
      </c>
      <c r="K32" s="51" t="s">
        <v>184</v>
      </c>
      <c r="L32" s="51">
        <v>9141001437</v>
      </c>
      <c r="M32" s="51">
        <v>1131000126</v>
      </c>
      <c r="N32" s="51" t="s">
        <v>144</v>
      </c>
      <c r="O32" s="138" t="s">
        <v>145</v>
      </c>
      <c r="P32" s="51" t="s">
        <v>146</v>
      </c>
      <c r="Q32" s="51" t="s">
        <v>147</v>
      </c>
      <c r="R32" s="51" t="s">
        <v>162</v>
      </c>
      <c r="S32" s="74">
        <v>1014650</v>
      </c>
      <c r="T32" s="74">
        <v>405860000</v>
      </c>
      <c r="U32" s="74"/>
      <c r="V32" s="74">
        <v>405860000</v>
      </c>
    </row>
    <row r="33" spans="1:22" ht="15" customHeight="1">
      <c r="A33" s="51">
        <v>2</v>
      </c>
      <c r="B33" s="51" t="s">
        <v>239</v>
      </c>
      <c r="C33" s="51" t="s">
        <v>240</v>
      </c>
      <c r="D33" s="51" t="s">
        <v>241</v>
      </c>
      <c r="E33" s="51" t="s">
        <v>240</v>
      </c>
      <c r="F33" s="51" t="s">
        <v>183</v>
      </c>
      <c r="G33" s="51" t="s">
        <v>141</v>
      </c>
      <c r="H33" s="51">
        <v>9145000109</v>
      </c>
      <c r="I33" s="51" t="s">
        <v>37</v>
      </c>
      <c r="J33" s="51">
        <v>219</v>
      </c>
      <c r="K33" s="51" t="s">
        <v>184</v>
      </c>
      <c r="L33" s="51">
        <v>9141001438</v>
      </c>
      <c r="M33" s="51">
        <v>1131000127</v>
      </c>
      <c r="N33" s="51" t="s">
        <v>144</v>
      </c>
      <c r="O33" s="138" t="s">
        <v>145</v>
      </c>
      <c r="P33" s="51" t="s">
        <v>146</v>
      </c>
      <c r="Q33" s="51" t="s">
        <v>147</v>
      </c>
      <c r="R33" s="51" t="s">
        <v>162</v>
      </c>
      <c r="S33" s="74">
        <v>1006460</v>
      </c>
      <c r="T33" s="74">
        <v>402584000</v>
      </c>
      <c r="U33" s="74"/>
      <c r="V33" s="74">
        <v>402584000</v>
      </c>
    </row>
    <row r="34" spans="1:22" ht="15" customHeight="1">
      <c r="A34" s="51">
        <v>2</v>
      </c>
      <c r="B34" s="51" t="s">
        <v>239</v>
      </c>
      <c r="C34" s="51" t="s">
        <v>240</v>
      </c>
      <c r="D34" s="51" t="s">
        <v>241</v>
      </c>
      <c r="E34" s="51" t="s">
        <v>240</v>
      </c>
      <c r="F34" s="51" t="s">
        <v>183</v>
      </c>
      <c r="G34" s="51" t="s">
        <v>141</v>
      </c>
      <c r="H34" s="51">
        <v>9145000131</v>
      </c>
      <c r="I34" s="51" t="s">
        <v>38</v>
      </c>
      <c r="J34" s="51">
        <v>157</v>
      </c>
      <c r="K34" s="51" t="s">
        <v>184</v>
      </c>
      <c r="L34" s="51">
        <v>9141001450</v>
      </c>
      <c r="M34" s="51">
        <v>1131000131</v>
      </c>
      <c r="N34" s="51" t="s">
        <v>144</v>
      </c>
      <c r="O34" s="138" t="s">
        <v>145</v>
      </c>
      <c r="P34" s="51" t="s">
        <v>146</v>
      </c>
      <c r="Q34" s="51" t="s">
        <v>147</v>
      </c>
      <c r="R34" s="51" t="s">
        <v>162</v>
      </c>
      <c r="S34" s="74">
        <v>918810</v>
      </c>
      <c r="T34" s="74">
        <v>403384000</v>
      </c>
      <c r="U34" s="74"/>
      <c r="V34" s="74">
        <v>403384000</v>
      </c>
    </row>
    <row r="35" spans="1:22" ht="15" customHeight="1">
      <c r="A35" s="51">
        <v>2</v>
      </c>
      <c r="B35" s="51" t="s">
        <v>239</v>
      </c>
      <c r="C35" s="51" t="s">
        <v>240</v>
      </c>
      <c r="D35" s="51" t="s">
        <v>241</v>
      </c>
      <c r="E35" s="51" t="s">
        <v>240</v>
      </c>
      <c r="F35" s="51" t="s">
        <v>183</v>
      </c>
      <c r="G35" s="51" t="s">
        <v>141</v>
      </c>
      <c r="H35" s="51">
        <v>9145000132</v>
      </c>
      <c r="I35" s="51" t="s">
        <v>38</v>
      </c>
      <c r="J35" s="51">
        <v>157</v>
      </c>
      <c r="K35" s="51" t="s">
        <v>184</v>
      </c>
      <c r="L35" s="51">
        <v>9141001451</v>
      </c>
      <c r="M35" s="51">
        <v>1131000132</v>
      </c>
      <c r="N35" s="51" t="s">
        <v>144</v>
      </c>
      <c r="O35" s="138" t="s">
        <v>145</v>
      </c>
      <c r="P35" s="51" t="s">
        <v>146</v>
      </c>
      <c r="Q35" s="51" t="s">
        <v>147</v>
      </c>
      <c r="R35" s="51" t="s">
        <v>162</v>
      </c>
      <c r="S35" s="74">
        <v>502690</v>
      </c>
      <c r="T35" s="74">
        <v>100302000</v>
      </c>
      <c r="U35" s="74"/>
      <c r="V35" s="74">
        <v>100302000</v>
      </c>
    </row>
    <row r="36" spans="1:22" ht="15" customHeight="1">
      <c r="A36" s="51">
        <v>2</v>
      </c>
      <c r="B36" s="51" t="s">
        <v>239</v>
      </c>
      <c r="C36" s="51" t="s">
        <v>240</v>
      </c>
      <c r="D36" s="51" t="s">
        <v>241</v>
      </c>
      <c r="E36" s="51" t="s">
        <v>240</v>
      </c>
      <c r="F36" s="51" t="s">
        <v>183</v>
      </c>
      <c r="G36" s="51" t="s">
        <v>141</v>
      </c>
      <c r="H36" s="51">
        <v>9145000133</v>
      </c>
      <c r="I36" s="51" t="s">
        <v>38</v>
      </c>
      <c r="J36" s="51">
        <v>157</v>
      </c>
      <c r="K36" s="51" t="s">
        <v>184</v>
      </c>
      <c r="L36" s="51">
        <v>9141001463</v>
      </c>
      <c r="M36" s="51">
        <v>1131000138</v>
      </c>
      <c r="N36" s="51" t="s">
        <v>144</v>
      </c>
      <c r="O36" s="138" t="s">
        <v>145</v>
      </c>
      <c r="P36" s="51" t="s">
        <v>146</v>
      </c>
      <c r="Q36" s="51" t="s">
        <v>147</v>
      </c>
      <c r="R36" s="51" t="s">
        <v>162</v>
      </c>
      <c r="S36" s="74">
        <v>702480</v>
      </c>
      <c r="T36" s="74">
        <v>200034000</v>
      </c>
      <c r="U36" s="74"/>
      <c r="V36" s="74">
        <v>200034000</v>
      </c>
    </row>
    <row r="37" spans="1:22" ht="15" customHeight="1">
      <c r="A37" s="51">
        <v>2</v>
      </c>
      <c r="B37" s="51" t="s">
        <v>239</v>
      </c>
      <c r="C37" s="51" t="s">
        <v>240</v>
      </c>
      <c r="D37" s="51" t="s">
        <v>241</v>
      </c>
      <c r="E37" s="51" t="s">
        <v>240</v>
      </c>
      <c r="F37" s="51" t="s">
        <v>183</v>
      </c>
      <c r="G37" s="51" t="s">
        <v>141</v>
      </c>
      <c r="H37" s="51">
        <v>9145000134</v>
      </c>
      <c r="I37" s="51" t="s">
        <v>38</v>
      </c>
      <c r="J37" s="51">
        <v>157</v>
      </c>
      <c r="K37" s="51" t="s">
        <v>184</v>
      </c>
      <c r="L37" s="51">
        <v>9141001464</v>
      </c>
      <c r="M37" s="51">
        <v>1131000139</v>
      </c>
      <c r="N37" s="51" t="s">
        <v>144</v>
      </c>
      <c r="O37" s="138" t="s">
        <v>145</v>
      </c>
      <c r="P37" s="51" t="s">
        <v>146</v>
      </c>
      <c r="Q37" s="51" t="s">
        <v>147</v>
      </c>
      <c r="R37" s="51" t="s">
        <v>162</v>
      </c>
      <c r="S37" s="74">
        <v>719270</v>
      </c>
      <c r="T37" s="74">
        <v>201340000</v>
      </c>
      <c r="U37" s="74"/>
      <c r="V37" s="74">
        <v>201340000</v>
      </c>
    </row>
    <row r="38" spans="1:22" ht="15" customHeight="1">
      <c r="A38" s="51">
        <v>2</v>
      </c>
      <c r="B38" s="51" t="s">
        <v>239</v>
      </c>
      <c r="C38" s="51" t="s">
        <v>240</v>
      </c>
      <c r="D38" s="51" t="s">
        <v>241</v>
      </c>
      <c r="E38" s="51" t="s">
        <v>240</v>
      </c>
      <c r="F38" s="51" t="s">
        <v>183</v>
      </c>
      <c r="G38" s="51" t="s">
        <v>141</v>
      </c>
      <c r="H38" s="51">
        <v>9145000135</v>
      </c>
      <c r="I38" s="51" t="s">
        <v>38</v>
      </c>
      <c r="J38" s="51">
        <v>157</v>
      </c>
      <c r="K38" s="51" t="s">
        <v>184</v>
      </c>
      <c r="L38" s="51">
        <v>9141001466</v>
      </c>
      <c r="M38" s="51">
        <v>1131000141</v>
      </c>
      <c r="N38" s="51" t="s">
        <v>144</v>
      </c>
      <c r="O38" s="138" t="s">
        <v>145</v>
      </c>
      <c r="P38" s="51" t="s">
        <v>146</v>
      </c>
      <c r="Q38" s="51" t="s">
        <v>147</v>
      </c>
      <c r="R38" s="51" t="s">
        <v>162</v>
      </c>
      <c r="S38" s="74">
        <v>707350</v>
      </c>
      <c r="T38" s="74">
        <v>201556000</v>
      </c>
      <c r="U38" s="74"/>
      <c r="V38" s="74">
        <v>201556000</v>
      </c>
    </row>
    <row r="39" spans="1:22" ht="15" customHeight="1">
      <c r="A39" s="51">
        <v>2</v>
      </c>
      <c r="B39" s="51" t="s">
        <v>239</v>
      </c>
      <c r="C39" s="51" t="s">
        <v>240</v>
      </c>
      <c r="D39" s="51" t="s">
        <v>241</v>
      </c>
      <c r="E39" s="51" t="s">
        <v>240</v>
      </c>
      <c r="F39" s="51" t="s">
        <v>183</v>
      </c>
      <c r="G39" s="51" t="s">
        <v>141</v>
      </c>
      <c r="H39" s="51">
        <v>9145000136</v>
      </c>
      <c r="I39" s="51" t="s">
        <v>38</v>
      </c>
      <c r="J39" s="51">
        <v>157</v>
      </c>
      <c r="K39" s="51" t="s">
        <v>184</v>
      </c>
      <c r="L39" s="51">
        <v>9141001467</v>
      </c>
      <c r="M39" s="51">
        <v>1131000142</v>
      </c>
      <c r="N39" s="51" t="s">
        <v>144</v>
      </c>
      <c r="O39" s="138" t="s">
        <v>145</v>
      </c>
      <c r="P39" s="51" t="s">
        <v>146</v>
      </c>
      <c r="Q39" s="51" t="s">
        <v>147</v>
      </c>
      <c r="R39" s="51" t="s">
        <v>162</v>
      </c>
      <c r="S39" s="74">
        <v>866170</v>
      </c>
      <c r="T39" s="74">
        <v>201100000</v>
      </c>
      <c r="U39" s="74"/>
      <c r="V39" s="74">
        <v>201100000</v>
      </c>
    </row>
    <row r="40" spans="1:22" ht="15" customHeight="1">
      <c r="A40" s="51">
        <v>2</v>
      </c>
      <c r="B40" s="51" t="s">
        <v>239</v>
      </c>
      <c r="C40" s="51" t="s">
        <v>240</v>
      </c>
      <c r="D40" s="51" t="s">
        <v>241</v>
      </c>
      <c r="E40" s="51" t="s">
        <v>240</v>
      </c>
      <c r="F40" s="51" t="s">
        <v>183</v>
      </c>
      <c r="G40" s="51" t="s">
        <v>141</v>
      </c>
      <c r="H40" s="51">
        <v>9145000137</v>
      </c>
      <c r="I40" s="51" t="s">
        <v>38</v>
      </c>
      <c r="J40" s="51">
        <v>157</v>
      </c>
      <c r="K40" s="51" t="s">
        <v>184</v>
      </c>
      <c r="L40" s="51">
        <v>9141001483</v>
      </c>
      <c r="M40" s="51">
        <v>1131000147</v>
      </c>
      <c r="N40" s="51" t="s">
        <v>144</v>
      </c>
      <c r="O40" s="138" t="s">
        <v>145</v>
      </c>
      <c r="P40" s="51" t="s">
        <v>146</v>
      </c>
      <c r="Q40" s="51" t="s">
        <v>147</v>
      </c>
      <c r="R40" s="51" t="s">
        <v>162</v>
      </c>
      <c r="S40" s="74">
        <v>957410</v>
      </c>
      <c r="T40" s="74">
        <v>201822000</v>
      </c>
      <c r="U40" s="74"/>
      <c r="V40" s="74">
        <v>201822000</v>
      </c>
    </row>
    <row r="41" spans="1:22" ht="15" customHeight="1">
      <c r="A41" s="51">
        <v>2</v>
      </c>
      <c r="B41" s="51" t="s">
        <v>239</v>
      </c>
      <c r="C41" s="51" t="s">
        <v>240</v>
      </c>
      <c r="D41" s="51" t="s">
        <v>241</v>
      </c>
      <c r="E41" s="51" t="s">
        <v>240</v>
      </c>
      <c r="F41" s="51" t="s">
        <v>183</v>
      </c>
      <c r="G41" s="51" t="s">
        <v>141</v>
      </c>
      <c r="H41" s="51">
        <v>9145000138</v>
      </c>
      <c r="I41" s="51" t="s">
        <v>38</v>
      </c>
      <c r="J41" s="51">
        <v>157</v>
      </c>
      <c r="K41" s="51" t="s">
        <v>184</v>
      </c>
      <c r="L41" s="51">
        <v>9141001484</v>
      </c>
      <c r="M41" s="51">
        <v>1131000148</v>
      </c>
      <c r="N41" s="51" t="s">
        <v>144</v>
      </c>
      <c r="O41" s="138" t="s">
        <v>145</v>
      </c>
      <c r="P41" s="51" t="s">
        <v>146</v>
      </c>
      <c r="Q41" s="51" t="s">
        <v>147</v>
      </c>
      <c r="R41" s="51" t="s">
        <v>162</v>
      </c>
      <c r="S41" s="74">
        <v>798630</v>
      </c>
      <c r="T41" s="74">
        <v>100933000</v>
      </c>
      <c r="U41" s="74"/>
      <c r="V41" s="74">
        <v>100933000</v>
      </c>
    </row>
    <row r="42" spans="1:22" ht="15" customHeight="1">
      <c r="A42" s="51">
        <v>2</v>
      </c>
      <c r="B42" s="51" t="s">
        <v>239</v>
      </c>
      <c r="C42" s="51" t="s">
        <v>240</v>
      </c>
      <c r="D42" s="51" t="s">
        <v>241</v>
      </c>
      <c r="E42" s="51" t="s">
        <v>240</v>
      </c>
      <c r="F42" s="51" t="s">
        <v>183</v>
      </c>
      <c r="G42" s="51" t="s">
        <v>141</v>
      </c>
      <c r="H42" s="51">
        <v>9145000139</v>
      </c>
      <c r="I42" s="51" t="s">
        <v>38</v>
      </c>
      <c r="J42" s="51">
        <v>157</v>
      </c>
      <c r="K42" s="51" t="s">
        <v>184</v>
      </c>
      <c r="L42" s="51">
        <v>9141001488</v>
      </c>
      <c r="M42" s="51">
        <v>1131000149</v>
      </c>
      <c r="N42" s="51" t="s">
        <v>144</v>
      </c>
      <c r="O42" s="138" t="s">
        <v>145</v>
      </c>
      <c r="P42" s="51" t="s">
        <v>146</v>
      </c>
      <c r="Q42" s="51" t="s">
        <v>147</v>
      </c>
      <c r="R42" s="51" t="s">
        <v>162</v>
      </c>
      <c r="S42" s="74">
        <v>1011890</v>
      </c>
      <c r="T42" s="74">
        <v>202378000</v>
      </c>
      <c r="U42" s="74"/>
      <c r="V42" s="74">
        <v>202378000</v>
      </c>
    </row>
    <row r="43" spans="1:22" ht="15" customHeight="1">
      <c r="A43" s="51">
        <v>2</v>
      </c>
      <c r="B43" s="51" t="s">
        <v>239</v>
      </c>
      <c r="C43" s="51" t="s">
        <v>240</v>
      </c>
      <c r="D43" s="51" t="s">
        <v>241</v>
      </c>
      <c r="E43" s="51" t="s">
        <v>240</v>
      </c>
      <c r="F43" s="51" t="s">
        <v>183</v>
      </c>
      <c r="G43" s="51" t="s">
        <v>141</v>
      </c>
      <c r="H43" s="51">
        <v>9145000140</v>
      </c>
      <c r="I43" s="51" t="s">
        <v>38</v>
      </c>
      <c r="J43" s="51">
        <v>157</v>
      </c>
      <c r="K43" s="51" t="s">
        <v>184</v>
      </c>
      <c r="L43" s="51">
        <v>9141001489</v>
      </c>
      <c r="M43" s="51">
        <v>1131000150</v>
      </c>
      <c r="N43" s="51" t="s">
        <v>144</v>
      </c>
      <c r="O43" s="138" t="s">
        <v>145</v>
      </c>
      <c r="P43" s="51" t="s">
        <v>146</v>
      </c>
      <c r="Q43" s="51" t="s">
        <v>147</v>
      </c>
      <c r="R43" s="51" t="s">
        <v>162</v>
      </c>
      <c r="S43" s="74">
        <v>856110</v>
      </c>
      <c r="T43" s="74">
        <v>100417000</v>
      </c>
      <c r="U43" s="74"/>
      <c r="V43" s="74">
        <v>100417000</v>
      </c>
    </row>
    <row r="44" spans="1:22" ht="15" customHeight="1">
      <c r="A44" s="51">
        <v>2</v>
      </c>
      <c r="B44" s="51" t="s">
        <v>239</v>
      </c>
      <c r="C44" s="51" t="s">
        <v>240</v>
      </c>
      <c r="D44" s="51" t="s">
        <v>241</v>
      </c>
      <c r="E44" s="51" t="s">
        <v>240</v>
      </c>
      <c r="F44" s="51" t="s">
        <v>183</v>
      </c>
      <c r="G44" s="51" t="s">
        <v>141</v>
      </c>
      <c r="H44" s="51">
        <v>9145000162</v>
      </c>
      <c r="I44" s="51" t="s">
        <v>39</v>
      </c>
      <c r="J44" s="51">
        <v>65</v>
      </c>
      <c r="K44" s="51" t="s">
        <v>184</v>
      </c>
      <c r="L44" s="51">
        <v>9141001658</v>
      </c>
      <c r="M44" s="51">
        <v>1131000191</v>
      </c>
      <c r="N44" s="51" t="s">
        <v>144</v>
      </c>
      <c r="O44" s="138" t="s">
        <v>145</v>
      </c>
      <c r="P44" s="51" t="s">
        <v>146</v>
      </c>
      <c r="Q44" s="51" t="s">
        <v>147</v>
      </c>
      <c r="R44" s="51" t="s">
        <v>162</v>
      </c>
      <c r="S44" s="74">
        <v>1007140</v>
      </c>
      <c r="T44" s="74">
        <v>201428000</v>
      </c>
      <c r="U44" s="74">
        <v>22157080</v>
      </c>
      <c r="V44" s="74">
        <v>223585080</v>
      </c>
    </row>
    <row r="45" spans="1:22" ht="15" customHeight="1">
      <c r="A45" s="51">
        <v>2</v>
      </c>
      <c r="B45" s="51" t="s">
        <v>239</v>
      </c>
      <c r="C45" s="51" t="s">
        <v>240</v>
      </c>
      <c r="D45" s="51" t="s">
        <v>241</v>
      </c>
      <c r="E45" s="51" t="s">
        <v>240</v>
      </c>
      <c r="F45" s="51" t="s">
        <v>183</v>
      </c>
      <c r="G45" s="51" t="s">
        <v>141</v>
      </c>
      <c r="H45" s="51">
        <v>9145000163</v>
      </c>
      <c r="I45" s="51" t="s">
        <v>39</v>
      </c>
      <c r="J45" s="51">
        <v>65</v>
      </c>
      <c r="K45" s="51" t="s">
        <v>184</v>
      </c>
      <c r="L45" s="51">
        <v>9141001666</v>
      </c>
      <c r="M45" s="51">
        <v>1131000194</v>
      </c>
      <c r="N45" s="51" t="s">
        <v>144</v>
      </c>
      <c r="O45" s="138" t="s">
        <v>145</v>
      </c>
      <c r="P45" s="51" t="s">
        <v>146</v>
      </c>
      <c r="Q45" s="51" t="s">
        <v>147</v>
      </c>
      <c r="R45" s="51" t="s">
        <v>162</v>
      </c>
      <c r="S45" s="74">
        <v>1000420</v>
      </c>
      <c r="T45" s="74">
        <v>200084000</v>
      </c>
      <c r="U45" s="74">
        <v>22009240</v>
      </c>
      <c r="V45" s="74">
        <v>222093240</v>
      </c>
    </row>
    <row r="46" spans="1:22" ht="15" customHeight="1">
      <c r="A46" s="51">
        <v>2</v>
      </c>
      <c r="B46" s="51" t="s">
        <v>239</v>
      </c>
      <c r="C46" s="51" t="s">
        <v>240</v>
      </c>
      <c r="D46" s="51" t="s">
        <v>241</v>
      </c>
      <c r="E46" s="51" t="s">
        <v>240</v>
      </c>
      <c r="F46" s="51" t="s">
        <v>183</v>
      </c>
      <c r="G46" s="51" t="s">
        <v>141</v>
      </c>
      <c r="H46" s="51">
        <v>9145000164</v>
      </c>
      <c r="I46" s="51" t="s">
        <v>39</v>
      </c>
      <c r="J46" s="51">
        <v>65</v>
      </c>
      <c r="K46" s="51" t="s">
        <v>184</v>
      </c>
      <c r="L46" s="51">
        <v>9141001701</v>
      </c>
      <c r="M46" s="51">
        <v>1131000195</v>
      </c>
      <c r="N46" s="51" t="s">
        <v>144</v>
      </c>
      <c r="O46" s="138" t="s">
        <v>145</v>
      </c>
      <c r="P46" s="51" t="s">
        <v>146</v>
      </c>
      <c r="Q46" s="51" t="s">
        <v>147</v>
      </c>
      <c r="R46" s="51" t="s">
        <v>162</v>
      </c>
      <c r="S46" s="74">
        <v>1009790</v>
      </c>
      <c r="T46" s="74">
        <v>201958000</v>
      </c>
      <c r="U46" s="74">
        <v>22215380</v>
      </c>
      <c r="V46" s="74">
        <v>224173380</v>
      </c>
    </row>
    <row r="47" spans="1:22" ht="15" customHeight="1">
      <c r="A47" s="51">
        <v>2</v>
      </c>
      <c r="B47" s="51" t="s">
        <v>239</v>
      </c>
      <c r="C47" s="51" t="s">
        <v>240</v>
      </c>
      <c r="D47" s="51" t="s">
        <v>241</v>
      </c>
      <c r="E47" s="51" t="s">
        <v>240</v>
      </c>
      <c r="F47" s="51" t="s">
        <v>183</v>
      </c>
      <c r="G47" s="51" t="s">
        <v>141</v>
      </c>
      <c r="H47" s="51">
        <v>9145000165</v>
      </c>
      <c r="I47" s="51" t="s">
        <v>39</v>
      </c>
      <c r="J47" s="51">
        <v>65</v>
      </c>
      <c r="K47" s="51" t="s">
        <v>184</v>
      </c>
      <c r="L47" s="51">
        <v>9141001702</v>
      </c>
      <c r="M47" s="51">
        <v>1131000196</v>
      </c>
      <c r="N47" s="51" t="s">
        <v>144</v>
      </c>
      <c r="O47" s="138" t="s">
        <v>145</v>
      </c>
      <c r="P47" s="51" t="s">
        <v>146</v>
      </c>
      <c r="Q47" s="51" t="s">
        <v>147</v>
      </c>
      <c r="R47" s="51" t="s">
        <v>162</v>
      </c>
      <c r="S47" s="74">
        <v>1018770</v>
      </c>
      <c r="T47" s="74">
        <v>203754000</v>
      </c>
      <c r="U47" s="74">
        <v>22412940</v>
      </c>
      <c r="V47" s="74">
        <v>226166940</v>
      </c>
    </row>
    <row r="48" spans="1:22" ht="15" customHeight="1">
      <c r="A48" s="51">
        <v>2</v>
      </c>
      <c r="B48" s="51" t="s">
        <v>239</v>
      </c>
      <c r="C48" s="51" t="s">
        <v>240</v>
      </c>
      <c r="D48" s="51" t="s">
        <v>241</v>
      </c>
      <c r="E48" s="51" t="s">
        <v>240</v>
      </c>
      <c r="F48" s="51" t="s">
        <v>183</v>
      </c>
      <c r="G48" s="51" t="s">
        <v>141</v>
      </c>
      <c r="H48" s="51">
        <v>9145000166</v>
      </c>
      <c r="I48" s="51" t="s">
        <v>39</v>
      </c>
      <c r="J48" s="51">
        <v>65</v>
      </c>
      <c r="K48" s="51" t="s">
        <v>184</v>
      </c>
      <c r="L48" s="51">
        <v>9141001710</v>
      </c>
      <c r="M48" s="51">
        <v>1131000197</v>
      </c>
      <c r="N48" s="51" t="s">
        <v>144</v>
      </c>
      <c r="O48" s="138" t="s">
        <v>145</v>
      </c>
      <c r="P48" s="51" t="s">
        <v>146</v>
      </c>
      <c r="Q48" s="51" t="s">
        <v>147</v>
      </c>
      <c r="R48" s="51" t="s">
        <v>162</v>
      </c>
      <c r="S48" s="74">
        <v>1003230</v>
      </c>
      <c r="T48" s="74">
        <v>200646000</v>
      </c>
      <c r="U48" s="74">
        <v>22071060</v>
      </c>
      <c r="V48" s="74">
        <v>222717060</v>
      </c>
    </row>
    <row r="49" spans="1:22" ht="15" customHeight="1">
      <c r="A49" s="51">
        <v>2</v>
      </c>
      <c r="B49" s="51" t="s">
        <v>239</v>
      </c>
      <c r="C49" s="51" t="s">
        <v>240</v>
      </c>
      <c r="D49" s="51" t="s">
        <v>241</v>
      </c>
      <c r="E49" s="51" t="s">
        <v>240</v>
      </c>
      <c r="F49" s="51" t="s">
        <v>183</v>
      </c>
      <c r="G49" s="51" t="s">
        <v>141</v>
      </c>
      <c r="H49" s="51">
        <v>9145000167</v>
      </c>
      <c r="I49" s="51" t="s">
        <v>39</v>
      </c>
      <c r="J49" s="51">
        <v>65</v>
      </c>
      <c r="K49" s="51" t="s">
        <v>184</v>
      </c>
      <c r="L49" s="51">
        <v>9141001711</v>
      </c>
      <c r="M49" s="51">
        <v>1131000198</v>
      </c>
      <c r="N49" s="51" t="s">
        <v>144</v>
      </c>
      <c r="O49" s="138" t="s">
        <v>145</v>
      </c>
      <c r="P49" s="51" t="s">
        <v>146</v>
      </c>
      <c r="Q49" s="51" t="s">
        <v>147</v>
      </c>
      <c r="R49" s="51" t="s">
        <v>162</v>
      </c>
      <c r="S49" s="74">
        <v>1006860</v>
      </c>
      <c r="T49" s="74">
        <v>201372000</v>
      </c>
      <c r="U49" s="74">
        <v>22150920</v>
      </c>
      <c r="V49" s="74">
        <v>223522920</v>
      </c>
    </row>
    <row r="50" spans="1:22" ht="15" customHeight="1">
      <c r="A50" s="51">
        <v>2</v>
      </c>
      <c r="B50" s="51" t="s">
        <v>239</v>
      </c>
      <c r="C50" s="51" t="s">
        <v>240</v>
      </c>
      <c r="D50" s="51" t="s">
        <v>241</v>
      </c>
      <c r="E50" s="51" t="s">
        <v>240</v>
      </c>
      <c r="F50" s="51" t="s">
        <v>183</v>
      </c>
      <c r="G50" s="51" t="s">
        <v>141</v>
      </c>
      <c r="H50" s="51">
        <v>9145000168</v>
      </c>
      <c r="I50" s="51" t="s">
        <v>39</v>
      </c>
      <c r="J50" s="51">
        <v>65</v>
      </c>
      <c r="K50" s="51" t="s">
        <v>184</v>
      </c>
      <c r="L50" s="51">
        <v>9141001721</v>
      </c>
      <c r="M50" s="51">
        <v>1131000201</v>
      </c>
      <c r="N50" s="51" t="s">
        <v>144</v>
      </c>
      <c r="O50" s="138" t="s">
        <v>145</v>
      </c>
      <c r="P50" s="51" t="s">
        <v>146</v>
      </c>
      <c r="Q50" s="51" t="s">
        <v>147</v>
      </c>
      <c r="R50" s="51" t="s">
        <v>162</v>
      </c>
      <c r="S50" s="74">
        <v>997610</v>
      </c>
      <c r="T50" s="74">
        <v>199522000</v>
      </c>
      <c r="U50" s="74">
        <v>21947420</v>
      </c>
      <c r="V50" s="74">
        <v>221469420</v>
      </c>
    </row>
    <row r="51" spans="1:22" ht="15" customHeight="1">
      <c r="A51" s="51">
        <v>2</v>
      </c>
      <c r="B51" s="51" t="s">
        <v>239</v>
      </c>
      <c r="C51" s="51" t="s">
        <v>240</v>
      </c>
      <c r="D51" s="51" t="s">
        <v>241</v>
      </c>
      <c r="E51" s="51" t="s">
        <v>240</v>
      </c>
      <c r="F51" s="51" t="s">
        <v>183</v>
      </c>
      <c r="G51" s="51" t="s">
        <v>141</v>
      </c>
      <c r="H51" s="51">
        <v>9145000169</v>
      </c>
      <c r="I51" s="51" t="s">
        <v>39</v>
      </c>
      <c r="J51" s="51">
        <v>65</v>
      </c>
      <c r="K51" s="51" t="s">
        <v>184</v>
      </c>
      <c r="L51" s="51">
        <v>9141001724</v>
      </c>
      <c r="M51" s="51">
        <v>1131000202</v>
      </c>
      <c r="N51" s="51" t="s">
        <v>144</v>
      </c>
      <c r="O51" s="138" t="s">
        <v>145</v>
      </c>
      <c r="P51" s="51" t="s">
        <v>146</v>
      </c>
      <c r="Q51" s="51" t="s">
        <v>147</v>
      </c>
      <c r="R51" s="51" t="s">
        <v>162</v>
      </c>
      <c r="S51" s="74">
        <v>1018510</v>
      </c>
      <c r="T51" s="74">
        <v>203702000</v>
      </c>
      <c r="U51" s="74">
        <v>22407220</v>
      </c>
      <c r="V51" s="74">
        <v>226109220</v>
      </c>
    </row>
    <row r="52" spans="1:22" ht="15" customHeight="1">
      <c r="A52" s="51">
        <v>2</v>
      </c>
      <c r="B52" s="51" t="s">
        <v>239</v>
      </c>
      <c r="C52" s="51" t="s">
        <v>240</v>
      </c>
      <c r="D52" s="51" t="s">
        <v>241</v>
      </c>
      <c r="E52" s="51" t="s">
        <v>240</v>
      </c>
      <c r="F52" s="51" t="s">
        <v>183</v>
      </c>
      <c r="G52" s="51" t="s">
        <v>141</v>
      </c>
      <c r="H52" s="51">
        <v>9145000179</v>
      </c>
      <c r="I52" s="51" t="s">
        <v>40</v>
      </c>
      <c r="J52" s="51">
        <v>37</v>
      </c>
      <c r="K52" s="51" t="s">
        <v>184</v>
      </c>
      <c r="L52" s="51">
        <v>9141001740</v>
      </c>
      <c r="M52" s="51">
        <v>1131000204</v>
      </c>
      <c r="N52" s="51" t="s">
        <v>144</v>
      </c>
      <c r="O52" s="138" t="s">
        <v>145</v>
      </c>
      <c r="P52" s="51" t="s">
        <v>146</v>
      </c>
      <c r="Q52" s="51" t="s">
        <v>147</v>
      </c>
      <c r="R52" s="51" t="s">
        <v>162</v>
      </c>
      <c r="S52" s="74">
        <v>830030</v>
      </c>
      <c r="T52" s="74">
        <v>971007000</v>
      </c>
      <c r="U52" s="74">
        <v>106810770</v>
      </c>
      <c r="V52" s="74">
        <v>1077817770</v>
      </c>
    </row>
    <row r="53" spans="1:22" ht="15" customHeight="1">
      <c r="A53" s="51">
        <v>2</v>
      </c>
      <c r="B53" s="51" t="s">
        <v>239</v>
      </c>
      <c r="C53" s="51" t="s">
        <v>240</v>
      </c>
      <c r="D53" s="51" t="s">
        <v>241</v>
      </c>
      <c r="E53" s="51" t="s">
        <v>240</v>
      </c>
      <c r="F53" s="51" t="s">
        <v>183</v>
      </c>
      <c r="G53" s="51" t="s">
        <v>141</v>
      </c>
      <c r="H53" s="51">
        <v>9145000180</v>
      </c>
      <c r="I53" s="51" t="s">
        <v>40</v>
      </c>
      <c r="J53" s="51">
        <v>37</v>
      </c>
      <c r="K53" s="51" t="s">
        <v>184</v>
      </c>
      <c r="L53" s="51">
        <v>9141001739</v>
      </c>
      <c r="M53" s="51">
        <v>1131000205</v>
      </c>
      <c r="N53" s="51" t="s">
        <v>144</v>
      </c>
      <c r="O53" s="138" t="s">
        <v>145</v>
      </c>
      <c r="P53" s="51" t="s">
        <v>146</v>
      </c>
      <c r="Q53" s="51" t="s">
        <v>147</v>
      </c>
      <c r="R53" s="51" t="s">
        <v>162</v>
      </c>
      <c r="S53" s="74">
        <v>913340</v>
      </c>
      <c r="T53" s="74">
        <v>1001583000</v>
      </c>
      <c r="U53" s="74">
        <v>110174130</v>
      </c>
      <c r="V53" s="74">
        <v>1111757130</v>
      </c>
    </row>
    <row r="54" spans="1:22" ht="15" customHeight="1">
      <c r="A54" s="51">
        <v>2</v>
      </c>
      <c r="B54" s="51" t="s">
        <v>239</v>
      </c>
      <c r="C54" s="51" t="s">
        <v>240</v>
      </c>
      <c r="D54" s="51" t="s">
        <v>241</v>
      </c>
      <c r="E54" s="51" t="s">
        <v>240</v>
      </c>
      <c r="F54" s="51" t="s">
        <v>183</v>
      </c>
      <c r="G54" s="51" t="s">
        <v>141</v>
      </c>
      <c r="H54" s="51">
        <v>9145000181</v>
      </c>
      <c r="I54" s="51" t="s">
        <v>40</v>
      </c>
      <c r="J54" s="51">
        <v>37</v>
      </c>
      <c r="K54" s="51" t="s">
        <v>184</v>
      </c>
      <c r="L54" s="51">
        <v>9141001784</v>
      </c>
      <c r="M54" s="51">
        <v>1131000208</v>
      </c>
      <c r="N54" s="51" t="s">
        <v>144</v>
      </c>
      <c r="O54" s="138" t="s">
        <v>145</v>
      </c>
      <c r="P54" s="51" t="s">
        <v>146</v>
      </c>
      <c r="Q54" s="51" t="s">
        <v>147</v>
      </c>
      <c r="R54" s="51" t="s">
        <v>162</v>
      </c>
      <c r="S54" s="74">
        <v>1002880</v>
      </c>
      <c r="T54" s="74">
        <v>1188012000</v>
      </c>
      <c r="U54" s="74">
        <v>130681320</v>
      </c>
      <c r="V54" s="74">
        <v>1318693320</v>
      </c>
    </row>
    <row r="55" spans="1:22" ht="15" customHeight="1">
      <c r="A55" s="51">
        <v>2</v>
      </c>
      <c r="B55" s="51" t="s">
        <v>239</v>
      </c>
      <c r="C55" s="51" t="s">
        <v>240</v>
      </c>
      <c r="D55" s="51" t="s">
        <v>241</v>
      </c>
      <c r="E55" s="51" t="s">
        <v>240</v>
      </c>
      <c r="F55" s="51" t="s">
        <v>183</v>
      </c>
      <c r="G55" s="51" t="s">
        <v>141</v>
      </c>
      <c r="H55" s="51">
        <v>9145000182</v>
      </c>
      <c r="I55" s="51" t="s">
        <v>41</v>
      </c>
      <c r="J55" s="51">
        <v>36</v>
      </c>
      <c r="K55" s="51" t="s">
        <v>184</v>
      </c>
      <c r="L55" s="51">
        <v>9141001783</v>
      </c>
      <c r="M55" s="51">
        <v>1131000207</v>
      </c>
      <c r="N55" s="51" t="s">
        <v>144</v>
      </c>
      <c r="O55" s="138" t="s">
        <v>145</v>
      </c>
      <c r="P55" s="51" t="s">
        <v>146</v>
      </c>
      <c r="Q55" s="51" t="s">
        <v>147</v>
      </c>
      <c r="R55" s="51" t="s">
        <v>162</v>
      </c>
      <c r="S55" s="74">
        <v>862360</v>
      </c>
      <c r="T55" s="74">
        <v>1163690000</v>
      </c>
      <c r="U55" s="74">
        <v>128005900</v>
      </c>
      <c r="V55" s="74">
        <v>1291695900</v>
      </c>
    </row>
    <row r="56" spans="1:22" ht="15" customHeight="1">
      <c r="A56" s="51">
        <v>2</v>
      </c>
      <c r="B56" s="51" t="s">
        <v>239</v>
      </c>
      <c r="C56" s="51" t="s">
        <v>240</v>
      </c>
      <c r="D56" s="51" t="s">
        <v>241</v>
      </c>
      <c r="E56" s="51" t="s">
        <v>240</v>
      </c>
      <c r="F56" s="51" t="s">
        <v>183</v>
      </c>
      <c r="G56" s="51" t="s">
        <v>141</v>
      </c>
      <c r="H56" s="51">
        <v>9145000185</v>
      </c>
      <c r="I56" s="51" t="s">
        <v>10</v>
      </c>
      <c r="J56" s="51">
        <v>31</v>
      </c>
      <c r="K56" s="51" t="s">
        <v>184</v>
      </c>
      <c r="L56" s="51">
        <v>9141001858</v>
      </c>
      <c r="M56" s="51">
        <v>1131000215</v>
      </c>
      <c r="N56" s="51" t="s">
        <v>144</v>
      </c>
      <c r="O56" s="138" t="s">
        <v>145</v>
      </c>
      <c r="P56" s="51" t="s">
        <v>146</v>
      </c>
      <c r="Q56" s="51" t="s">
        <v>147</v>
      </c>
      <c r="R56" s="51" t="s">
        <v>162</v>
      </c>
      <c r="S56" s="74">
        <v>1000540</v>
      </c>
      <c r="T56" s="74">
        <v>657542000</v>
      </c>
      <c r="U56" s="74">
        <v>72329620</v>
      </c>
      <c r="V56" s="74">
        <v>729871620</v>
      </c>
    </row>
    <row r="57" spans="1:22" ht="15" customHeight="1">
      <c r="A57" s="51">
        <v>2</v>
      </c>
      <c r="B57" s="51" t="s">
        <v>239</v>
      </c>
      <c r="C57" s="51" t="s">
        <v>240</v>
      </c>
      <c r="D57" s="51" t="s">
        <v>241</v>
      </c>
      <c r="E57" s="51" t="s">
        <v>240</v>
      </c>
      <c r="F57" s="51" t="s">
        <v>183</v>
      </c>
      <c r="G57" s="51" t="s">
        <v>141</v>
      </c>
      <c r="H57" s="51">
        <v>9145000189</v>
      </c>
      <c r="I57" s="51" t="s">
        <v>42</v>
      </c>
      <c r="J57" s="51">
        <v>29</v>
      </c>
      <c r="K57" s="51" t="s">
        <v>184</v>
      </c>
      <c r="L57" s="51">
        <v>9141001859</v>
      </c>
      <c r="M57" s="51">
        <v>1131000216</v>
      </c>
      <c r="N57" s="51" t="s">
        <v>144</v>
      </c>
      <c r="O57" s="138" t="s">
        <v>145</v>
      </c>
      <c r="P57" s="51" t="s">
        <v>146</v>
      </c>
      <c r="Q57" s="51" t="s">
        <v>147</v>
      </c>
      <c r="R57" s="51" t="s">
        <v>162</v>
      </c>
      <c r="S57" s="74">
        <v>1007390</v>
      </c>
      <c r="T57" s="74">
        <v>503584000</v>
      </c>
      <c r="U57" s="74">
        <v>55394240</v>
      </c>
      <c r="V57" s="74">
        <v>558978240</v>
      </c>
    </row>
    <row r="58" spans="1:22" ht="15" customHeight="1">
      <c r="A58" s="51">
        <v>2</v>
      </c>
      <c r="B58" s="51" t="s">
        <v>239</v>
      </c>
      <c r="C58" s="51" t="s">
        <v>240</v>
      </c>
      <c r="D58" s="51" t="s">
        <v>241</v>
      </c>
      <c r="E58" s="51" t="s">
        <v>240</v>
      </c>
      <c r="F58" s="51" t="s">
        <v>183</v>
      </c>
      <c r="G58" s="51" t="s">
        <v>141</v>
      </c>
      <c r="H58" s="51">
        <v>9145000206</v>
      </c>
      <c r="I58" s="51" t="s">
        <v>28</v>
      </c>
      <c r="J58" s="51">
        <v>8</v>
      </c>
      <c r="K58" s="51" t="s">
        <v>184</v>
      </c>
      <c r="L58" s="51">
        <v>9141001791</v>
      </c>
      <c r="M58" s="51">
        <v>1131000209</v>
      </c>
      <c r="N58" s="51" t="s">
        <v>144</v>
      </c>
      <c r="O58" s="138" t="s">
        <v>145</v>
      </c>
      <c r="P58" s="51" t="s">
        <v>146</v>
      </c>
      <c r="Q58" s="51" t="s">
        <v>147</v>
      </c>
      <c r="R58" s="51" t="s">
        <v>162</v>
      </c>
      <c r="S58" s="74">
        <v>1004890</v>
      </c>
      <c r="T58" s="74">
        <v>1198791000</v>
      </c>
      <c r="U58" s="74">
        <v>131867010</v>
      </c>
      <c r="V58" s="74">
        <v>1330658010</v>
      </c>
    </row>
    <row r="59" spans="1:22" ht="15" customHeight="1">
      <c r="A59" s="56"/>
      <c r="B59" s="56" t="s">
        <v>149</v>
      </c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139"/>
      <c r="P59" s="56" t="s">
        <v>146</v>
      </c>
      <c r="Q59" s="56"/>
      <c r="R59" s="56"/>
      <c r="S59" s="58">
        <v>40380490</v>
      </c>
      <c r="T59" s="58">
        <v>12765299500</v>
      </c>
      <c r="U59" s="58">
        <v>912634250</v>
      </c>
      <c r="V59" s="58">
        <v>13677933750</v>
      </c>
    </row>
    <row r="60" spans="1:22" ht="15" customHeight="1">
      <c r="A60" s="51">
        <v>3</v>
      </c>
      <c r="B60" s="51" t="s">
        <v>261</v>
      </c>
      <c r="C60" s="51" t="s">
        <v>262</v>
      </c>
      <c r="D60" s="51" t="s">
        <v>263</v>
      </c>
      <c r="E60" s="51" t="s">
        <v>262</v>
      </c>
      <c r="F60" s="51" t="s">
        <v>170</v>
      </c>
      <c r="G60" s="51" t="s">
        <v>141</v>
      </c>
      <c r="H60" s="51">
        <v>1005002481</v>
      </c>
      <c r="I60" s="51" t="s">
        <v>48</v>
      </c>
      <c r="J60" s="51">
        <v>7</v>
      </c>
      <c r="K60" s="51" t="s">
        <v>184</v>
      </c>
      <c r="L60" s="51">
        <v>1001027992</v>
      </c>
      <c r="M60" s="51" t="s">
        <v>264</v>
      </c>
      <c r="N60" s="51" t="s">
        <v>144</v>
      </c>
      <c r="O60" s="138" t="s">
        <v>145</v>
      </c>
      <c r="P60" s="51" t="s">
        <v>146</v>
      </c>
      <c r="Q60" s="51" t="s">
        <v>147</v>
      </c>
      <c r="R60" s="51" t="s">
        <v>148</v>
      </c>
      <c r="S60" s="74">
        <v>508470</v>
      </c>
      <c r="T60" s="74">
        <v>25423500</v>
      </c>
      <c r="U60" s="74"/>
      <c r="V60" s="74">
        <v>25423500</v>
      </c>
    </row>
    <row r="61" spans="1:22" ht="15" customHeight="1">
      <c r="A61" s="51">
        <v>3</v>
      </c>
      <c r="B61" s="51" t="s">
        <v>261</v>
      </c>
      <c r="C61" s="51" t="s">
        <v>262</v>
      </c>
      <c r="D61" s="51" t="s">
        <v>263</v>
      </c>
      <c r="E61" s="51" t="s">
        <v>262</v>
      </c>
      <c r="F61" s="51" t="s">
        <v>170</v>
      </c>
      <c r="G61" s="51" t="s">
        <v>141</v>
      </c>
      <c r="H61" s="51">
        <v>1005002482</v>
      </c>
      <c r="I61" s="51" t="s">
        <v>48</v>
      </c>
      <c r="J61" s="51">
        <v>7</v>
      </c>
      <c r="K61" s="51" t="s">
        <v>184</v>
      </c>
      <c r="L61" s="51">
        <v>1001028055</v>
      </c>
      <c r="M61" s="51" t="s">
        <v>265</v>
      </c>
      <c r="N61" s="51" t="s">
        <v>144</v>
      </c>
      <c r="O61" s="138" t="s">
        <v>145</v>
      </c>
      <c r="P61" s="51" t="s">
        <v>146</v>
      </c>
      <c r="Q61" s="51" t="s">
        <v>147</v>
      </c>
      <c r="R61" s="51" t="s">
        <v>148</v>
      </c>
      <c r="S61" s="74">
        <v>498820</v>
      </c>
      <c r="T61" s="74">
        <v>24941000</v>
      </c>
      <c r="U61" s="74"/>
      <c r="V61" s="74">
        <v>24941000</v>
      </c>
    </row>
    <row r="62" spans="1:22" ht="15" customHeight="1">
      <c r="A62" s="51">
        <v>3</v>
      </c>
      <c r="B62" s="51" t="s">
        <v>261</v>
      </c>
      <c r="C62" s="51" t="s">
        <v>262</v>
      </c>
      <c r="D62" s="51" t="s">
        <v>263</v>
      </c>
      <c r="E62" s="51" t="s">
        <v>262</v>
      </c>
      <c r="F62" s="51" t="s">
        <v>170</v>
      </c>
      <c r="G62" s="51" t="s">
        <v>141</v>
      </c>
      <c r="H62" s="51">
        <v>9145000210</v>
      </c>
      <c r="I62" s="51" t="s">
        <v>48</v>
      </c>
      <c r="J62" s="51">
        <v>7</v>
      </c>
      <c r="K62" s="51" t="s">
        <v>184</v>
      </c>
      <c r="L62" s="51">
        <v>9141001888</v>
      </c>
      <c r="M62" s="51" t="s">
        <v>266</v>
      </c>
      <c r="N62" s="51" t="s">
        <v>144</v>
      </c>
      <c r="O62" s="138" t="s">
        <v>145</v>
      </c>
      <c r="P62" s="51" t="s">
        <v>146</v>
      </c>
      <c r="Q62" s="51" t="s">
        <v>147</v>
      </c>
      <c r="R62" s="51" t="s">
        <v>162</v>
      </c>
      <c r="S62" s="74">
        <v>1006180</v>
      </c>
      <c r="T62" s="74">
        <v>53769500</v>
      </c>
      <c r="U62" s="74">
        <v>5914645</v>
      </c>
      <c r="V62" s="74">
        <v>59684145</v>
      </c>
    </row>
    <row r="63" spans="1:22" ht="15" customHeight="1">
      <c r="A63" s="56"/>
      <c r="B63" s="56" t="s">
        <v>149</v>
      </c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139"/>
      <c r="P63" s="56" t="s">
        <v>146</v>
      </c>
      <c r="Q63" s="56"/>
      <c r="R63" s="56"/>
      <c r="S63" s="58">
        <v>2013470</v>
      </c>
      <c r="T63" s="58">
        <v>104134000</v>
      </c>
      <c r="U63" s="58">
        <v>5914645</v>
      </c>
      <c r="V63" s="58">
        <v>110048645</v>
      </c>
    </row>
    <row r="64" spans="1:22" ht="15" customHeight="1">
      <c r="A64" s="51">
        <v>4</v>
      </c>
      <c r="B64" s="51" t="s">
        <v>424</v>
      </c>
      <c r="C64" s="51" t="s">
        <v>425</v>
      </c>
      <c r="D64" s="51" t="s">
        <v>426</v>
      </c>
      <c r="E64" s="51" t="s">
        <v>425</v>
      </c>
      <c r="F64" s="51" t="s">
        <v>183</v>
      </c>
      <c r="G64" s="51" t="s">
        <v>141</v>
      </c>
      <c r="H64" s="51">
        <v>9141000132</v>
      </c>
      <c r="I64" s="51" t="s">
        <v>85</v>
      </c>
      <c r="J64" s="51">
        <v>765</v>
      </c>
      <c r="K64" s="51" t="s">
        <v>184</v>
      </c>
      <c r="L64" s="51">
        <v>1141000319</v>
      </c>
      <c r="M64" s="51"/>
      <c r="N64" s="51" t="s">
        <v>321</v>
      </c>
      <c r="O64" s="138" t="s">
        <v>297</v>
      </c>
      <c r="P64" s="51" t="s">
        <v>146</v>
      </c>
      <c r="Q64" s="51" t="s">
        <v>147</v>
      </c>
      <c r="R64" s="51" t="s">
        <v>162</v>
      </c>
      <c r="S64" s="74">
        <v>143</v>
      </c>
      <c r="T64" s="74">
        <v>1433200</v>
      </c>
      <c r="U64" s="74"/>
      <c r="V64" s="74">
        <v>1433200</v>
      </c>
    </row>
    <row r="65" spans="1:22" ht="15" customHeight="1">
      <c r="A65" s="51">
        <v>4</v>
      </c>
      <c r="B65" s="51" t="s">
        <v>424</v>
      </c>
      <c r="C65" s="51" t="s">
        <v>425</v>
      </c>
      <c r="D65" s="51" t="s">
        <v>426</v>
      </c>
      <c r="E65" s="51" t="s">
        <v>425</v>
      </c>
      <c r="F65" s="51" t="s">
        <v>183</v>
      </c>
      <c r="G65" s="51" t="s">
        <v>141</v>
      </c>
      <c r="H65" s="51">
        <v>9141000133</v>
      </c>
      <c r="I65" s="51" t="s">
        <v>85</v>
      </c>
      <c r="J65" s="51">
        <v>765</v>
      </c>
      <c r="K65" s="51" t="s">
        <v>184</v>
      </c>
      <c r="L65" s="51">
        <v>1141000319</v>
      </c>
      <c r="M65" s="51"/>
      <c r="N65" s="51" t="s">
        <v>321</v>
      </c>
      <c r="O65" s="138" t="s">
        <v>297</v>
      </c>
      <c r="P65" s="51" t="s">
        <v>146</v>
      </c>
      <c r="Q65" s="51" t="s">
        <v>147</v>
      </c>
      <c r="R65" s="51" t="s">
        <v>162</v>
      </c>
      <c r="S65" s="74">
        <v>0.1</v>
      </c>
      <c r="T65" s="74">
        <v>157652</v>
      </c>
      <c r="U65" s="74"/>
      <c r="V65" s="74">
        <v>157652</v>
      </c>
    </row>
    <row r="66" spans="1:22" ht="15" customHeight="1">
      <c r="A66" s="56"/>
      <c r="B66" s="56" t="s">
        <v>149</v>
      </c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139"/>
      <c r="P66" s="56" t="s">
        <v>146</v>
      </c>
      <c r="Q66" s="56"/>
      <c r="R66" s="56"/>
      <c r="S66" s="58">
        <v>143.1</v>
      </c>
      <c r="T66" s="58">
        <v>1590852</v>
      </c>
      <c r="U66" s="58"/>
      <c r="V66" s="58">
        <v>1590852</v>
      </c>
    </row>
    <row r="67" spans="1:22" ht="15" customHeight="1">
      <c r="A67" s="51">
        <v>5</v>
      </c>
      <c r="B67" s="51" t="s">
        <v>454</v>
      </c>
      <c r="C67" s="51" t="s">
        <v>455</v>
      </c>
      <c r="D67" s="51" t="s">
        <v>456</v>
      </c>
      <c r="E67" s="51" t="s">
        <v>455</v>
      </c>
      <c r="F67" s="51" t="s">
        <v>183</v>
      </c>
      <c r="G67" s="51" t="s">
        <v>141</v>
      </c>
      <c r="H67" s="51">
        <v>1005002394</v>
      </c>
      <c r="I67" s="51" t="s">
        <v>90</v>
      </c>
      <c r="J67" s="51">
        <v>15</v>
      </c>
      <c r="K67" s="51" t="s">
        <v>184</v>
      </c>
      <c r="L67" s="51">
        <v>1001026781</v>
      </c>
      <c r="M67" s="51" t="s">
        <v>457</v>
      </c>
      <c r="N67" s="51" t="s">
        <v>144</v>
      </c>
      <c r="O67" s="138" t="s">
        <v>145</v>
      </c>
      <c r="P67" s="51" t="s">
        <v>146</v>
      </c>
      <c r="Q67" s="51" t="s">
        <v>147</v>
      </c>
      <c r="R67" s="51" t="s">
        <v>148</v>
      </c>
      <c r="S67" s="74">
        <v>124800</v>
      </c>
      <c r="T67" s="74">
        <v>6240000</v>
      </c>
      <c r="U67" s="74"/>
      <c r="V67" s="74">
        <v>6240000</v>
      </c>
    </row>
    <row r="68" spans="1:22" ht="15" customHeight="1">
      <c r="A68" s="51">
        <v>5</v>
      </c>
      <c r="B68" s="51" t="s">
        <v>454</v>
      </c>
      <c r="C68" s="51" t="s">
        <v>455</v>
      </c>
      <c r="D68" s="51" t="s">
        <v>456</v>
      </c>
      <c r="E68" s="51" t="s">
        <v>455</v>
      </c>
      <c r="F68" s="51" t="s">
        <v>183</v>
      </c>
      <c r="G68" s="51" t="s">
        <v>141</v>
      </c>
      <c r="H68" s="51">
        <v>1005002395</v>
      </c>
      <c r="I68" s="51" t="s">
        <v>90</v>
      </c>
      <c r="J68" s="51">
        <v>15</v>
      </c>
      <c r="K68" s="51" t="s">
        <v>184</v>
      </c>
      <c r="L68" s="51">
        <v>1001026797</v>
      </c>
      <c r="M68" s="51" t="s">
        <v>458</v>
      </c>
      <c r="N68" s="51" t="s">
        <v>144</v>
      </c>
      <c r="O68" s="138" t="s">
        <v>145</v>
      </c>
      <c r="P68" s="51" t="s">
        <v>146</v>
      </c>
      <c r="Q68" s="51" t="s">
        <v>147</v>
      </c>
      <c r="R68" s="51" t="s">
        <v>148</v>
      </c>
      <c r="S68" s="74">
        <v>149780</v>
      </c>
      <c r="T68" s="74">
        <v>7489000</v>
      </c>
      <c r="U68" s="74"/>
      <c r="V68" s="74">
        <v>7489000</v>
      </c>
    </row>
    <row r="69" spans="1:22" ht="15" customHeight="1">
      <c r="A69" s="51">
        <v>5</v>
      </c>
      <c r="B69" s="51" t="s">
        <v>454</v>
      </c>
      <c r="C69" s="51" t="s">
        <v>455</v>
      </c>
      <c r="D69" s="51" t="s">
        <v>456</v>
      </c>
      <c r="E69" s="51" t="s">
        <v>455</v>
      </c>
      <c r="F69" s="51" t="s">
        <v>183</v>
      </c>
      <c r="G69" s="51" t="s">
        <v>141</v>
      </c>
      <c r="H69" s="51">
        <v>1005002396</v>
      </c>
      <c r="I69" s="51" t="s">
        <v>90</v>
      </c>
      <c r="J69" s="51">
        <v>15</v>
      </c>
      <c r="K69" s="51" t="s">
        <v>184</v>
      </c>
      <c r="L69" s="51">
        <v>1001026837</v>
      </c>
      <c r="M69" s="51" t="s">
        <v>459</v>
      </c>
      <c r="N69" s="51" t="s">
        <v>144</v>
      </c>
      <c r="O69" s="138" t="s">
        <v>145</v>
      </c>
      <c r="P69" s="51" t="s">
        <v>146</v>
      </c>
      <c r="Q69" s="51" t="s">
        <v>147</v>
      </c>
      <c r="R69" s="51" t="s">
        <v>148</v>
      </c>
      <c r="S69" s="74">
        <v>74990</v>
      </c>
      <c r="T69" s="74">
        <v>3749500</v>
      </c>
      <c r="U69" s="74"/>
      <c r="V69" s="74">
        <v>3749500</v>
      </c>
    </row>
    <row r="70" spans="1:22" ht="15" customHeight="1">
      <c r="A70" s="51">
        <v>5</v>
      </c>
      <c r="B70" s="51" t="s">
        <v>454</v>
      </c>
      <c r="C70" s="51" t="s">
        <v>455</v>
      </c>
      <c r="D70" s="51" t="s">
        <v>456</v>
      </c>
      <c r="E70" s="51" t="s">
        <v>455</v>
      </c>
      <c r="F70" s="51" t="s">
        <v>183</v>
      </c>
      <c r="G70" s="51" t="s">
        <v>141</v>
      </c>
      <c r="H70" s="51">
        <v>1005002397</v>
      </c>
      <c r="I70" s="51" t="s">
        <v>90</v>
      </c>
      <c r="J70" s="51">
        <v>15</v>
      </c>
      <c r="K70" s="51" t="s">
        <v>184</v>
      </c>
      <c r="L70" s="51">
        <v>1001026859</v>
      </c>
      <c r="M70" s="51" t="s">
        <v>460</v>
      </c>
      <c r="N70" s="51" t="s">
        <v>144</v>
      </c>
      <c r="O70" s="138" t="s">
        <v>145</v>
      </c>
      <c r="P70" s="51" t="s">
        <v>146</v>
      </c>
      <c r="Q70" s="51" t="s">
        <v>147</v>
      </c>
      <c r="R70" s="51" t="s">
        <v>148</v>
      </c>
      <c r="S70" s="74">
        <v>145310</v>
      </c>
      <c r="T70" s="74">
        <v>8117000</v>
      </c>
      <c r="U70" s="74"/>
      <c r="V70" s="74">
        <v>8117000</v>
      </c>
    </row>
    <row r="71" spans="1:22" ht="15" customHeight="1">
      <c r="A71" s="51">
        <v>5</v>
      </c>
      <c r="B71" s="51" t="s">
        <v>454</v>
      </c>
      <c r="C71" s="51" t="s">
        <v>455</v>
      </c>
      <c r="D71" s="51" t="s">
        <v>456</v>
      </c>
      <c r="E71" s="51" t="s">
        <v>455</v>
      </c>
      <c r="F71" s="51" t="s">
        <v>183</v>
      </c>
      <c r="G71" s="51" t="s">
        <v>141</v>
      </c>
      <c r="H71" s="51">
        <v>1005002398</v>
      </c>
      <c r="I71" s="51" t="s">
        <v>90</v>
      </c>
      <c r="J71" s="51">
        <v>15</v>
      </c>
      <c r="K71" s="51" t="s">
        <v>184</v>
      </c>
      <c r="L71" s="51">
        <v>1001026931</v>
      </c>
      <c r="M71" s="51" t="s">
        <v>461</v>
      </c>
      <c r="N71" s="51" t="s">
        <v>144</v>
      </c>
      <c r="O71" s="138" t="s">
        <v>145</v>
      </c>
      <c r="P71" s="51" t="s">
        <v>146</v>
      </c>
      <c r="Q71" s="51" t="s">
        <v>147</v>
      </c>
      <c r="R71" s="51" t="s">
        <v>148</v>
      </c>
      <c r="S71" s="74">
        <v>500340</v>
      </c>
      <c r="T71" s="74">
        <v>20745000</v>
      </c>
      <c r="U71" s="74"/>
      <c r="V71" s="74">
        <v>20745000</v>
      </c>
    </row>
    <row r="72" spans="1:22" ht="15" customHeight="1">
      <c r="A72" s="51">
        <v>5</v>
      </c>
      <c r="B72" s="51" t="s">
        <v>454</v>
      </c>
      <c r="C72" s="51" t="s">
        <v>455</v>
      </c>
      <c r="D72" s="51" t="s">
        <v>456</v>
      </c>
      <c r="E72" s="51" t="s">
        <v>455</v>
      </c>
      <c r="F72" s="51" t="s">
        <v>183</v>
      </c>
      <c r="G72" s="51" t="s">
        <v>141</v>
      </c>
      <c r="H72" s="51">
        <v>1005002400</v>
      </c>
      <c r="I72" s="51" t="s">
        <v>90</v>
      </c>
      <c r="J72" s="51">
        <v>15</v>
      </c>
      <c r="K72" s="51" t="s">
        <v>184</v>
      </c>
      <c r="L72" s="51">
        <v>1001026983</v>
      </c>
      <c r="M72" s="51" t="s">
        <v>462</v>
      </c>
      <c r="N72" s="51" t="s">
        <v>144</v>
      </c>
      <c r="O72" s="138" t="s">
        <v>145</v>
      </c>
      <c r="P72" s="51" t="s">
        <v>146</v>
      </c>
      <c r="Q72" s="51" t="s">
        <v>147</v>
      </c>
      <c r="R72" s="51" t="s">
        <v>148</v>
      </c>
      <c r="S72" s="74">
        <v>150060</v>
      </c>
      <c r="T72" s="74">
        <v>6214750</v>
      </c>
      <c r="U72" s="74"/>
      <c r="V72" s="74">
        <v>6214750</v>
      </c>
    </row>
    <row r="73" spans="1:22" ht="15" customHeight="1">
      <c r="A73" s="51">
        <v>5</v>
      </c>
      <c r="B73" s="51" t="s">
        <v>454</v>
      </c>
      <c r="C73" s="51" t="s">
        <v>455</v>
      </c>
      <c r="D73" s="51" t="s">
        <v>456</v>
      </c>
      <c r="E73" s="51" t="s">
        <v>455</v>
      </c>
      <c r="F73" s="51" t="s">
        <v>183</v>
      </c>
      <c r="G73" s="51" t="s">
        <v>141</v>
      </c>
      <c r="H73" s="51">
        <v>1005002401</v>
      </c>
      <c r="I73" s="51" t="s">
        <v>90</v>
      </c>
      <c r="J73" s="51">
        <v>15</v>
      </c>
      <c r="K73" s="51" t="s">
        <v>184</v>
      </c>
      <c r="L73" s="51">
        <v>1001027019</v>
      </c>
      <c r="M73" s="51" t="s">
        <v>463</v>
      </c>
      <c r="N73" s="51" t="s">
        <v>144</v>
      </c>
      <c r="O73" s="138" t="s">
        <v>145</v>
      </c>
      <c r="P73" s="51" t="s">
        <v>146</v>
      </c>
      <c r="Q73" s="51" t="s">
        <v>147</v>
      </c>
      <c r="R73" s="51" t="s">
        <v>148</v>
      </c>
      <c r="S73" s="74">
        <v>124930</v>
      </c>
      <c r="T73" s="74">
        <v>6246500</v>
      </c>
      <c r="U73" s="74"/>
      <c r="V73" s="74">
        <v>6246500</v>
      </c>
    </row>
    <row r="74" spans="1:22" ht="15" customHeight="1">
      <c r="A74" s="51">
        <v>5</v>
      </c>
      <c r="B74" s="51" t="s">
        <v>454</v>
      </c>
      <c r="C74" s="51" t="s">
        <v>455</v>
      </c>
      <c r="D74" s="51" t="s">
        <v>456</v>
      </c>
      <c r="E74" s="51" t="s">
        <v>455</v>
      </c>
      <c r="F74" s="51" t="s">
        <v>183</v>
      </c>
      <c r="G74" s="51" t="s">
        <v>141</v>
      </c>
      <c r="H74" s="51">
        <v>1005002402</v>
      </c>
      <c r="I74" s="51" t="s">
        <v>90</v>
      </c>
      <c r="J74" s="51">
        <v>15</v>
      </c>
      <c r="K74" s="51" t="s">
        <v>184</v>
      </c>
      <c r="L74" s="51">
        <v>1001027089</v>
      </c>
      <c r="M74" s="51" t="s">
        <v>464</v>
      </c>
      <c r="N74" s="51" t="s">
        <v>144</v>
      </c>
      <c r="O74" s="138" t="s">
        <v>145</v>
      </c>
      <c r="P74" s="51" t="s">
        <v>146</v>
      </c>
      <c r="Q74" s="51" t="s">
        <v>147</v>
      </c>
      <c r="R74" s="51" t="s">
        <v>148</v>
      </c>
      <c r="S74" s="74">
        <v>74870</v>
      </c>
      <c r="T74" s="74">
        <v>3313750</v>
      </c>
      <c r="U74" s="74"/>
      <c r="V74" s="74">
        <v>3313750</v>
      </c>
    </row>
    <row r="75" spans="1:22" ht="15" customHeight="1">
      <c r="A75" s="51">
        <v>5</v>
      </c>
      <c r="B75" s="51" t="s">
        <v>454</v>
      </c>
      <c r="C75" s="51" t="s">
        <v>455</v>
      </c>
      <c r="D75" s="51" t="s">
        <v>456</v>
      </c>
      <c r="E75" s="51" t="s">
        <v>455</v>
      </c>
      <c r="F75" s="51" t="s">
        <v>183</v>
      </c>
      <c r="G75" s="51" t="s">
        <v>141</v>
      </c>
      <c r="H75" s="51">
        <v>1005002403</v>
      </c>
      <c r="I75" s="51" t="s">
        <v>90</v>
      </c>
      <c r="J75" s="51">
        <v>15</v>
      </c>
      <c r="K75" s="51" t="s">
        <v>184</v>
      </c>
      <c r="L75" s="51">
        <v>1001027121</v>
      </c>
      <c r="M75" s="51" t="s">
        <v>465</v>
      </c>
      <c r="N75" s="51" t="s">
        <v>144</v>
      </c>
      <c r="O75" s="138" t="s">
        <v>145</v>
      </c>
      <c r="P75" s="51" t="s">
        <v>146</v>
      </c>
      <c r="Q75" s="51" t="s">
        <v>147</v>
      </c>
      <c r="R75" s="51" t="s">
        <v>148</v>
      </c>
      <c r="S75" s="74">
        <v>149830</v>
      </c>
      <c r="T75" s="74">
        <v>8228000</v>
      </c>
      <c r="U75" s="74"/>
      <c r="V75" s="74">
        <v>8228000</v>
      </c>
    </row>
    <row r="76" spans="1:22" ht="15" customHeight="1">
      <c r="A76" s="51">
        <v>5</v>
      </c>
      <c r="B76" s="51" t="s">
        <v>454</v>
      </c>
      <c r="C76" s="51" t="s">
        <v>455</v>
      </c>
      <c r="D76" s="51" t="s">
        <v>456</v>
      </c>
      <c r="E76" s="51" t="s">
        <v>455</v>
      </c>
      <c r="F76" s="51" t="s">
        <v>183</v>
      </c>
      <c r="G76" s="51" t="s">
        <v>141</v>
      </c>
      <c r="H76" s="51">
        <v>1005002404</v>
      </c>
      <c r="I76" s="51" t="s">
        <v>90</v>
      </c>
      <c r="J76" s="51">
        <v>15</v>
      </c>
      <c r="K76" s="51" t="s">
        <v>184</v>
      </c>
      <c r="L76" s="51">
        <v>1001027164</v>
      </c>
      <c r="M76" s="51" t="s">
        <v>466</v>
      </c>
      <c r="N76" s="51" t="s">
        <v>144</v>
      </c>
      <c r="O76" s="138" t="s">
        <v>145</v>
      </c>
      <c r="P76" s="51" t="s">
        <v>146</v>
      </c>
      <c r="Q76" s="51" t="s">
        <v>147</v>
      </c>
      <c r="R76" s="51" t="s">
        <v>148</v>
      </c>
      <c r="S76" s="74">
        <v>125140</v>
      </c>
      <c r="T76" s="74">
        <v>5080250</v>
      </c>
      <c r="U76" s="74"/>
      <c r="V76" s="74">
        <v>5080250</v>
      </c>
    </row>
    <row r="77" spans="1:22" ht="15" customHeight="1">
      <c r="A77" s="51">
        <v>5</v>
      </c>
      <c r="B77" s="51" t="s">
        <v>454</v>
      </c>
      <c r="C77" s="51" t="s">
        <v>455</v>
      </c>
      <c r="D77" s="51" t="s">
        <v>456</v>
      </c>
      <c r="E77" s="51" t="s">
        <v>455</v>
      </c>
      <c r="F77" s="51" t="s">
        <v>183</v>
      </c>
      <c r="G77" s="51" t="s">
        <v>141</v>
      </c>
      <c r="H77" s="51">
        <v>1005002405</v>
      </c>
      <c r="I77" s="51" t="s">
        <v>90</v>
      </c>
      <c r="J77" s="51">
        <v>15</v>
      </c>
      <c r="K77" s="51" t="s">
        <v>184</v>
      </c>
      <c r="L77" s="51">
        <v>1001027208</v>
      </c>
      <c r="M77" s="51" t="s">
        <v>467</v>
      </c>
      <c r="N77" s="51" t="s">
        <v>144</v>
      </c>
      <c r="O77" s="138" t="s">
        <v>145</v>
      </c>
      <c r="P77" s="51" t="s">
        <v>146</v>
      </c>
      <c r="Q77" s="51" t="s">
        <v>147</v>
      </c>
      <c r="R77" s="51" t="s">
        <v>148</v>
      </c>
      <c r="S77" s="74">
        <v>75080</v>
      </c>
      <c r="T77" s="74">
        <v>3754000</v>
      </c>
      <c r="U77" s="74"/>
      <c r="V77" s="74">
        <v>3754000</v>
      </c>
    </row>
    <row r="78" spans="1:22" ht="15" customHeight="1">
      <c r="A78" s="51">
        <v>5</v>
      </c>
      <c r="B78" s="51" t="s">
        <v>454</v>
      </c>
      <c r="C78" s="51" t="s">
        <v>455</v>
      </c>
      <c r="D78" s="51" t="s">
        <v>456</v>
      </c>
      <c r="E78" s="51" t="s">
        <v>455</v>
      </c>
      <c r="F78" s="51" t="s">
        <v>183</v>
      </c>
      <c r="G78" s="51" t="s">
        <v>141</v>
      </c>
      <c r="H78" s="51">
        <v>1005002406</v>
      </c>
      <c r="I78" s="51" t="s">
        <v>90</v>
      </c>
      <c r="J78" s="51">
        <v>15</v>
      </c>
      <c r="K78" s="51" t="s">
        <v>184</v>
      </c>
      <c r="L78" s="51">
        <v>1001027234</v>
      </c>
      <c r="M78" s="51" t="s">
        <v>468</v>
      </c>
      <c r="N78" s="51" t="s">
        <v>144</v>
      </c>
      <c r="O78" s="138" t="s">
        <v>145</v>
      </c>
      <c r="P78" s="51" t="s">
        <v>146</v>
      </c>
      <c r="Q78" s="51" t="s">
        <v>147</v>
      </c>
      <c r="R78" s="51" t="s">
        <v>148</v>
      </c>
      <c r="S78" s="74">
        <v>124740</v>
      </c>
      <c r="T78" s="74">
        <v>5816500</v>
      </c>
      <c r="U78" s="74"/>
      <c r="V78" s="74">
        <v>5816500</v>
      </c>
    </row>
    <row r="79" spans="1:22" ht="15" customHeight="1">
      <c r="A79" s="56"/>
      <c r="B79" s="56" t="s">
        <v>149</v>
      </c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139"/>
      <c r="P79" s="56" t="s">
        <v>146</v>
      </c>
      <c r="Q79" s="56"/>
      <c r="R79" s="56"/>
      <c r="S79" s="58">
        <v>1819870</v>
      </c>
      <c r="T79" s="58">
        <v>84994250</v>
      </c>
      <c r="U79" s="58"/>
      <c r="V79" s="58">
        <v>84994250</v>
      </c>
    </row>
    <row r="80" spans="1:22" ht="15" customHeight="1">
      <c r="A80" s="51">
        <v>6</v>
      </c>
      <c r="B80" s="51" t="s">
        <v>486</v>
      </c>
      <c r="C80" s="51" t="s">
        <v>487</v>
      </c>
      <c r="D80" s="51" t="s">
        <v>456</v>
      </c>
      <c r="E80" s="51" t="s">
        <v>487</v>
      </c>
      <c r="F80" s="51" t="s">
        <v>183</v>
      </c>
      <c r="G80" s="51" t="s">
        <v>141</v>
      </c>
      <c r="H80" s="51">
        <v>1005002428</v>
      </c>
      <c r="I80" s="51" t="s">
        <v>11</v>
      </c>
      <c r="J80" s="51">
        <v>14</v>
      </c>
      <c r="K80" s="51" t="s">
        <v>184</v>
      </c>
      <c r="L80" s="51">
        <v>1001027615</v>
      </c>
      <c r="M80" s="51" t="s">
        <v>488</v>
      </c>
      <c r="N80" s="51" t="s">
        <v>144</v>
      </c>
      <c r="O80" s="138" t="s">
        <v>145</v>
      </c>
      <c r="P80" s="51" t="s">
        <v>146</v>
      </c>
      <c r="Q80" s="51" t="s">
        <v>147</v>
      </c>
      <c r="R80" s="51" t="s">
        <v>148</v>
      </c>
      <c r="S80" s="74">
        <v>17260</v>
      </c>
      <c r="T80" s="74">
        <v>431500</v>
      </c>
      <c r="U80" s="74"/>
      <c r="V80" s="74">
        <v>431500</v>
      </c>
    </row>
    <row r="81" spans="1:22" ht="15" customHeight="1">
      <c r="A81" s="51">
        <v>6</v>
      </c>
      <c r="B81" s="51" t="s">
        <v>486</v>
      </c>
      <c r="C81" s="51" t="s">
        <v>487</v>
      </c>
      <c r="D81" s="51" t="s">
        <v>456</v>
      </c>
      <c r="E81" s="51" t="s">
        <v>487</v>
      </c>
      <c r="F81" s="51" t="s">
        <v>183</v>
      </c>
      <c r="G81" s="51" t="s">
        <v>141</v>
      </c>
      <c r="H81" s="51">
        <v>1005002429</v>
      </c>
      <c r="I81" s="51" t="s">
        <v>11</v>
      </c>
      <c r="J81" s="51">
        <v>14</v>
      </c>
      <c r="K81" s="51" t="s">
        <v>184</v>
      </c>
      <c r="L81" s="51">
        <v>1001027665</v>
      </c>
      <c r="M81" s="51" t="s">
        <v>489</v>
      </c>
      <c r="N81" s="51" t="s">
        <v>144</v>
      </c>
      <c r="O81" s="138" t="s">
        <v>145</v>
      </c>
      <c r="P81" s="51" t="s">
        <v>146</v>
      </c>
      <c r="Q81" s="51" t="s">
        <v>147</v>
      </c>
      <c r="R81" s="51" t="s">
        <v>148</v>
      </c>
      <c r="S81" s="74">
        <v>116370</v>
      </c>
      <c r="T81" s="74">
        <v>2909250</v>
      </c>
      <c r="U81" s="74"/>
      <c r="V81" s="74">
        <v>2909250</v>
      </c>
    </row>
    <row r="82" spans="1:22" ht="15" customHeight="1">
      <c r="A82" s="51">
        <v>6</v>
      </c>
      <c r="B82" s="51" t="s">
        <v>486</v>
      </c>
      <c r="C82" s="51" t="s">
        <v>487</v>
      </c>
      <c r="D82" s="51" t="s">
        <v>456</v>
      </c>
      <c r="E82" s="51" t="s">
        <v>487</v>
      </c>
      <c r="F82" s="51" t="s">
        <v>183</v>
      </c>
      <c r="G82" s="51" t="s">
        <v>141</v>
      </c>
      <c r="H82" s="51">
        <v>1005002430</v>
      </c>
      <c r="I82" s="51" t="s">
        <v>11</v>
      </c>
      <c r="J82" s="51">
        <v>14</v>
      </c>
      <c r="K82" s="51" t="s">
        <v>184</v>
      </c>
      <c r="L82" s="51">
        <v>1001027669</v>
      </c>
      <c r="M82" s="51" t="s">
        <v>490</v>
      </c>
      <c r="N82" s="51" t="s">
        <v>144</v>
      </c>
      <c r="O82" s="138" t="s">
        <v>145</v>
      </c>
      <c r="P82" s="51" t="s">
        <v>146</v>
      </c>
      <c r="Q82" s="51" t="s">
        <v>147</v>
      </c>
      <c r="R82" s="51" t="s">
        <v>148</v>
      </c>
      <c r="S82" s="74">
        <v>125320</v>
      </c>
      <c r="T82" s="74">
        <v>3133000</v>
      </c>
      <c r="U82" s="74"/>
      <c r="V82" s="74">
        <v>3133000</v>
      </c>
    </row>
    <row r="83" spans="1:22" ht="15" customHeight="1">
      <c r="A83" s="51">
        <v>6</v>
      </c>
      <c r="B83" s="51" t="s">
        <v>486</v>
      </c>
      <c r="C83" s="51" t="s">
        <v>487</v>
      </c>
      <c r="D83" s="51" t="s">
        <v>456</v>
      </c>
      <c r="E83" s="51" t="s">
        <v>487</v>
      </c>
      <c r="F83" s="51" t="s">
        <v>183</v>
      </c>
      <c r="G83" s="51" t="s">
        <v>141</v>
      </c>
      <c r="H83" s="51">
        <v>1005002431</v>
      </c>
      <c r="I83" s="51" t="s">
        <v>11</v>
      </c>
      <c r="J83" s="51">
        <v>14</v>
      </c>
      <c r="K83" s="51" t="s">
        <v>184</v>
      </c>
      <c r="L83" s="51">
        <v>1001027704</v>
      </c>
      <c r="M83" s="51" t="s">
        <v>491</v>
      </c>
      <c r="N83" s="51" t="s">
        <v>144</v>
      </c>
      <c r="O83" s="138" t="s">
        <v>145</v>
      </c>
      <c r="P83" s="51" t="s">
        <v>146</v>
      </c>
      <c r="Q83" s="51" t="s">
        <v>147</v>
      </c>
      <c r="R83" s="51" t="s">
        <v>148</v>
      </c>
      <c r="S83" s="74">
        <v>146570</v>
      </c>
      <c r="T83" s="74">
        <v>3664250</v>
      </c>
      <c r="U83" s="74"/>
      <c r="V83" s="74">
        <v>3664250</v>
      </c>
    </row>
    <row r="84" spans="1:22" ht="15" customHeight="1">
      <c r="A84" s="51">
        <v>6</v>
      </c>
      <c r="B84" s="51" t="s">
        <v>486</v>
      </c>
      <c r="C84" s="51" t="s">
        <v>487</v>
      </c>
      <c r="D84" s="51" t="s">
        <v>456</v>
      </c>
      <c r="E84" s="51" t="s">
        <v>487</v>
      </c>
      <c r="F84" s="51" t="s">
        <v>183</v>
      </c>
      <c r="G84" s="51" t="s">
        <v>141</v>
      </c>
      <c r="H84" s="51">
        <v>1005002432</v>
      </c>
      <c r="I84" s="51" t="s">
        <v>11</v>
      </c>
      <c r="J84" s="51">
        <v>14</v>
      </c>
      <c r="K84" s="51" t="s">
        <v>184</v>
      </c>
      <c r="L84" s="51">
        <v>1001027731</v>
      </c>
      <c r="M84" s="51" t="s">
        <v>492</v>
      </c>
      <c r="N84" s="51" t="s">
        <v>144</v>
      </c>
      <c r="O84" s="138" t="s">
        <v>145</v>
      </c>
      <c r="P84" s="51" t="s">
        <v>146</v>
      </c>
      <c r="Q84" s="51" t="s">
        <v>147</v>
      </c>
      <c r="R84" s="51" t="s">
        <v>148</v>
      </c>
      <c r="S84" s="74">
        <v>55540</v>
      </c>
      <c r="T84" s="74">
        <v>1388500</v>
      </c>
      <c r="U84" s="74"/>
      <c r="V84" s="74">
        <v>1388500</v>
      </c>
    </row>
    <row r="85" spans="1:22" ht="15" customHeight="1">
      <c r="A85" s="51">
        <v>6</v>
      </c>
      <c r="B85" s="51" t="s">
        <v>486</v>
      </c>
      <c r="C85" s="51" t="s">
        <v>487</v>
      </c>
      <c r="D85" s="51" t="s">
        <v>456</v>
      </c>
      <c r="E85" s="51" t="s">
        <v>487</v>
      </c>
      <c r="F85" s="51" t="s">
        <v>183</v>
      </c>
      <c r="G85" s="51" t="s">
        <v>141</v>
      </c>
      <c r="H85" s="51">
        <v>1005002433</v>
      </c>
      <c r="I85" s="51" t="s">
        <v>11</v>
      </c>
      <c r="J85" s="51">
        <v>14</v>
      </c>
      <c r="K85" s="51" t="s">
        <v>184</v>
      </c>
      <c r="L85" s="51">
        <v>1001027760</v>
      </c>
      <c r="M85" s="51" t="s">
        <v>493</v>
      </c>
      <c r="N85" s="51" t="s">
        <v>144</v>
      </c>
      <c r="O85" s="138" t="s">
        <v>145</v>
      </c>
      <c r="P85" s="51" t="s">
        <v>146</v>
      </c>
      <c r="Q85" s="51" t="s">
        <v>147</v>
      </c>
      <c r="R85" s="51" t="s">
        <v>148</v>
      </c>
      <c r="S85" s="74">
        <v>101690</v>
      </c>
      <c r="T85" s="74">
        <v>2542250</v>
      </c>
      <c r="U85" s="74"/>
      <c r="V85" s="74">
        <v>2542250</v>
      </c>
    </row>
    <row r="86" spans="1:22" ht="15" customHeight="1">
      <c r="A86" s="51">
        <v>6</v>
      </c>
      <c r="B86" s="51" t="s">
        <v>486</v>
      </c>
      <c r="C86" s="51" t="s">
        <v>487</v>
      </c>
      <c r="D86" s="51" t="s">
        <v>456</v>
      </c>
      <c r="E86" s="51" t="s">
        <v>487</v>
      </c>
      <c r="F86" s="51" t="s">
        <v>183</v>
      </c>
      <c r="G86" s="51" t="s">
        <v>141</v>
      </c>
      <c r="H86" s="51">
        <v>1005002434</v>
      </c>
      <c r="I86" s="51" t="s">
        <v>11</v>
      </c>
      <c r="J86" s="51">
        <v>14</v>
      </c>
      <c r="K86" s="51" t="s">
        <v>184</v>
      </c>
      <c r="L86" s="51">
        <v>1001027814</v>
      </c>
      <c r="M86" s="51" t="s">
        <v>494</v>
      </c>
      <c r="N86" s="51" t="s">
        <v>144</v>
      </c>
      <c r="O86" s="138" t="s">
        <v>145</v>
      </c>
      <c r="P86" s="51" t="s">
        <v>146</v>
      </c>
      <c r="Q86" s="51" t="s">
        <v>147</v>
      </c>
      <c r="R86" s="51" t="s">
        <v>148</v>
      </c>
      <c r="S86" s="74">
        <v>250100</v>
      </c>
      <c r="T86" s="74">
        <v>6252500</v>
      </c>
      <c r="U86" s="74"/>
      <c r="V86" s="74">
        <v>6252500</v>
      </c>
    </row>
    <row r="87" spans="1:22" ht="15" customHeight="1">
      <c r="A87" s="56"/>
      <c r="B87" s="56" t="s">
        <v>149</v>
      </c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139"/>
      <c r="P87" s="56" t="s">
        <v>146</v>
      </c>
      <c r="Q87" s="56"/>
      <c r="R87" s="56"/>
      <c r="S87" s="58">
        <v>812850</v>
      </c>
      <c r="T87" s="58">
        <v>20321250</v>
      </c>
      <c r="U87" s="58"/>
      <c r="V87" s="58">
        <v>20321250</v>
      </c>
    </row>
    <row r="88" spans="1:22" ht="15" customHeight="1">
      <c r="A88" s="51">
        <v>7</v>
      </c>
      <c r="B88" s="51" t="s">
        <v>549</v>
      </c>
      <c r="C88" s="51" t="s">
        <v>550</v>
      </c>
      <c r="D88" s="51" t="s">
        <v>535</v>
      </c>
      <c r="E88" s="51" t="s">
        <v>551</v>
      </c>
      <c r="F88" s="51" t="s">
        <v>183</v>
      </c>
      <c r="G88" s="51" t="s">
        <v>141</v>
      </c>
      <c r="H88" s="51">
        <v>1005001905</v>
      </c>
      <c r="I88" s="51" t="s">
        <v>102</v>
      </c>
      <c r="J88" s="51">
        <v>88</v>
      </c>
      <c r="K88" s="51" t="s">
        <v>184</v>
      </c>
      <c r="L88" s="51">
        <v>1001025626</v>
      </c>
      <c r="M88" s="51">
        <v>1152000000506</v>
      </c>
      <c r="N88" s="51" t="s">
        <v>334</v>
      </c>
      <c r="O88" s="138" t="s">
        <v>297</v>
      </c>
      <c r="P88" s="51" t="s">
        <v>146</v>
      </c>
      <c r="Q88" s="51" t="s">
        <v>147</v>
      </c>
      <c r="R88" s="51" t="s">
        <v>148</v>
      </c>
      <c r="S88" s="74">
        <v>343500</v>
      </c>
      <c r="T88" s="74">
        <v>16831500</v>
      </c>
      <c r="U88" s="74"/>
      <c r="V88" s="74">
        <v>16831500</v>
      </c>
    </row>
    <row r="89" spans="1:22" ht="15" customHeight="1">
      <c r="A89" s="51">
        <v>7</v>
      </c>
      <c r="B89" s="51" t="s">
        <v>549</v>
      </c>
      <c r="C89" s="51" t="s">
        <v>550</v>
      </c>
      <c r="D89" s="51" t="s">
        <v>535</v>
      </c>
      <c r="E89" s="51" t="s">
        <v>550</v>
      </c>
      <c r="F89" s="51" t="s">
        <v>183</v>
      </c>
      <c r="G89" s="51" t="s">
        <v>141</v>
      </c>
      <c r="H89" s="51">
        <v>1005002479</v>
      </c>
      <c r="I89" s="51" t="s">
        <v>48</v>
      </c>
      <c r="J89" s="51">
        <v>7</v>
      </c>
      <c r="K89" s="51" t="s">
        <v>184</v>
      </c>
      <c r="L89" s="51">
        <v>1001027596</v>
      </c>
      <c r="M89" s="51">
        <v>1152000000550</v>
      </c>
      <c r="N89" s="51" t="s">
        <v>144</v>
      </c>
      <c r="O89" s="138" t="s">
        <v>145</v>
      </c>
      <c r="P89" s="51" t="s">
        <v>146</v>
      </c>
      <c r="Q89" s="51" t="s">
        <v>147</v>
      </c>
      <c r="R89" s="51" t="s">
        <v>148</v>
      </c>
      <c r="S89" s="74">
        <v>7.34</v>
      </c>
      <c r="T89" s="74">
        <v>110724</v>
      </c>
      <c r="U89" s="74"/>
      <c r="V89" s="74">
        <v>110724</v>
      </c>
    </row>
    <row r="90" spans="1:22" ht="15" customHeight="1">
      <c r="A90" s="56"/>
      <c r="B90" s="56" t="s">
        <v>149</v>
      </c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139"/>
      <c r="P90" s="56" t="s">
        <v>146</v>
      </c>
      <c r="Q90" s="56"/>
      <c r="R90" s="56"/>
      <c r="S90" s="58">
        <v>343507.34</v>
      </c>
      <c r="T90" s="58">
        <v>16942224</v>
      </c>
      <c r="U90" s="58"/>
      <c r="V90" s="58">
        <v>16942224</v>
      </c>
    </row>
    <row r="91" spans="1:22" ht="15" customHeight="1">
      <c r="A91" s="51">
        <v>8</v>
      </c>
      <c r="B91" s="51" t="s">
        <v>552</v>
      </c>
      <c r="C91" s="51" t="s">
        <v>553</v>
      </c>
      <c r="D91" s="51" t="s">
        <v>535</v>
      </c>
      <c r="E91" s="51" t="s">
        <v>551</v>
      </c>
      <c r="F91" s="51" t="s">
        <v>183</v>
      </c>
      <c r="G91" s="51" t="s">
        <v>141</v>
      </c>
      <c r="H91" s="51">
        <v>1005001906</v>
      </c>
      <c r="I91" s="51" t="s">
        <v>102</v>
      </c>
      <c r="J91" s="51">
        <v>88</v>
      </c>
      <c r="K91" s="51" t="s">
        <v>184</v>
      </c>
      <c r="L91" s="51">
        <v>1001025610</v>
      </c>
      <c r="M91" s="51">
        <v>1202000000509</v>
      </c>
      <c r="N91" s="51" t="s">
        <v>334</v>
      </c>
      <c r="O91" s="138" t="s">
        <v>297</v>
      </c>
      <c r="P91" s="51" t="s">
        <v>146</v>
      </c>
      <c r="Q91" s="51" t="s">
        <v>147</v>
      </c>
      <c r="R91" s="51" t="s">
        <v>148</v>
      </c>
      <c r="S91" s="74">
        <v>394660</v>
      </c>
      <c r="T91" s="74">
        <v>19338340</v>
      </c>
      <c r="U91" s="74"/>
      <c r="V91" s="74">
        <v>19338340</v>
      </c>
    </row>
    <row r="92" spans="1:22" ht="15" customHeight="1">
      <c r="A92" s="51">
        <v>8</v>
      </c>
      <c r="B92" s="51" t="s">
        <v>552</v>
      </c>
      <c r="C92" s="51" t="s">
        <v>553</v>
      </c>
      <c r="D92" s="51" t="s">
        <v>535</v>
      </c>
      <c r="E92" s="51" t="s">
        <v>553</v>
      </c>
      <c r="F92" s="51" t="s">
        <v>183</v>
      </c>
      <c r="G92" s="51" t="s">
        <v>141</v>
      </c>
      <c r="H92" s="51">
        <v>1005002350</v>
      </c>
      <c r="I92" s="51" t="s">
        <v>47</v>
      </c>
      <c r="J92" s="51">
        <v>25</v>
      </c>
      <c r="K92" s="51" t="s">
        <v>184</v>
      </c>
      <c r="L92" s="51">
        <v>1001027228</v>
      </c>
      <c r="M92" s="51">
        <v>1202000000539</v>
      </c>
      <c r="N92" s="51" t="s">
        <v>144</v>
      </c>
      <c r="O92" s="138" t="s">
        <v>145</v>
      </c>
      <c r="P92" s="51" t="s">
        <v>146</v>
      </c>
      <c r="Q92" s="51" t="s">
        <v>147</v>
      </c>
      <c r="R92" s="51" t="s">
        <v>148</v>
      </c>
      <c r="S92" s="74">
        <v>73620</v>
      </c>
      <c r="T92" s="74">
        <v>7362000</v>
      </c>
      <c r="U92" s="74"/>
      <c r="V92" s="74">
        <v>7362000</v>
      </c>
    </row>
    <row r="93" spans="1:22" ht="15" customHeight="1">
      <c r="A93" s="51">
        <v>8</v>
      </c>
      <c r="B93" s="51" t="s">
        <v>552</v>
      </c>
      <c r="C93" s="51" t="s">
        <v>553</v>
      </c>
      <c r="D93" s="51" t="s">
        <v>535</v>
      </c>
      <c r="E93" s="51" t="s">
        <v>553</v>
      </c>
      <c r="F93" s="51" t="s">
        <v>183</v>
      </c>
      <c r="G93" s="51" t="s">
        <v>141</v>
      </c>
      <c r="H93" s="51">
        <v>1005002478</v>
      </c>
      <c r="I93" s="51" t="s">
        <v>48</v>
      </c>
      <c r="J93" s="51">
        <v>7</v>
      </c>
      <c r="K93" s="51" t="s">
        <v>184</v>
      </c>
      <c r="L93" s="51">
        <v>1001027824</v>
      </c>
      <c r="M93" s="51">
        <v>1202000000547</v>
      </c>
      <c r="N93" s="51" t="s">
        <v>144</v>
      </c>
      <c r="O93" s="138" t="s">
        <v>145</v>
      </c>
      <c r="P93" s="51" t="s">
        <v>146</v>
      </c>
      <c r="Q93" s="51" t="s">
        <v>147</v>
      </c>
      <c r="R93" s="51" t="s">
        <v>148</v>
      </c>
      <c r="S93" s="74">
        <v>60700</v>
      </c>
      <c r="T93" s="74">
        <v>6070000</v>
      </c>
      <c r="U93" s="74"/>
      <c r="V93" s="74">
        <v>6070000</v>
      </c>
    </row>
    <row r="94" spans="1:22" ht="15" customHeight="1">
      <c r="A94" s="56"/>
      <c r="B94" s="56" t="s">
        <v>149</v>
      </c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139"/>
      <c r="P94" s="56" t="s">
        <v>146</v>
      </c>
      <c r="Q94" s="56"/>
      <c r="R94" s="56"/>
      <c r="S94" s="58">
        <v>528980</v>
      </c>
      <c r="T94" s="58">
        <v>32770340</v>
      </c>
      <c r="U94" s="58"/>
      <c r="V94" s="58">
        <v>32770340</v>
      </c>
    </row>
    <row r="95" spans="1:22" ht="15" customHeight="1">
      <c r="A95" s="51">
        <v>9</v>
      </c>
      <c r="B95" s="51" t="s">
        <v>554</v>
      </c>
      <c r="C95" s="51" t="s">
        <v>555</v>
      </c>
      <c r="D95" s="51" t="s">
        <v>535</v>
      </c>
      <c r="E95" s="51" t="s">
        <v>240</v>
      </c>
      <c r="F95" s="51" t="s">
        <v>183</v>
      </c>
      <c r="G95" s="51" t="s">
        <v>141</v>
      </c>
      <c r="H95" s="51">
        <v>1005001098</v>
      </c>
      <c r="I95" s="51" t="s">
        <v>35</v>
      </c>
      <c r="J95" s="51">
        <v>224</v>
      </c>
      <c r="K95" s="51" t="s">
        <v>184</v>
      </c>
      <c r="L95" s="51">
        <v>1001019953</v>
      </c>
      <c r="M95" s="51">
        <v>1142000002309</v>
      </c>
      <c r="N95" s="51" t="s">
        <v>144</v>
      </c>
      <c r="O95" s="138" t="s">
        <v>145</v>
      </c>
      <c r="P95" s="51" t="s">
        <v>146</v>
      </c>
      <c r="Q95" s="51" t="s">
        <v>147</v>
      </c>
      <c r="R95" s="51" t="s">
        <v>148</v>
      </c>
      <c r="S95" s="74">
        <v>592450</v>
      </c>
      <c r="T95" s="74">
        <v>31629500</v>
      </c>
      <c r="U95" s="74"/>
      <c r="V95" s="74">
        <v>31629500</v>
      </c>
    </row>
    <row r="96" spans="1:22" ht="15" customHeight="1">
      <c r="A96" s="51">
        <v>9</v>
      </c>
      <c r="B96" s="51" t="s">
        <v>554</v>
      </c>
      <c r="C96" s="51" t="s">
        <v>555</v>
      </c>
      <c r="D96" s="51" t="s">
        <v>535</v>
      </c>
      <c r="E96" s="51" t="s">
        <v>240</v>
      </c>
      <c r="F96" s="51" t="s">
        <v>183</v>
      </c>
      <c r="G96" s="51" t="s">
        <v>141</v>
      </c>
      <c r="H96" s="51">
        <v>1005001099</v>
      </c>
      <c r="I96" s="51" t="s">
        <v>35</v>
      </c>
      <c r="J96" s="51">
        <v>224</v>
      </c>
      <c r="K96" s="51" t="s">
        <v>184</v>
      </c>
      <c r="L96" s="51">
        <v>1001020028</v>
      </c>
      <c r="M96" s="51">
        <v>1142000002317</v>
      </c>
      <c r="N96" s="51" t="s">
        <v>144</v>
      </c>
      <c r="O96" s="138" t="s">
        <v>145</v>
      </c>
      <c r="P96" s="51" t="s">
        <v>146</v>
      </c>
      <c r="Q96" s="51" t="s">
        <v>147</v>
      </c>
      <c r="R96" s="51" t="s">
        <v>148</v>
      </c>
      <c r="S96" s="74">
        <v>910540</v>
      </c>
      <c r="T96" s="74">
        <v>45527000</v>
      </c>
      <c r="U96" s="74"/>
      <c r="V96" s="74">
        <v>45527000</v>
      </c>
    </row>
    <row r="97" spans="1:22" ht="15" customHeight="1">
      <c r="A97" s="51">
        <v>9</v>
      </c>
      <c r="B97" s="51" t="s">
        <v>554</v>
      </c>
      <c r="C97" s="51" t="s">
        <v>555</v>
      </c>
      <c r="D97" s="51" t="s">
        <v>535</v>
      </c>
      <c r="E97" s="51" t="s">
        <v>240</v>
      </c>
      <c r="F97" s="51" t="s">
        <v>183</v>
      </c>
      <c r="G97" s="51" t="s">
        <v>141</v>
      </c>
      <c r="H97" s="51">
        <v>1005001107</v>
      </c>
      <c r="I97" s="51" t="s">
        <v>36</v>
      </c>
      <c r="J97" s="51">
        <v>220</v>
      </c>
      <c r="K97" s="51" t="s">
        <v>184</v>
      </c>
      <c r="L97" s="51">
        <v>1001020029</v>
      </c>
      <c r="M97" s="51">
        <v>1142000002318</v>
      </c>
      <c r="N97" s="51" t="s">
        <v>144</v>
      </c>
      <c r="O97" s="138" t="s">
        <v>145</v>
      </c>
      <c r="P97" s="51" t="s">
        <v>146</v>
      </c>
      <c r="Q97" s="51" t="s">
        <v>147</v>
      </c>
      <c r="R97" s="51" t="s">
        <v>148</v>
      </c>
      <c r="S97" s="74">
        <v>1012100</v>
      </c>
      <c r="T97" s="74">
        <v>50605000</v>
      </c>
      <c r="U97" s="74"/>
      <c r="V97" s="74">
        <v>50605000</v>
      </c>
    </row>
    <row r="98" spans="1:22" ht="15" customHeight="1">
      <c r="A98" s="51">
        <v>9</v>
      </c>
      <c r="B98" s="51" t="s">
        <v>554</v>
      </c>
      <c r="C98" s="51" t="s">
        <v>555</v>
      </c>
      <c r="D98" s="51" t="s">
        <v>535</v>
      </c>
      <c r="E98" s="51" t="s">
        <v>240</v>
      </c>
      <c r="F98" s="51" t="s">
        <v>183</v>
      </c>
      <c r="G98" s="51" t="s">
        <v>141</v>
      </c>
      <c r="H98" s="51">
        <v>1005001108</v>
      </c>
      <c r="I98" s="51" t="s">
        <v>36</v>
      </c>
      <c r="J98" s="51">
        <v>220</v>
      </c>
      <c r="K98" s="51" t="s">
        <v>184</v>
      </c>
      <c r="L98" s="51">
        <v>1001020058</v>
      </c>
      <c r="M98" s="51">
        <v>1142000002319</v>
      </c>
      <c r="N98" s="51" t="s">
        <v>144</v>
      </c>
      <c r="O98" s="138" t="s">
        <v>145</v>
      </c>
      <c r="P98" s="51" t="s">
        <v>146</v>
      </c>
      <c r="Q98" s="51" t="s">
        <v>147</v>
      </c>
      <c r="R98" s="51" t="s">
        <v>148</v>
      </c>
      <c r="S98" s="74">
        <v>985070</v>
      </c>
      <c r="T98" s="74">
        <v>49253500</v>
      </c>
      <c r="U98" s="74"/>
      <c r="V98" s="74">
        <v>49253500</v>
      </c>
    </row>
    <row r="99" spans="1:22" ht="15" customHeight="1">
      <c r="A99" s="51">
        <v>9</v>
      </c>
      <c r="B99" s="51" t="s">
        <v>554</v>
      </c>
      <c r="C99" s="51" t="s">
        <v>555</v>
      </c>
      <c r="D99" s="51" t="s">
        <v>535</v>
      </c>
      <c r="E99" s="51" t="s">
        <v>240</v>
      </c>
      <c r="F99" s="51" t="s">
        <v>183</v>
      </c>
      <c r="G99" s="51" t="s">
        <v>141</v>
      </c>
      <c r="H99" s="51">
        <v>1005001109</v>
      </c>
      <c r="I99" s="51" t="s">
        <v>36</v>
      </c>
      <c r="J99" s="51">
        <v>220</v>
      </c>
      <c r="K99" s="51" t="s">
        <v>184</v>
      </c>
      <c r="L99" s="51">
        <v>1001020059</v>
      </c>
      <c r="M99" s="51">
        <v>1142000002320</v>
      </c>
      <c r="N99" s="51" t="s">
        <v>144</v>
      </c>
      <c r="O99" s="138" t="s">
        <v>145</v>
      </c>
      <c r="P99" s="51" t="s">
        <v>146</v>
      </c>
      <c r="Q99" s="51" t="s">
        <v>147</v>
      </c>
      <c r="R99" s="51" t="s">
        <v>148</v>
      </c>
      <c r="S99" s="74">
        <v>1010710</v>
      </c>
      <c r="T99" s="74">
        <v>50535500</v>
      </c>
      <c r="U99" s="74"/>
      <c r="V99" s="74">
        <v>50535500</v>
      </c>
    </row>
    <row r="100" spans="1:22" ht="15" customHeight="1">
      <c r="A100" s="51">
        <v>9</v>
      </c>
      <c r="B100" s="51" t="s">
        <v>554</v>
      </c>
      <c r="C100" s="51" t="s">
        <v>555</v>
      </c>
      <c r="D100" s="51" t="s">
        <v>535</v>
      </c>
      <c r="E100" s="51" t="s">
        <v>240</v>
      </c>
      <c r="F100" s="51" t="s">
        <v>183</v>
      </c>
      <c r="G100" s="51" t="s">
        <v>141</v>
      </c>
      <c r="H100" s="51">
        <v>1005001111</v>
      </c>
      <c r="I100" s="51" t="s">
        <v>36</v>
      </c>
      <c r="J100" s="51">
        <v>220</v>
      </c>
      <c r="K100" s="51" t="s">
        <v>184</v>
      </c>
      <c r="L100" s="51">
        <v>1001020405</v>
      </c>
      <c r="M100" s="51">
        <v>1142000002344</v>
      </c>
      <c r="N100" s="51" t="s">
        <v>144</v>
      </c>
      <c r="O100" s="138" t="s">
        <v>145</v>
      </c>
      <c r="P100" s="51" t="s">
        <v>146</v>
      </c>
      <c r="Q100" s="51" t="s">
        <v>147</v>
      </c>
      <c r="R100" s="51" t="s">
        <v>148</v>
      </c>
      <c r="S100" s="74">
        <v>1014500</v>
      </c>
      <c r="T100" s="74">
        <v>50725000</v>
      </c>
      <c r="U100" s="74"/>
      <c r="V100" s="74">
        <v>50725000</v>
      </c>
    </row>
    <row r="101" spans="1:22" ht="15" customHeight="1">
      <c r="A101" s="51">
        <v>9</v>
      </c>
      <c r="B101" s="51" t="s">
        <v>554</v>
      </c>
      <c r="C101" s="51" t="s">
        <v>555</v>
      </c>
      <c r="D101" s="51" t="s">
        <v>535</v>
      </c>
      <c r="E101" s="51" t="s">
        <v>240</v>
      </c>
      <c r="F101" s="51" t="s">
        <v>183</v>
      </c>
      <c r="G101" s="51" t="s">
        <v>141</v>
      </c>
      <c r="H101" s="51">
        <v>1005001112</v>
      </c>
      <c r="I101" s="51" t="s">
        <v>36</v>
      </c>
      <c r="J101" s="51">
        <v>220</v>
      </c>
      <c r="K101" s="51" t="s">
        <v>184</v>
      </c>
      <c r="L101" s="51">
        <v>1001020406</v>
      </c>
      <c r="M101" s="51">
        <v>1142000002345</v>
      </c>
      <c r="N101" s="51" t="s">
        <v>144</v>
      </c>
      <c r="O101" s="138" t="s">
        <v>145</v>
      </c>
      <c r="P101" s="51" t="s">
        <v>146</v>
      </c>
      <c r="Q101" s="51" t="s">
        <v>147</v>
      </c>
      <c r="R101" s="51" t="s">
        <v>148</v>
      </c>
      <c r="S101" s="74">
        <v>876930</v>
      </c>
      <c r="T101" s="74">
        <v>43846500</v>
      </c>
      <c r="U101" s="74"/>
      <c r="V101" s="74">
        <v>43846500</v>
      </c>
    </row>
    <row r="102" spans="1:22" ht="15" customHeight="1">
      <c r="A102" s="51">
        <v>9</v>
      </c>
      <c r="B102" s="51" t="s">
        <v>554</v>
      </c>
      <c r="C102" s="51" t="s">
        <v>555</v>
      </c>
      <c r="D102" s="51" t="s">
        <v>535</v>
      </c>
      <c r="E102" s="51" t="s">
        <v>240</v>
      </c>
      <c r="F102" s="51" t="s">
        <v>183</v>
      </c>
      <c r="G102" s="51" t="s">
        <v>141</v>
      </c>
      <c r="H102" s="51">
        <v>1005001113</v>
      </c>
      <c r="I102" s="51" t="s">
        <v>36</v>
      </c>
      <c r="J102" s="51">
        <v>220</v>
      </c>
      <c r="K102" s="51" t="s">
        <v>184</v>
      </c>
      <c r="L102" s="51">
        <v>1001020913</v>
      </c>
      <c r="M102" s="51">
        <v>1142000002376</v>
      </c>
      <c r="N102" s="51" t="s">
        <v>144</v>
      </c>
      <c r="O102" s="138" t="s">
        <v>145</v>
      </c>
      <c r="P102" s="51" t="s">
        <v>146</v>
      </c>
      <c r="Q102" s="51" t="s">
        <v>147</v>
      </c>
      <c r="R102" s="51" t="s">
        <v>148</v>
      </c>
      <c r="S102" s="74">
        <v>759090</v>
      </c>
      <c r="T102" s="74">
        <v>37954500</v>
      </c>
      <c r="U102" s="74"/>
      <c r="V102" s="74">
        <v>37954500</v>
      </c>
    </row>
    <row r="103" spans="1:22" ht="15" customHeight="1">
      <c r="A103" s="51">
        <v>9</v>
      </c>
      <c r="B103" s="51" t="s">
        <v>554</v>
      </c>
      <c r="C103" s="51" t="s">
        <v>555</v>
      </c>
      <c r="D103" s="51" t="s">
        <v>535</v>
      </c>
      <c r="E103" s="51" t="s">
        <v>240</v>
      </c>
      <c r="F103" s="51" t="s">
        <v>183</v>
      </c>
      <c r="G103" s="51" t="s">
        <v>141</v>
      </c>
      <c r="H103" s="51">
        <v>1005001115</v>
      </c>
      <c r="I103" s="51" t="s">
        <v>36</v>
      </c>
      <c r="J103" s="51">
        <v>220</v>
      </c>
      <c r="K103" s="51" t="s">
        <v>184</v>
      </c>
      <c r="L103" s="51">
        <v>1001020914</v>
      </c>
      <c r="M103" s="51">
        <v>1142000002377</v>
      </c>
      <c r="N103" s="51" t="s">
        <v>144</v>
      </c>
      <c r="O103" s="138" t="s">
        <v>145</v>
      </c>
      <c r="P103" s="51" t="s">
        <v>146</v>
      </c>
      <c r="Q103" s="51" t="s">
        <v>147</v>
      </c>
      <c r="R103" s="51" t="s">
        <v>148</v>
      </c>
      <c r="S103" s="74">
        <v>1003590</v>
      </c>
      <c r="T103" s="74">
        <v>50179500</v>
      </c>
      <c r="U103" s="74"/>
      <c r="V103" s="74">
        <v>50179500</v>
      </c>
    </row>
    <row r="104" spans="1:22" ht="15" customHeight="1">
      <c r="A104" s="51">
        <v>9</v>
      </c>
      <c r="B104" s="51" t="s">
        <v>554</v>
      </c>
      <c r="C104" s="51" t="s">
        <v>555</v>
      </c>
      <c r="D104" s="51" t="s">
        <v>535</v>
      </c>
      <c r="E104" s="51" t="s">
        <v>240</v>
      </c>
      <c r="F104" s="51" t="s">
        <v>183</v>
      </c>
      <c r="G104" s="51" t="s">
        <v>141</v>
      </c>
      <c r="H104" s="51">
        <v>1005001116</v>
      </c>
      <c r="I104" s="51" t="s">
        <v>36</v>
      </c>
      <c r="J104" s="51">
        <v>220</v>
      </c>
      <c r="K104" s="51" t="s">
        <v>184</v>
      </c>
      <c r="L104" s="51">
        <v>1001020987</v>
      </c>
      <c r="M104" s="51">
        <v>1142000002383</v>
      </c>
      <c r="N104" s="51" t="s">
        <v>144</v>
      </c>
      <c r="O104" s="138" t="s">
        <v>145</v>
      </c>
      <c r="P104" s="51" t="s">
        <v>146</v>
      </c>
      <c r="Q104" s="51" t="s">
        <v>147</v>
      </c>
      <c r="R104" s="51" t="s">
        <v>148</v>
      </c>
      <c r="S104" s="74">
        <v>1000620</v>
      </c>
      <c r="T104" s="74">
        <v>50031000</v>
      </c>
      <c r="U104" s="74"/>
      <c r="V104" s="74">
        <v>50031000</v>
      </c>
    </row>
    <row r="105" spans="1:22" ht="15" customHeight="1">
      <c r="A105" s="51">
        <v>9</v>
      </c>
      <c r="B105" s="51" t="s">
        <v>554</v>
      </c>
      <c r="C105" s="51" t="s">
        <v>555</v>
      </c>
      <c r="D105" s="51" t="s">
        <v>535</v>
      </c>
      <c r="E105" s="51" t="s">
        <v>240</v>
      </c>
      <c r="F105" s="51" t="s">
        <v>183</v>
      </c>
      <c r="G105" s="51" t="s">
        <v>141</v>
      </c>
      <c r="H105" s="51">
        <v>1005001117</v>
      </c>
      <c r="I105" s="51" t="s">
        <v>36</v>
      </c>
      <c r="J105" s="51">
        <v>220</v>
      </c>
      <c r="K105" s="51" t="s">
        <v>184</v>
      </c>
      <c r="L105" s="51">
        <v>1001020988</v>
      </c>
      <c r="M105" s="51">
        <v>1142000002384</v>
      </c>
      <c r="N105" s="51" t="s">
        <v>144</v>
      </c>
      <c r="O105" s="138" t="s">
        <v>145</v>
      </c>
      <c r="P105" s="51" t="s">
        <v>146</v>
      </c>
      <c r="Q105" s="51" t="s">
        <v>147</v>
      </c>
      <c r="R105" s="51" t="s">
        <v>148</v>
      </c>
      <c r="S105" s="74">
        <v>514120</v>
      </c>
      <c r="T105" s="74">
        <v>25706000</v>
      </c>
      <c r="U105" s="74"/>
      <c r="V105" s="74">
        <v>25706000</v>
      </c>
    </row>
    <row r="106" spans="1:22" ht="15" customHeight="1">
      <c r="A106" s="51">
        <v>9</v>
      </c>
      <c r="B106" s="51" t="s">
        <v>554</v>
      </c>
      <c r="C106" s="51" t="s">
        <v>555</v>
      </c>
      <c r="D106" s="51" t="s">
        <v>535</v>
      </c>
      <c r="E106" s="51" t="s">
        <v>240</v>
      </c>
      <c r="F106" s="51" t="s">
        <v>183</v>
      </c>
      <c r="G106" s="51" t="s">
        <v>141</v>
      </c>
      <c r="H106" s="51">
        <v>1005001118</v>
      </c>
      <c r="I106" s="51" t="s">
        <v>36</v>
      </c>
      <c r="J106" s="51">
        <v>220</v>
      </c>
      <c r="K106" s="51" t="s">
        <v>184</v>
      </c>
      <c r="L106" s="51">
        <v>1001021100</v>
      </c>
      <c r="M106" s="51">
        <v>1142000002395</v>
      </c>
      <c r="N106" s="51" t="s">
        <v>144</v>
      </c>
      <c r="O106" s="138" t="s">
        <v>145</v>
      </c>
      <c r="P106" s="51" t="s">
        <v>146</v>
      </c>
      <c r="Q106" s="51" t="s">
        <v>147</v>
      </c>
      <c r="R106" s="51" t="s">
        <v>148</v>
      </c>
      <c r="S106" s="74">
        <v>584850</v>
      </c>
      <c r="T106" s="74">
        <v>29242500</v>
      </c>
      <c r="U106" s="74"/>
      <c r="V106" s="74">
        <v>29242500</v>
      </c>
    </row>
    <row r="107" spans="1:22" ht="15" customHeight="1">
      <c r="A107" s="51">
        <v>9</v>
      </c>
      <c r="B107" s="51" t="s">
        <v>554</v>
      </c>
      <c r="C107" s="51" t="s">
        <v>555</v>
      </c>
      <c r="D107" s="51" t="s">
        <v>535</v>
      </c>
      <c r="E107" s="51" t="s">
        <v>240</v>
      </c>
      <c r="F107" s="51" t="s">
        <v>183</v>
      </c>
      <c r="G107" s="51" t="s">
        <v>141</v>
      </c>
      <c r="H107" s="51">
        <v>1005001121</v>
      </c>
      <c r="I107" s="51" t="s">
        <v>36</v>
      </c>
      <c r="J107" s="51">
        <v>220</v>
      </c>
      <c r="K107" s="51" t="s">
        <v>184</v>
      </c>
      <c r="L107" s="51">
        <v>1001021101</v>
      </c>
      <c r="M107" s="51">
        <v>1142000002396</v>
      </c>
      <c r="N107" s="51" t="s">
        <v>144</v>
      </c>
      <c r="O107" s="138" t="s">
        <v>145</v>
      </c>
      <c r="P107" s="51" t="s">
        <v>146</v>
      </c>
      <c r="Q107" s="51" t="s">
        <v>147</v>
      </c>
      <c r="R107" s="51" t="s">
        <v>148</v>
      </c>
      <c r="S107" s="74">
        <v>299140</v>
      </c>
      <c r="T107" s="74">
        <v>14957000</v>
      </c>
      <c r="U107" s="74"/>
      <c r="V107" s="74">
        <v>14957000</v>
      </c>
    </row>
    <row r="108" spans="1:22" ht="15" customHeight="1">
      <c r="A108" s="51">
        <v>9</v>
      </c>
      <c r="B108" s="51" t="s">
        <v>554</v>
      </c>
      <c r="C108" s="51" t="s">
        <v>555</v>
      </c>
      <c r="D108" s="51" t="s">
        <v>535</v>
      </c>
      <c r="E108" s="51" t="s">
        <v>240</v>
      </c>
      <c r="F108" s="51" t="s">
        <v>183</v>
      </c>
      <c r="G108" s="51" t="s">
        <v>141</v>
      </c>
      <c r="H108" s="51">
        <v>1005001124</v>
      </c>
      <c r="I108" s="51" t="s">
        <v>37</v>
      </c>
      <c r="J108" s="51">
        <v>219</v>
      </c>
      <c r="K108" s="51" t="s">
        <v>184</v>
      </c>
      <c r="L108" s="51">
        <v>1001021237</v>
      </c>
      <c r="M108" s="51">
        <v>1142000002408</v>
      </c>
      <c r="N108" s="51" t="s">
        <v>144</v>
      </c>
      <c r="O108" s="138" t="s">
        <v>145</v>
      </c>
      <c r="P108" s="51" t="s">
        <v>146</v>
      </c>
      <c r="Q108" s="51" t="s">
        <v>147</v>
      </c>
      <c r="R108" s="51" t="s">
        <v>148</v>
      </c>
      <c r="S108" s="74">
        <v>1015290</v>
      </c>
      <c r="T108" s="74">
        <v>203058000</v>
      </c>
      <c r="U108" s="74"/>
      <c r="V108" s="74">
        <v>203058000</v>
      </c>
    </row>
    <row r="109" spans="1:22" ht="15" customHeight="1">
      <c r="A109" s="51">
        <v>9</v>
      </c>
      <c r="B109" s="51" t="s">
        <v>554</v>
      </c>
      <c r="C109" s="51" t="s">
        <v>555</v>
      </c>
      <c r="D109" s="51" t="s">
        <v>535</v>
      </c>
      <c r="E109" s="51" t="s">
        <v>240</v>
      </c>
      <c r="F109" s="51" t="s">
        <v>183</v>
      </c>
      <c r="G109" s="51" t="s">
        <v>141</v>
      </c>
      <c r="H109" s="51">
        <v>1005001125</v>
      </c>
      <c r="I109" s="51" t="s">
        <v>37</v>
      </c>
      <c r="J109" s="51">
        <v>219</v>
      </c>
      <c r="K109" s="51" t="s">
        <v>184</v>
      </c>
      <c r="L109" s="51">
        <v>1001021955</v>
      </c>
      <c r="M109" s="51">
        <v>1142000002469</v>
      </c>
      <c r="N109" s="51" t="s">
        <v>144</v>
      </c>
      <c r="O109" s="138" t="s">
        <v>145</v>
      </c>
      <c r="P109" s="51" t="s">
        <v>146</v>
      </c>
      <c r="Q109" s="51" t="s">
        <v>147</v>
      </c>
      <c r="R109" s="51" t="s">
        <v>148</v>
      </c>
      <c r="S109" s="74">
        <v>1014400</v>
      </c>
      <c r="T109" s="74">
        <v>202880000</v>
      </c>
      <c r="U109" s="74"/>
      <c r="V109" s="74">
        <v>202880000</v>
      </c>
    </row>
    <row r="110" spans="1:22" ht="15" customHeight="1">
      <c r="A110" s="51">
        <v>9</v>
      </c>
      <c r="B110" s="51" t="s">
        <v>554</v>
      </c>
      <c r="C110" s="51" t="s">
        <v>555</v>
      </c>
      <c r="D110" s="51" t="s">
        <v>535</v>
      </c>
      <c r="E110" s="51" t="s">
        <v>240</v>
      </c>
      <c r="F110" s="51" t="s">
        <v>183</v>
      </c>
      <c r="G110" s="51" t="s">
        <v>141</v>
      </c>
      <c r="H110" s="51">
        <v>1005001126</v>
      </c>
      <c r="I110" s="51" t="s">
        <v>37</v>
      </c>
      <c r="J110" s="51">
        <v>219</v>
      </c>
      <c r="K110" s="51" t="s">
        <v>184</v>
      </c>
      <c r="L110" s="51">
        <v>1001021956</v>
      </c>
      <c r="M110" s="51">
        <v>1142000002470</v>
      </c>
      <c r="N110" s="51" t="s">
        <v>144</v>
      </c>
      <c r="O110" s="138" t="s">
        <v>145</v>
      </c>
      <c r="P110" s="51" t="s">
        <v>146</v>
      </c>
      <c r="Q110" s="51" t="s">
        <v>147</v>
      </c>
      <c r="R110" s="51" t="s">
        <v>148</v>
      </c>
      <c r="S110" s="74">
        <v>1015790</v>
      </c>
      <c r="T110" s="74">
        <v>203158000</v>
      </c>
      <c r="U110" s="74"/>
      <c r="V110" s="74">
        <v>203158000</v>
      </c>
    </row>
    <row r="111" spans="1:22" ht="15" customHeight="1">
      <c r="A111" s="51">
        <v>9</v>
      </c>
      <c r="B111" s="51" t="s">
        <v>554</v>
      </c>
      <c r="C111" s="51" t="s">
        <v>555</v>
      </c>
      <c r="D111" s="51" t="s">
        <v>535</v>
      </c>
      <c r="E111" s="51" t="s">
        <v>240</v>
      </c>
      <c r="F111" s="51" t="s">
        <v>183</v>
      </c>
      <c r="G111" s="51" t="s">
        <v>141</v>
      </c>
      <c r="H111" s="51">
        <v>1005001127</v>
      </c>
      <c r="I111" s="51" t="s">
        <v>37</v>
      </c>
      <c r="J111" s="51">
        <v>219</v>
      </c>
      <c r="K111" s="51" t="s">
        <v>184</v>
      </c>
      <c r="L111" s="51">
        <v>1001022525</v>
      </c>
      <c r="M111" s="51">
        <v>1142000002520</v>
      </c>
      <c r="N111" s="51" t="s">
        <v>144</v>
      </c>
      <c r="O111" s="138" t="s">
        <v>145</v>
      </c>
      <c r="P111" s="51" t="s">
        <v>146</v>
      </c>
      <c r="Q111" s="51" t="s">
        <v>147</v>
      </c>
      <c r="R111" s="51" t="s">
        <v>148</v>
      </c>
      <c r="S111" s="74">
        <v>1012510</v>
      </c>
      <c r="T111" s="74">
        <v>405004000</v>
      </c>
      <c r="U111" s="74"/>
      <c r="V111" s="74">
        <v>405004000</v>
      </c>
    </row>
    <row r="112" spans="1:22" ht="15" customHeight="1">
      <c r="A112" s="51">
        <v>9</v>
      </c>
      <c r="B112" s="51" t="s">
        <v>554</v>
      </c>
      <c r="C112" s="51" t="s">
        <v>555</v>
      </c>
      <c r="D112" s="51" t="s">
        <v>535</v>
      </c>
      <c r="E112" s="51" t="s">
        <v>240</v>
      </c>
      <c r="F112" s="51" t="s">
        <v>183</v>
      </c>
      <c r="G112" s="51" t="s">
        <v>141</v>
      </c>
      <c r="H112" s="51">
        <v>1005001128</v>
      </c>
      <c r="I112" s="51" t="s">
        <v>37</v>
      </c>
      <c r="J112" s="51">
        <v>219</v>
      </c>
      <c r="K112" s="51" t="s">
        <v>184</v>
      </c>
      <c r="L112" s="51">
        <v>1001022526</v>
      </c>
      <c r="M112" s="51">
        <v>1142000002521</v>
      </c>
      <c r="N112" s="51" t="s">
        <v>144</v>
      </c>
      <c r="O112" s="138" t="s">
        <v>145</v>
      </c>
      <c r="P112" s="51" t="s">
        <v>146</v>
      </c>
      <c r="Q112" s="51" t="s">
        <v>147</v>
      </c>
      <c r="R112" s="51" t="s">
        <v>148</v>
      </c>
      <c r="S112" s="74">
        <v>1013110</v>
      </c>
      <c r="T112" s="74">
        <v>202622000</v>
      </c>
      <c r="U112" s="74"/>
      <c r="V112" s="74">
        <v>202622000</v>
      </c>
    </row>
    <row r="113" spans="1:22" ht="15" customHeight="1">
      <c r="A113" s="51">
        <v>9</v>
      </c>
      <c r="B113" s="51" t="s">
        <v>554</v>
      </c>
      <c r="C113" s="51" t="s">
        <v>555</v>
      </c>
      <c r="D113" s="51" t="s">
        <v>535</v>
      </c>
      <c r="E113" s="51" t="s">
        <v>240</v>
      </c>
      <c r="F113" s="51" t="s">
        <v>183</v>
      </c>
      <c r="G113" s="51" t="s">
        <v>141</v>
      </c>
      <c r="H113" s="51">
        <v>1005001129</v>
      </c>
      <c r="I113" s="51" t="s">
        <v>37</v>
      </c>
      <c r="J113" s="51">
        <v>219</v>
      </c>
      <c r="K113" s="51" t="s">
        <v>184</v>
      </c>
      <c r="L113" s="51">
        <v>1001022705</v>
      </c>
      <c r="M113" s="51">
        <v>1142000002534</v>
      </c>
      <c r="N113" s="51" t="s">
        <v>144</v>
      </c>
      <c r="O113" s="138" t="s">
        <v>145</v>
      </c>
      <c r="P113" s="51" t="s">
        <v>146</v>
      </c>
      <c r="Q113" s="51" t="s">
        <v>147</v>
      </c>
      <c r="R113" s="51" t="s">
        <v>148</v>
      </c>
      <c r="S113" s="74">
        <v>1014650</v>
      </c>
      <c r="T113" s="74">
        <v>405860000</v>
      </c>
      <c r="U113" s="74"/>
      <c r="V113" s="74">
        <v>405860000</v>
      </c>
    </row>
    <row r="114" spans="1:22" ht="15" customHeight="1">
      <c r="A114" s="51">
        <v>9</v>
      </c>
      <c r="B114" s="51" t="s">
        <v>554</v>
      </c>
      <c r="C114" s="51" t="s">
        <v>555</v>
      </c>
      <c r="D114" s="51" t="s">
        <v>535</v>
      </c>
      <c r="E114" s="51" t="s">
        <v>240</v>
      </c>
      <c r="F114" s="51" t="s">
        <v>183</v>
      </c>
      <c r="G114" s="51" t="s">
        <v>141</v>
      </c>
      <c r="H114" s="51">
        <v>1005001130</v>
      </c>
      <c r="I114" s="51" t="s">
        <v>37</v>
      </c>
      <c r="J114" s="51">
        <v>219</v>
      </c>
      <c r="K114" s="51" t="s">
        <v>184</v>
      </c>
      <c r="L114" s="51">
        <v>1001022706</v>
      </c>
      <c r="M114" s="51">
        <v>1142000002535</v>
      </c>
      <c r="N114" s="51" t="s">
        <v>144</v>
      </c>
      <c r="O114" s="138" t="s">
        <v>145</v>
      </c>
      <c r="P114" s="51" t="s">
        <v>146</v>
      </c>
      <c r="Q114" s="51" t="s">
        <v>147</v>
      </c>
      <c r="R114" s="51" t="s">
        <v>148</v>
      </c>
      <c r="S114" s="74">
        <v>1006460</v>
      </c>
      <c r="T114" s="74">
        <v>402584000</v>
      </c>
      <c r="U114" s="74"/>
      <c r="V114" s="74">
        <v>402584000</v>
      </c>
    </row>
    <row r="115" spans="1:22" ht="15" customHeight="1">
      <c r="A115" s="51">
        <v>9</v>
      </c>
      <c r="B115" s="51" t="s">
        <v>554</v>
      </c>
      <c r="C115" s="51" t="s">
        <v>555</v>
      </c>
      <c r="D115" s="51" t="s">
        <v>535</v>
      </c>
      <c r="E115" s="51" t="s">
        <v>240</v>
      </c>
      <c r="F115" s="51" t="s">
        <v>183</v>
      </c>
      <c r="G115" s="51" t="s">
        <v>141</v>
      </c>
      <c r="H115" s="51">
        <v>1005001474</v>
      </c>
      <c r="I115" s="51" t="s">
        <v>38</v>
      </c>
      <c r="J115" s="51">
        <v>157</v>
      </c>
      <c r="K115" s="51" t="s">
        <v>184</v>
      </c>
      <c r="L115" s="51">
        <v>1001022872</v>
      </c>
      <c r="M115" s="51">
        <v>1142000002551</v>
      </c>
      <c r="N115" s="51" t="s">
        <v>144</v>
      </c>
      <c r="O115" s="138" t="s">
        <v>145</v>
      </c>
      <c r="P115" s="51" t="s">
        <v>146</v>
      </c>
      <c r="Q115" s="51" t="s">
        <v>147</v>
      </c>
      <c r="R115" s="51" t="s">
        <v>148</v>
      </c>
      <c r="S115" s="74">
        <v>918810</v>
      </c>
      <c r="T115" s="74">
        <v>403384000</v>
      </c>
      <c r="U115" s="74"/>
      <c r="V115" s="74">
        <v>403384000</v>
      </c>
    </row>
    <row r="116" spans="1:22" ht="15" customHeight="1">
      <c r="A116" s="51">
        <v>9</v>
      </c>
      <c r="B116" s="51" t="s">
        <v>554</v>
      </c>
      <c r="C116" s="51" t="s">
        <v>555</v>
      </c>
      <c r="D116" s="51" t="s">
        <v>535</v>
      </c>
      <c r="E116" s="51" t="s">
        <v>240</v>
      </c>
      <c r="F116" s="51" t="s">
        <v>183</v>
      </c>
      <c r="G116" s="51" t="s">
        <v>141</v>
      </c>
      <c r="H116" s="51">
        <v>1005001475</v>
      </c>
      <c r="I116" s="51" t="s">
        <v>38</v>
      </c>
      <c r="J116" s="51">
        <v>157</v>
      </c>
      <c r="K116" s="51" t="s">
        <v>184</v>
      </c>
      <c r="L116" s="51">
        <v>1001022874</v>
      </c>
      <c r="M116" s="51">
        <v>1142000002553</v>
      </c>
      <c r="N116" s="51" t="s">
        <v>144</v>
      </c>
      <c r="O116" s="138" t="s">
        <v>145</v>
      </c>
      <c r="P116" s="51" t="s">
        <v>146</v>
      </c>
      <c r="Q116" s="51" t="s">
        <v>147</v>
      </c>
      <c r="R116" s="51" t="s">
        <v>148</v>
      </c>
      <c r="S116" s="74">
        <v>502690</v>
      </c>
      <c r="T116" s="74">
        <v>100302000</v>
      </c>
      <c r="U116" s="74"/>
      <c r="V116" s="74">
        <v>100302000</v>
      </c>
    </row>
    <row r="117" spans="1:22" ht="15" customHeight="1">
      <c r="A117" s="51">
        <v>9</v>
      </c>
      <c r="B117" s="51" t="s">
        <v>554</v>
      </c>
      <c r="C117" s="51" t="s">
        <v>555</v>
      </c>
      <c r="D117" s="51" t="s">
        <v>535</v>
      </c>
      <c r="E117" s="51" t="s">
        <v>240</v>
      </c>
      <c r="F117" s="51" t="s">
        <v>183</v>
      </c>
      <c r="G117" s="51" t="s">
        <v>141</v>
      </c>
      <c r="H117" s="51">
        <v>1005001476</v>
      </c>
      <c r="I117" s="51" t="s">
        <v>38</v>
      </c>
      <c r="J117" s="51">
        <v>157</v>
      </c>
      <c r="K117" s="51" t="s">
        <v>184</v>
      </c>
      <c r="L117" s="51">
        <v>1001022984</v>
      </c>
      <c r="M117" s="51">
        <v>1142000002566</v>
      </c>
      <c r="N117" s="51" t="s">
        <v>144</v>
      </c>
      <c r="O117" s="138" t="s">
        <v>145</v>
      </c>
      <c r="P117" s="51" t="s">
        <v>146</v>
      </c>
      <c r="Q117" s="51" t="s">
        <v>147</v>
      </c>
      <c r="R117" s="51" t="s">
        <v>148</v>
      </c>
      <c r="S117" s="74">
        <v>702480</v>
      </c>
      <c r="T117" s="74">
        <v>200034000</v>
      </c>
      <c r="U117" s="74"/>
      <c r="V117" s="74">
        <v>200034000</v>
      </c>
    </row>
    <row r="118" spans="1:22" ht="15" customHeight="1">
      <c r="A118" s="51">
        <v>9</v>
      </c>
      <c r="B118" s="51" t="s">
        <v>554</v>
      </c>
      <c r="C118" s="51" t="s">
        <v>555</v>
      </c>
      <c r="D118" s="51" t="s">
        <v>535</v>
      </c>
      <c r="E118" s="51" t="s">
        <v>240</v>
      </c>
      <c r="F118" s="51" t="s">
        <v>183</v>
      </c>
      <c r="G118" s="51" t="s">
        <v>141</v>
      </c>
      <c r="H118" s="51">
        <v>1005001477</v>
      </c>
      <c r="I118" s="51" t="s">
        <v>38</v>
      </c>
      <c r="J118" s="51">
        <v>157</v>
      </c>
      <c r="K118" s="51" t="s">
        <v>184</v>
      </c>
      <c r="L118" s="51">
        <v>1001022985</v>
      </c>
      <c r="M118" s="51">
        <v>1142000002567</v>
      </c>
      <c r="N118" s="51" t="s">
        <v>144</v>
      </c>
      <c r="O118" s="138" t="s">
        <v>145</v>
      </c>
      <c r="P118" s="51" t="s">
        <v>146</v>
      </c>
      <c r="Q118" s="51" t="s">
        <v>147</v>
      </c>
      <c r="R118" s="51" t="s">
        <v>148</v>
      </c>
      <c r="S118" s="74">
        <v>719270</v>
      </c>
      <c r="T118" s="74">
        <v>201340000</v>
      </c>
      <c r="U118" s="74"/>
      <c r="V118" s="74">
        <v>201340000</v>
      </c>
    </row>
    <row r="119" spans="1:22" ht="15" customHeight="1">
      <c r="A119" s="51">
        <v>9</v>
      </c>
      <c r="B119" s="51" t="s">
        <v>554</v>
      </c>
      <c r="C119" s="51" t="s">
        <v>555</v>
      </c>
      <c r="D119" s="51" t="s">
        <v>535</v>
      </c>
      <c r="E119" s="51" t="s">
        <v>240</v>
      </c>
      <c r="F119" s="51" t="s">
        <v>183</v>
      </c>
      <c r="G119" s="51" t="s">
        <v>141</v>
      </c>
      <c r="H119" s="51">
        <v>1005001478</v>
      </c>
      <c r="I119" s="51" t="s">
        <v>38</v>
      </c>
      <c r="J119" s="51">
        <v>157</v>
      </c>
      <c r="K119" s="51" t="s">
        <v>184</v>
      </c>
      <c r="L119" s="51">
        <v>1001023046</v>
      </c>
      <c r="M119" s="51">
        <v>1142000002572</v>
      </c>
      <c r="N119" s="51" t="s">
        <v>144</v>
      </c>
      <c r="O119" s="138" t="s">
        <v>145</v>
      </c>
      <c r="P119" s="51" t="s">
        <v>146</v>
      </c>
      <c r="Q119" s="51" t="s">
        <v>147</v>
      </c>
      <c r="R119" s="51" t="s">
        <v>148</v>
      </c>
      <c r="S119" s="74">
        <v>707350</v>
      </c>
      <c r="T119" s="74">
        <v>201556000</v>
      </c>
      <c r="U119" s="74"/>
      <c r="V119" s="74">
        <v>201556000</v>
      </c>
    </row>
    <row r="120" spans="1:22" ht="15" customHeight="1">
      <c r="A120" s="51">
        <v>9</v>
      </c>
      <c r="B120" s="51" t="s">
        <v>554</v>
      </c>
      <c r="C120" s="51" t="s">
        <v>555</v>
      </c>
      <c r="D120" s="51" t="s">
        <v>535</v>
      </c>
      <c r="E120" s="51" t="s">
        <v>240</v>
      </c>
      <c r="F120" s="51" t="s">
        <v>183</v>
      </c>
      <c r="G120" s="51" t="s">
        <v>141</v>
      </c>
      <c r="H120" s="51">
        <v>1005001479</v>
      </c>
      <c r="I120" s="51" t="s">
        <v>38</v>
      </c>
      <c r="J120" s="51">
        <v>157</v>
      </c>
      <c r="K120" s="51" t="s">
        <v>184</v>
      </c>
      <c r="L120" s="51">
        <v>1001023047</v>
      </c>
      <c r="M120" s="51">
        <v>1142000002573</v>
      </c>
      <c r="N120" s="51" t="s">
        <v>144</v>
      </c>
      <c r="O120" s="138" t="s">
        <v>145</v>
      </c>
      <c r="P120" s="51" t="s">
        <v>146</v>
      </c>
      <c r="Q120" s="51" t="s">
        <v>147</v>
      </c>
      <c r="R120" s="51" t="s">
        <v>148</v>
      </c>
      <c r="S120" s="74">
        <v>866170</v>
      </c>
      <c r="T120" s="74">
        <v>201100000</v>
      </c>
      <c r="U120" s="74"/>
      <c r="V120" s="74">
        <v>201100000</v>
      </c>
    </row>
    <row r="121" spans="1:22" ht="15" customHeight="1">
      <c r="A121" s="51">
        <v>9</v>
      </c>
      <c r="B121" s="51" t="s">
        <v>554</v>
      </c>
      <c r="C121" s="51" t="s">
        <v>555</v>
      </c>
      <c r="D121" s="51" t="s">
        <v>535</v>
      </c>
      <c r="E121" s="51" t="s">
        <v>240</v>
      </c>
      <c r="F121" s="51" t="s">
        <v>183</v>
      </c>
      <c r="G121" s="51" t="s">
        <v>141</v>
      </c>
      <c r="H121" s="51">
        <v>1005001480</v>
      </c>
      <c r="I121" s="51" t="s">
        <v>38</v>
      </c>
      <c r="J121" s="51">
        <v>157</v>
      </c>
      <c r="K121" s="51" t="s">
        <v>184</v>
      </c>
      <c r="L121" s="51">
        <v>1001023357</v>
      </c>
      <c r="M121" s="51">
        <v>1142000002594</v>
      </c>
      <c r="N121" s="51" t="s">
        <v>144</v>
      </c>
      <c r="O121" s="138" t="s">
        <v>145</v>
      </c>
      <c r="P121" s="51" t="s">
        <v>146</v>
      </c>
      <c r="Q121" s="51" t="s">
        <v>147</v>
      </c>
      <c r="R121" s="51" t="s">
        <v>148</v>
      </c>
      <c r="S121" s="74">
        <v>957410</v>
      </c>
      <c r="T121" s="74">
        <v>201822000</v>
      </c>
      <c r="U121" s="74"/>
      <c r="V121" s="74">
        <v>201822000</v>
      </c>
    </row>
    <row r="122" spans="1:22" ht="15" customHeight="1">
      <c r="A122" s="51">
        <v>9</v>
      </c>
      <c r="B122" s="51" t="s">
        <v>554</v>
      </c>
      <c r="C122" s="51" t="s">
        <v>555</v>
      </c>
      <c r="D122" s="51" t="s">
        <v>535</v>
      </c>
      <c r="E122" s="51" t="s">
        <v>240</v>
      </c>
      <c r="F122" s="51" t="s">
        <v>183</v>
      </c>
      <c r="G122" s="51" t="s">
        <v>141</v>
      </c>
      <c r="H122" s="51">
        <v>1005001481</v>
      </c>
      <c r="I122" s="51" t="s">
        <v>38</v>
      </c>
      <c r="J122" s="51">
        <v>157</v>
      </c>
      <c r="K122" s="51" t="s">
        <v>184</v>
      </c>
      <c r="L122" s="51">
        <v>1001023358</v>
      </c>
      <c r="M122" s="51">
        <v>1142000002595</v>
      </c>
      <c r="N122" s="51" t="s">
        <v>144</v>
      </c>
      <c r="O122" s="138" t="s">
        <v>145</v>
      </c>
      <c r="P122" s="51" t="s">
        <v>146</v>
      </c>
      <c r="Q122" s="51" t="s">
        <v>147</v>
      </c>
      <c r="R122" s="51" t="s">
        <v>148</v>
      </c>
      <c r="S122" s="74">
        <v>798630</v>
      </c>
      <c r="T122" s="74">
        <v>100933000</v>
      </c>
      <c r="U122" s="74"/>
      <c r="V122" s="74">
        <v>100933000</v>
      </c>
    </row>
    <row r="123" spans="1:22" ht="15" customHeight="1">
      <c r="A123" s="51">
        <v>9</v>
      </c>
      <c r="B123" s="51" t="s">
        <v>554</v>
      </c>
      <c r="C123" s="51" t="s">
        <v>555</v>
      </c>
      <c r="D123" s="51" t="s">
        <v>535</v>
      </c>
      <c r="E123" s="51" t="s">
        <v>240</v>
      </c>
      <c r="F123" s="51" t="s">
        <v>183</v>
      </c>
      <c r="G123" s="51" t="s">
        <v>141</v>
      </c>
      <c r="H123" s="51">
        <v>1005001482</v>
      </c>
      <c r="I123" s="51" t="s">
        <v>38</v>
      </c>
      <c r="J123" s="51">
        <v>157</v>
      </c>
      <c r="K123" s="51" t="s">
        <v>184</v>
      </c>
      <c r="L123" s="51">
        <v>1001023419</v>
      </c>
      <c r="M123" s="51">
        <v>1142000002599</v>
      </c>
      <c r="N123" s="51" t="s">
        <v>144</v>
      </c>
      <c r="O123" s="138" t="s">
        <v>145</v>
      </c>
      <c r="P123" s="51" t="s">
        <v>146</v>
      </c>
      <c r="Q123" s="51" t="s">
        <v>147</v>
      </c>
      <c r="R123" s="51" t="s">
        <v>148</v>
      </c>
      <c r="S123" s="74">
        <v>1011890</v>
      </c>
      <c r="T123" s="74">
        <v>202378000</v>
      </c>
      <c r="U123" s="74"/>
      <c r="V123" s="74">
        <v>202378000</v>
      </c>
    </row>
    <row r="124" spans="1:22" ht="15" customHeight="1">
      <c r="A124" s="51">
        <v>9</v>
      </c>
      <c r="B124" s="51" t="s">
        <v>554</v>
      </c>
      <c r="C124" s="51" t="s">
        <v>555</v>
      </c>
      <c r="D124" s="51" t="s">
        <v>535</v>
      </c>
      <c r="E124" s="51" t="s">
        <v>240</v>
      </c>
      <c r="F124" s="51" t="s">
        <v>183</v>
      </c>
      <c r="G124" s="51" t="s">
        <v>141</v>
      </c>
      <c r="H124" s="51">
        <v>1005001483</v>
      </c>
      <c r="I124" s="51" t="s">
        <v>38</v>
      </c>
      <c r="J124" s="51">
        <v>157</v>
      </c>
      <c r="K124" s="51" t="s">
        <v>184</v>
      </c>
      <c r="L124" s="51">
        <v>1001023420</v>
      </c>
      <c r="M124" s="51">
        <v>1142000002600</v>
      </c>
      <c r="N124" s="51" t="s">
        <v>144</v>
      </c>
      <c r="O124" s="138" t="s">
        <v>145</v>
      </c>
      <c r="P124" s="51" t="s">
        <v>146</v>
      </c>
      <c r="Q124" s="51" t="s">
        <v>147</v>
      </c>
      <c r="R124" s="51" t="s">
        <v>148</v>
      </c>
      <c r="S124" s="74">
        <v>856110</v>
      </c>
      <c r="T124" s="74">
        <v>100417000</v>
      </c>
      <c r="U124" s="74"/>
      <c r="V124" s="74">
        <v>100417000</v>
      </c>
    </row>
    <row r="125" spans="1:22" ht="15" customHeight="1">
      <c r="A125" s="51">
        <v>9</v>
      </c>
      <c r="B125" s="51" t="s">
        <v>554</v>
      </c>
      <c r="C125" s="51" t="s">
        <v>555</v>
      </c>
      <c r="D125" s="51" t="s">
        <v>535</v>
      </c>
      <c r="E125" s="51" t="s">
        <v>551</v>
      </c>
      <c r="F125" s="51" t="s">
        <v>183</v>
      </c>
      <c r="G125" s="51" t="s">
        <v>141</v>
      </c>
      <c r="H125" s="51">
        <v>1005001904</v>
      </c>
      <c r="I125" s="51" t="s">
        <v>102</v>
      </c>
      <c r="J125" s="51">
        <v>88</v>
      </c>
      <c r="K125" s="51" t="s">
        <v>184</v>
      </c>
      <c r="L125" s="51">
        <v>1001025608</v>
      </c>
      <c r="M125" s="51">
        <v>1142000002815</v>
      </c>
      <c r="N125" s="51" t="s">
        <v>334</v>
      </c>
      <c r="O125" s="138" t="s">
        <v>297</v>
      </c>
      <c r="P125" s="51" t="s">
        <v>146</v>
      </c>
      <c r="Q125" s="51" t="s">
        <v>147</v>
      </c>
      <c r="R125" s="51" t="s">
        <v>148</v>
      </c>
      <c r="S125" s="74">
        <v>395460</v>
      </c>
      <c r="T125" s="74">
        <v>19377540</v>
      </c>
      <c r="U125" s="74"/>
      <c r="V125" s="74">
        <v>19377540</v>
      </c>
    </row>
    <row r="126" spans="1:22" ht="15" customHeight="1">
      <c r="A126" s="51">
        <v>9</v>
      </c>
      <c r="B126" s="51" t="s">
        <v>554</v>
      </c>
      <c r="C126" s="51" t="s">
        <v>555</v>
      </c>
      <c r="D126" s="51" t="s">
        <v>535</v>
      </c>
      <c r="E126" s="51" t="s">
        <v>240</v>
      </c>
      <c r="F126" s="51" t="s">
        <v>183</v>
      </c>
      <c r="G126" s="51" t="s">
        <v>141</v>
      </c>
      <c r="H126" s="51">
        <v>1005002109</v>
      </c>
      <c r="I126" s="51" t="s">
        <v>39</v>
      </c>
      <c r="J126" s="51">
        <v>65</v>
      </c>
      <c r="K126" s="51" t="s">
        <v>184</v>
      </c>
      <c r="L126" s="51">
        <v>1001025900</v>
      </c>
      <c r="M126" s="51">
        <v>1142000002842</v>
      </c>
      <c r="N126" s="51" t="s">
        <v>144</v>
      </c>
      <c r="O126" s="138" t="s">
        <v>145</v>
      </c>
      <c r="P126" s="51" t="s">
        <v>146</v>
      </c>
      <c r="Q126" s="51" t="s">
        <v>147</v>
      </c>
      <c r="R126" s="51" t="s">
        <v>148</v>
      </c>
      <c r="S126" s="74">
        <v>1007140</v>
      </c>
      <c r="T126" s="74">
        <v>201428000</v>
      </c>
      <c r="U126" s="74"/>
      <c r="V126" s="74">
        <v>201428000</v>
      </c>
    </row>
    <row r="127" spans="1:22" ht="15" customHeight="1">
      <c r="A127" s="51">
        <v>9</v>
      </c>
      <c r="B127" s="51" t="s">
        <v>554</v>
      </c>
      <c r="C127" s="51" t="s">
        <v>555</v>
      </c>
      <c r="D127" s="51" t="s">
        <v>535</v>
      </c>
      <c r="E127" s="51" t="s">
        <v>240</v>
      </c>
      <c r="F127" s="51" t="s">
        <v>183</v>
      </c>
      <c r="G127" s="51" t="s">
        <v>141</v>
      </c>
      <c r="H127" s="51">
        <v>1005002110</v>
      </c>
      <c r="I127" s="51" t="s">
        <v>39</v>
      </c>
      <c r="J127" s="51">
        <v>65</v>
      </c>
      <c r="K127" s="51" t="s">
        <v>184</v>
      </c>
      <c r="L127" s="51">
        <v>1001025974</v>
      </c>
      <c r="M127" s="51">
        <v>1142000002858</v>
      </c>
      <c r="N127" s="51" t="s">
        <v>144</v>
      </c>
      <c r="O127" s="138" t="s">
        <v>145</v>
      </c>
      <c r="P127" s="51" t="s">
        <v>146</v>
      </c>
      <c r="Q127" s="51" t="s">
        <v>147</v>
      </c>
      <c r="R127" s="51" t="s">
        <v>148</v>
      </c>
      <c r="S127" s="74">
        <v>1000420</v>
      </c>
      <c r="T127" s="74">
        <v>200084000</v>
      </c>
      <c r="U127" s="74"/>
      <c r="V127" s="74">
        <v>200084000</v>
      </c>
    </row>
    <row r="128" spans="1:22" ht="15" customHeight="1">
      <c r="A128" s="51">
        <v>9</v>
      </c>
      <c r="B128" s="51" t="s">
        <v>554</v>
      </c>
      <c r="C128" s="51" t="s">
        <v>555</v>
      </c>
      <c r="D128" s="51" t="s">
        <v>535</v>
      </c>
      <c r="E128" s="51" t="s">
        <v>240</v>
      </c>
      <c r="F128" s="51" t="s">
        <v>183</v>
      </c>
      <c r="G128" s="51" t="s">
        <v>141</v>
      </c>
      <c r="H128" s="51">
        <v>1005002111</v>
      </c>
      <c r="I128" s="51" t="s">
        <v>39</v>
      </c>
      <c r="J128" s="51">
        <v>65</v>
      </c>
      <c r="K128" s="51" t="s">
        <v>184</v>
      </c>
      <c r="L128" s="51">
        <v>1001026173</v>
      </c>
      <c r="M128" s="51">
        <v>1142000002884</v>
      </c>
      <c r="N128" s="51" t="s">
        <v>144</v>
      </c>
      <c r="O128" s="138" t="s">
        <v>145</v>
      </c>
      <c r="P128" s="51" t="s">
        <v>146</v>
      </c>
      <c r="Q128" s="51" t="s">
        <v>147</v>
      </c>
      <c r="R128" s="51" t="s">
        <v>148</v>
      </c>
      <c r="S128" s="74">
        <v>1009790</v>
      </c>
      <c r="T128" s="74">
        <v>201958000</v>
      </c>
      <c r="U128" s="74"/>
      <c r="V128" s="74">
        <v>201958000</v>
      </c>
    </row>
    <row r="129" spans="1:22" ht="15" customHeight="1">
      <c r="A129" s="51">
        <v>9</v>
      </c>
      <c r="B129" s="51" t="s">
        <v>554</v>
      </c>
      <c r="C129" s="51" t="s">
        <v>555</v>
      </c>
      <c r="D129" s="51" t="s">
        <v>535</v>
      </c>
      <c r="E129" s="51" t="s">
        <v>240</v>
      </c>
      <c r="F129" s="51" t="s">
        <v>183</v>
      </c>
      <c r="G129" s="51" t="s">
        <v>141</v>
      </c>
      <c r="H129" s="51">
        <v>1005002112</v>
      </c>
      <c r="I129" s="51" t="s">
        <v>39</v>
      </c>
      <c r="J129" s="51">
        <v>65</v>
      </c>
      <c r="K129" s="51" t="s">
        <v>184</v>
      </c>
      <c r="L129" s="51">
        <v>1001026174</v>
      </c>
      <c r="M129" s="51">
        <v>1142000002885</v>
      </c>
      <c r="N129" s="51" t="s">
        <v>144</v>
      </c>
      <c r="O129" s="138" t="s">
        <v>145</v>
      </c>
      <c r="P129" s="51" t="s">
        <v>146</v>
      </c>
      <c r="Q129" s="51" t="s">
        <v>147</v>
      </c>
      <c r="R129" s="51" t="s">
        <v>148</v>
      </c>
      <c r="S129" s="74">
        <v>1018770</v>
      </c>
      <c r="T129" s="74">
        <v>203754000</v>
      </c>
      <c r="U129" s="74"/>
      <c r="V129" s="74">
        <v>203754000</v>
      </c>
    </row>
    <row r="130" spans="1:22" ht="15" customHeight="1">
      <c r="A130" s="51">
        <v>9</v>
      </c>
      <c r="B130" s="51" t="s">
        <v>554</v>
      </c>
      <c r="C130" s="51" t="s">
        <v>555</v>
      </c>
      <c r="D130" s="51" t="s">
        <v>535</v>
      </c>
      <c r="E130" s="51" t="s">
        <v>240</v>
      </c>
      <c r="F130" s="51" t="s">
        <v>183</v>
      </c>
      <c r="G130" s="51" t="s">
        <v>141</v>
      </c>
      <c r="H130" s="51">
        <v>1005002113</v>
      </c>
      <c r="I130" s="51" t="s">
        <v>39</v>
      </c>
      <c r="J130" s="51">
        <v>65</v>
      </c>
      <c r="K130" s="51" t="s">
        <v>184</v>
      </c>
      <c r="L130" s="51">
        <v>1001026298</v>
      </c>
      <c r="M130" s="51">
        <v>1142000002897</v>
      </c>
      <c r="N130" s="51" t="s">
        <v>144</v>
      </c>
      <c r="O130" s="138" t="s">
        <v>145</v>
      </c>
      <c r="P130" s="51" t="s">
        <v>146</v>
      </c>
      <c r="Q130" s="51" t="s">
        <v>147</v>
      </c>
      <c r="R130" s="51" t="s">
        <v>148</v>
      </c>
      <c r="S130" s="74">
        <v>1003230</v>
      </c>
      <c r="T130" s="74">
        <v>200646000</v>
      </c>
      <c r="U130" s="74"/>
      <c r="V130" s="74">
        <v>200646000</v>
      </c>
    </row>
    <row r="131" spans="1:22" ht="15" customHeight="1">
      <c r="A131" s="51">
        <v>9</v>
      </c>
      <c r="B131" s="51" t="s">
        <v>554</v>
      </c>
      <c r="C131" s="51" t="s">
        <v>555</v>
      </c>
      <c r="D131" s="51" t="s">
        <v>535</v>
      </c>
      <c r="E131" s="51" t="s">
        <v>240</v>
      </c>
      <c r="F131" s="51" t="s">
        <v>183</v>
      </c>
      <c r="G131" s="51" t="s">
        <v>141</v>
      </c>
      <c r="H131" s="51">
        <v>1005002114</v>
      </c>
      <c r="I131" s="51" t="s">
        <v>39</v>
      </c>
      <c r="J131" s="51">
        <v>65</v>
      </c>
      <c r="K131" s="51" t="s">
        <v>184</v>
      </c>
      <c r="L131" s="51">
        <v>1001026299</v>
      </c>
      <c r="M131" s="51">
        <v>1142000002898</v>
      </c>
      <c r="N131" s="51" t="s">
        <v>144</v>
      </c>
      <c r="O131" s="138" t="s">
        <v>145</v>
      </c>
      <c r="P131" s="51" t="s">
        <v>146</v>
      </c>
      <c r="Q131" s="51" t="s">
        <v>147</v>
      </c>
      <c r="R131" s="51" t="s">
        <v>148</v>
      </c>
      <c r="S131" s="74">
        <v>1006860</v>
      </c>
      <c r="T131" s="74">
        <v>201372000</v>
      </c>
      <c r="U131" s="74"/>
      <c r="V131" s="74">
        <v>201372000</v>
      </c>
    </row>
    <row r="132" spans="1:22" ht="15" customHeight="1">
      <c r="A132" s="51">
        <v>9</v>
      </c>
      <c r="B132" s="51" t="s">
        <v>554</v>
      </c>
      <c r="C132" s="51" t="s">
        <v>555</v>
      </c>
      <c r="D132" s="51" t="s">
        <v>535</v>
      </c>
      <c r="E132" s="51" t="s">
        <v>240</v>
      </c>
      <c r="F132" s="51" t="s">
        <v>183</v>
      </c>
      <c r="G132" s="51" t="s">
        <v>141</v>
      </c>
      <c r="H132" s="51">
        <v>1005002115</v>
      </c>
      <c r="I132" s="51" t="s">
        <v>39</v>
      </c>
      <c r="J132" s="51">
        <v>65</v>
      </c>
      <c r="K132" s="51" t="s">
        <v>184</v>
      </c>
      <c r="L132" s="51">
        <v>1001026451</v>
      </c>
      <c r="M132" s="51">
        <v>1142000002911</v>
      </c>
      <c r="N132" s="51" t="s">
        <v>144</v>
      </c>
      <c r="O132" s="138" t="s">
        <v>145</v>
      </c>
      <c r="P132" s="51" t="s">
        <v>146</v>
      </c>
      <c r="Q132" s="51" t="s">
        <v>147</v>
      </c>
      <c r="R132" s="51" t="s">
        <v>148</v>
      </c>
      <c r="S132" s="74">
        <v>997610</v>
      </c>
      <c r="T132" s="74">
        <v>199522000</v>
      </c>
      <c r="U132" s="74"/>
      <c r="V132" s="74">
        <v>199522000</v>
      </c>
    </row>
    <row r="133" spans="1:22" ht="15" customHeight="1">
      <c r="A133" s="51">
        <v>9</v>
      </c>
      <c r="B133" s="51" t="s">
        <v>554</v>
      </c>
      <c r="C133" s="51" t="s">
        <v>555</v>
      </c>
      <c r="D133" s="51" t="s">
        <v>535</v>
      </c>
      <c r="E133" s="51" t="s">
        <v>240</v>
      </c>
      <c r="F133" s="51" t="s">
        <v>183</v>
      </c>
      <c r="G133" s="51" t="s">
        <v>141</v>
      </c>
      <c r="H133" s="51">
        <v>1005002116</v>
      </c>
      <c r="I133" s="51" t="s">
        <v>39</v>
      </c>
      <c r="J133" s="51">
        <v>65</v>
      </c>
      <c r="K133" s="51" t="s">
        <v>184</v>
      </c>
      <c r="L133" s="51">
        <v>1001026458</v>
      </c>
      <c r="M133" s="51">
        <v>1142000002914</v>
      </c>
      <c r="N133" s="51" t="s">
        <v>144</v>
      </c>
      <c r="O133" s="138" t="s">
        <v>145</v>
      </c>
      <c r="P133" s="51" t="s">
        <v>146</v>
      </c>
      <c r="Q133" s="51" t="s">
        <v>147</v>
      </c>
      <c r="R133" s="51" t="s">
        <v>148</v>
      </c>
      <c r="S133" s="74">
        <v>1018510</v>
      </c>
      <c r="T133" s="74">
        <v>203702000</v>
      </c>
      <c r="U133" s="74"/>
      <c r="V133" s="74">
        <v>203702000</v>
      </c>
    </row>
    <row r="134" spans="1:22" ht="15" customHeight="1">
      <c r="A134" s="51">
        <v>9</v>
      </c>
      <c r="B134" s="51" t="s">
        <v>554</v>
      </c>
      <c r="C134" s="51" t="s">
        <v>555</v>
      </c>
      <c r="D134" s="51" t="s">
        <v>535</v>
      </c>
      <c r="E134" s="51" t="s">
        <v>240</v>
      </c>
      <c r="F134" s="51" t="s">
        <v>183</v>
      </c>
      <c r="G134" s="51" t="s">
        <v>141</v>
      </c>
      <c r="H134" s="51">
        <v>1005002286</v>
      </c>
      <c r="I134" s="51" t="s">
        <v>40</v>
      </c>
      <c r="J134" s="51">
        <v>37</v>
      </c>
      <c r="K134" s="51" t="s">
        <v>184</v>
      </c>
      <c r="L134" s="51">
        <v>1001026664</v>
      </c>
      <c r="M134" s="51">
        <v>1142000002938</v>
      </c>
      <c r="N134" s="51" t="s">
        <v>144</v>
      </c>
      <c r="O134" s="138" t="s">
        <v>145</v>
      </c>
      <c r="P134" s="51" t="s">
        <v>146</v>
      </c>
      <c r="Q134" s="51" t="s">
        <v>147</v>
      </c>
      <c r="R134" s="51" t="s">
        <v>148</v>
      </c>
      <c r="S134" s="74">
        <v>830030</v>
      </c>
      <c r="T134" s="74">
        <v>971007000</v>
      </c>
      <c r="U134" s="74"/>
      <c r="V134" s="74">
        <v>971007000</v>
      </c>
    </row>
    <row r="135" spans="1:22" ht="15" customHeight="1">
      <c r="A135" s="51">
        <v>9</v>
      </c>
      <c r="B135" s="51" t="s">
        <v>554</v>
      </c>
      <c r="C135" s="51" t="s">
        <v>555</v>
      </c>
      <c r="D135" s="51" t="s">
        <v>535</v>
      </c>
      <c r="E135" s="51" t="s">
        <v>240</v>
      </c>
      <c r="F135" s="51" t="s">
        <v>183</v>
      </c>
      <c r="G135" s="51" t="s">
        <v>141</v>
      </c>
      <c r="H135" s="51">
        <v>1005002287</v>
      </c>
      <c r="I135" s="51" t="s">
        <v>40</v>
      </c>
      <c r="J135" s="51">
        <v>37</v>
      </c>
      <c r="K135" s="51" t="s">
        <v>184</v>
      </c>
      <c r="L135" s="51">
        <v>1001026663</v>
      </c>
      <c r="M135" s="51">
        <v>1142000002937</v>
      </c>
      <c r="N135" s="51" t="s">
        <v>144</v>
      </c>
      <c r="O135" s="138" t="s">
        <v>145</v>
      </c>
      <c r="P135" s="51" t="s">
        <v>146</v>
      </c>
      <c r="Q135" s="51" t="s">
        <v>147</v>
      </c>
      <c r="R135" s="51" t="s">
        <v>148</v>
      </c>
      <c r="S135" s="74">
        <v>913340</v>
      </c>
      <c r="T135" s="74">
        <v>1001583000</v>
      </c>
      <c r="U135" s="74"/>
      <c r="V135" s="74">
        <v>1001583000</v>
      </c>
    </row>
    <row r="136" spans="1:22" ht="15" customHeight="1">
      <c r="A136" s="51">
        <v>9</v>
      </c>
      <c r="B136" s="51" t="s">
        <v>554</v>
      </c>
      <c r="C136" s="51" t="s">
        <v>555</v>
      </c>
      <c r="D136" s="51" t="s">
        <v>535</v>
      </c>
      <c r="E136" s="51" t="s">
        <v>240</v>
      </c>
      <c r="F136" s="51" t="s">
        <v>183</v>
      </c>
      <c r="G136" s="51" t="s">
        <v>141</v>
      </c>
      <c r="H136" s="51">
        <v>1005002289</v>
      </c>
      <c r="I136" s="51" t="s">
        <v>40</v>
      </c>
      <c r="J136" s="51">
        <v>37</v>
      </c>
      <c r="K136" s="51" t="s">
        <v>184</v>
      </c>
      <c r="L136" s="51">
        <v>1001027094</v>
      </c>
      <c r="M136" s="51">
        <v>1142000003000</v>
      </c>
      <c r="N136" s="51" t="s">
        <v>144</v>
      </c>
      <c r="O136" s="138" t="s">
        <v>145</v>
      </c>
      <c r="P136" s="51" t="s">
        <v>146</v>
      </c>
      <c r="Q136" s="51" t="s">
        <v>147</v>
      </c>
      <c r="R136" s="51" t="s">
        <v>148</v>
      </c>
      <c r="S136" s="74">
        <v>1002880</v>
      </c>
      <c r="T136" s="74">
        <v>1188012000</v>
      </c>
      <c r="U136" s="74"/>
      <c r="V136" s="74">
        <v>1188012000</v>
      </c>
    </row>
    <row r="137" spans="1:22" ht="15" customHeight="1">
      <c r="A137" s="51">
        <v>9</v>
      </c>
      <c r="B137" s="51" t="s">
        <v>554</v>
      </c>
      <c r="C137" s="51" t="s">
        <v>555</v>
      </c>
      <c r="D137" s="51" t="s">
        <v>535</v>
      </c>
      <c r="E137" s="51" t="s">
        <v>240</v>
      </c>
      <c r="F137" s="51" t="s">
        <v>183</v>
      </c>
      <c r="G137" s="51" t="s">
        <v>141</v>
      </c>
      <c r="H137" s="51">
        <v>1005002291</v>
      </c>
      <c r="I137" s="51" t="s">
        <v>41</v>
      </c>
      <c r="J137" s="51">
        <v>36</v>
      </c>
      <c r="K137" s="51" t="s">
        <v>184</v>
      </c>
      <c r="L137" s="51">
        <v>1001027093</v>
      </c>
      <c r="M137" s="51">
        <v>1142000002999</v>
      </c>
      <c r="N137" s="51" t="s">
        <v>144</v>
      </c>
      <c r="O137" s="138" t="s">
        <v>145</v>
      </c>
      <c r="P137" s="51" t="s">
        <v>146</v>
      </c>
      <c r="Q137" s="51" t="s">
        <v>147</v>
      </c>
      <c r="R137" s="51" t="s">
        <v>148</v>
      </c>
      <c r="S137" s="74">
        <v>862360</v>
      </c>
      <c r="T137" s="74">
        <v>1163690000</v>
      </c>
      <c r="U137" s="74"/>
      <c r="V137" s="74">
        <v>1163690000</v>
      </c>
    </row>
    <row r="138" spans="1:22" ht="15" customHeight="1">
      <c r="A138" s="51">
        <v>9</v>
      </c>
      <c r="B138" s="51" t="s">
        <v>554</v>
      </c>
      <c r="C138" s="51" t="s">
        <v>555</v>
      </c>
      <c r="D138" s="51" t="s">
        <v>535</v>
      </c>
      <c r="E138" s="51" t="s">
        <v>240</v>
      </c>
      <c r="F138" s="51" t="s">
        <v>183</v>
      </c>
      <c r="G138" s="51" t="s">
        <v>141</v>
      </c>
      <c r="H138" s="51">
        <v>1005002330</v>
      </c>
      <c r="I138" s="51" t="s">
        <v>10</v>
      </c>
      <c r="J138" s="51">
        <v>31</v>
      </c>
      <c r="K138" s="51" t="s">
        <v>184</v>
      </c>
      <c r="L138" s="51">
        <v>1001027515</v>
      </c>
      <c r="M138" s="51">
        <v>1142000003089</v>
      </c>
      <c r="N138" s="51" t="s">
        <v>144</v>
      </c>
      <c r="O138" s="138" t="s">
        <v>145</v>
      </c>
      <c r="P138" s="51" t="s">
        <v>146</v>
      </c>
      <c r="Q138" s="51" t="s">
        <v>147</v>
      </c>
      <c r="R138" s="51" t="s">
        <v>148</v>
      </c>
      <c r="S138" s="74">
        <v>1000540</v>
      </c>
      <c r="T138" s="74">
        <v>657542000</v>
      </c>
      <c r="U138" s="74"/>
      <c r="V138" s="74">
        <v>657542000</v>
      </c>
    </row>
    <row r="139" spans="1:22" ht="15" customHeight="1">
      <c r="A139" s="51">
        <v>9</v>
      </c>
      <c r="B139" s="51" t="s">
        <v>554</v>
      </c>
      <c r="C139" s="51" t="s">
        <v>555</v>
      </c>
      <c r="D139" s="51" t="s">
        <v>535</v>
      </c>
      <c r="E139" s="51" t="s">
        <v>240</v>
      </c>
      <c r="F139" s="51" t="s">
        <v>183</v>
      </c>
      <c r="G139" s="51" t="s">
        <v>141</v>
      </c>
      <c r="H139" s="51">
        <v>1005002344</v>
      </c>
      <c r="I139" s="51" t="s">
        <v>42</v>
      </c>
      <c r="J139" s="51">
        <v>29</v>
      </c>
      <c r="K139" s="51" t="s">
        <v>184</v>
      </c>
      <c r="L139" s="51">
        <v>1001027516</v>
      </c>
      <c r="M139" s="51">
        <v>1142000003090</v>
      </c>
      <c r="N139" s="51" t="s">
        <v>144</v>
      </c>
      <c r="O139" s="138" t="s">
        <v>145</v>
      </c>
      <c r="P139" s="51" t="s">
        <v>146</v>
      </c>
      <c r="Q139" s="51" t="s">
        <v>147</v>
      </c>
      <c r="R139" s="51" t="s">
        <v>148</v>
      </c>
      <c r="S139" s="74">
        <v>1007390</v>
      </c>
      <c r="T139" s="74">
        <v>503584000</v>
      </c>
      <c r="U139" s="74"/>
      <c r="V139" s="74">
        <v>503584000</v>
      </c>
    </row>
    <row r="140" spans="1:22" ht="15" customHeight="1">
      <c r="A140" s="51">
        <v>9</v>
      </c>
      <c r="B140" s="51" t="s">
        <v>554</v>
      </c>
      <c r="C140" s="51" t="s">
        <v>555</v>
      </c>
      <c r="D140" s="51" t="s">
        <v>535</v>
      </c>
      <c r="E140" s="51" t="s">
        <v>556</v>
      </c>
      <c r="F140" s="51" t="s">
        <v>170</v>
      </c>
      <c r="G140" s="51" t="s">
        <v>141</v>
      </c>
      <c r="H140" s="51">
        <v>1005002439</v>
      </c>
      <c r="I140" s="51" t="s">
        <v>6</v>
      </c>
      <c r="J140" s="51">
        <v>11</v>
      </c>
      <c r="K140" s="51" t="s">
        <v>184</v>
      </c>
      <c r="L140" s="51">
        <v>1001027303</v>
      </c>
      <c r="M140" s="51">
        <v>1142000003044</v>
      </c>
      <c r="N140" s="51" t="s">
        <v>144</v>
      </c>
      <c r="O140" s="138" t="s">
        <v>145</v>
      </c>
      <c r="P140" s="51" t="s">
        <v>146</v>
      </c>
      <c r="Q140" s="51" t="s">
        <v>147</v>
      </c>
      <c r="R140" s="51" t="s">
        <v>148</v>
      </c>
      <c r="S140" s="74">
        <v>476180</v>
      </c>
      <c r="T140" s="74">
        <v>83484000</v>
      </c>
      <c r="U140" s="74"/>
      <c r="V140" s="74">
        <v>83484000</v>
      </c>
    </row>
    <row r="141" spans="1:22" ht="15" customHeight="1">
      <c r="A141" s="51">
        <v>9</v>
      </c>
      <c r="B141" s="51" t="s">
        <v>554</v>
      </c>
      <c r="C141" s="51" t="s">
        <v>555</v>
      </c>
      <c r="D141" s="51" t="s">
        <v>535</v>
      </c>
      <c r="E141" s="51" t="s">
        <v>557</v>
      </c>
      <c r="F141" s="51" t="s">
        <v>183</v>
      </c>
      <c r="G141" s="51" t="s">
        <v>141</v>
      </c>
      <c r="H141" s="51">
        <v>1005002450</v>
      </c>
      <c r="I141" s="51" t="s">
        <v>12</v>
      </c>
      <c r="J141" s="51">
        <v>10</v>
      </c>
      <c r="K141" s="51" t="s">
        <v>184</v>
      </c>
      <c r="L141" s="51">
        <v>1001027666</v>
      </c>
      <c r="M141" s="51">
        <v>1142000003116</v>
      </c>
      <c r="N141" s="51" t="s">
        <v>351</v>
      </c>
      <c r="O141" s="138" t="s">
        <v>352</v>
      </c>
      <c r="P141" s="51" t="s">
        <v>146</v>
      </c>
      <c r="Q141" s="51" t="s">
        <v>147</v>
      </c>
      <c r="R141" s="51" t="s">
        <v>148</v>
      </c>
      <c r="S141" s="74">
        <v>2864.59</v>
      </c>
      <c r="T141" s="74">
        <v>34461018</v>
      </c>
      <c r="U141" s="74"/>
      <c r="V141" s="74">
        <v>34461018</v>
      </c>
    </row>
    <row r="142" spans="1:22" ht="15" customHeight="1">
      <c r="A142" s="51">
        <v>9</v>
      </c>
      <c r="B142" s="51" t="s">
        <v>554</v>
      </c>
      <c r="C142" s="51" t="s">
        <v>555</v>
      </c>
      <c r="D142" s="51" t="s">
        <v>535</v>
      </c>
      <c r="E142" s="51" t="s">
        <v>240</v>
      </c>
      <c r="F142" s="51" t="s">
        <v>183</v>
      </c>
      <c r="G142" s="51" t="s">
        <v>141</v>
      </c>
      <c r="H142" s="51">
        <v>1005002471</v>
      </c>
      <c r="I142" s="51" t="s">
        <v>28</v>
      </c>
      <c r="J142" s="51">
        <v>8</v>
      </c>
      <c r="K142" s="51" t="s">
        <v>184</v>
      </c>
      <c r="L142" s="51">
        <v>1001027136</v>
      </c>
      <c r="M142" s="51">
        <v>1142000003009</v>
      </c>
      <c r="N142" s="51" t="s">
        <v>144</v>
      </c>
      <c r="O142" s="138" t="s">
        <v>145</v>
      </c>
      <c r="P142" s="51" t="s">
        <v>146</v>
      </c>
      <c r="Q142" s="51" t="s">
        <v>147</v>
      </c>
      <c r="R142" s="51" t="s">
        <v>148</v>
      </c>
      <c r="S142" s="74">
        <v>1004890</v>
      </c>
      <c r="T142" s="74">
        <v>1198791000</v>
      </c>
      <c r="U142" s="74"/>
      <c r="V142" s="74">
        <v>1198791000</v>
      </c>
    </row>
    <row r="143" spans="1:22" ht="15" customHeight="1">
      <c r="A143" s="51">
        <v>9</v>
      </c>
      <c r="B143" s="51" t="s">
        <v>554</v>
      </c>
      <c r="C143" s="51" t="s">
        <v>555</v>
      </c>
      <c r="D143" s="51" t="s">
        <v>535</v>
      </c>
      <c r="E143" s="51" t="s">
        <v>262</v>
      </c>
      <c r="F143" s="51" t="s">
        <v>170</v>
      </c>
      <c r="G143" s="51" t="s">
        <v>141</v>
      </c>
      <c r="H143" s="51">
        <v>1005002480</v>
      </c>
      <c r="I143" s="51" t="s">
        <v>48</v>
      </c>
      <c r="J143" s="51">
        <v>7</v>
      </c>
      <c r="K143" s="51" t="s">
        <v>184</v>
      </c>
      <c r="L143" s="51">
        <v>1001027999</v>
      </c>
      <c r="M143" s="51">
        <v>1142000003152</v>
      </c>
      <c r="N143" s="51" t="s">
        <v>144</v>
      </c>
      <c r="O143" s="138" t="s">
        <v>145</v>
      </c>
      <c r="P143" s="51" t="s">
        <v>146</v>
      </c>
      <c r="Q143" s="51" t="s">
        <v>147</v>
      </c>
      <c r="R143" s="51" t="s">
        <v>148</v>
      </c>
      <c r="S143" s="74">
        <v>1006180</v>
      </c>
      <c r="T143" s="74">
        <v>53769500</v>
      </c>
      <c r="U143" s="74"/>
      <c r="V143" s="74">
        <v>53769500</v>
      </c>
    </row>
    <row r="144" spans="1:22" ht="15" customHeight="1">
      <c r="A144" s="51">
        <v>9</v>
      </c>
      <c r="B144" s="51" t="s">
        <v>554</v>
      </c>
      <c r="C144" s="51" t="s">
        <v>555</v>
      </c>
      <c r="D144" s="51" t="s">
        <v>535</v>
      </c>
      <c r="E144" s="51" t="s">
        <v>555</v>
      </c>
      <c r="F144" s="51" t="s">
        <v>170</v>
      </c>
      <c r="G144" s="51" t="s">
        <v>141</v>
      </c>
      <c r="H144" s="51">
        <v>1005001816</v>
      </c>
      <c r="I144" s="51" t="s">
        <v>104</v>
      </c>
      <c r="J144" s="51">
        <v>99</v>
      </c>
      <c r="K144" s="51" t="s">
        <v>184</v>
      </c>
      <c r="L144" s="51">
        <v>1001020464</v>
      </c>
      <c r="M144" s="51">
        <v>1142000002348</v>
      </c>
      <c r="N144" s="51" t="s">
        <v>178</v>
      </c>
      <c r="O144" s="138" t="s">
        <v>179</v>
      </c>
      <c r="P144" s="51" t="s">
        <v>146</v>
      </c>
      <c r="Q144" s="51" t="s">
        <v>147</v>
      </c>
      <c r="R144" s="51" t="s">
        <v>148</v>
      </c>
      <c r="S144" s="74">
        <v>231.15</v>
      </c>
      <c r="T144" s="74">
        <v>164117</v>
      </c>
      <c r="U144" s="74"/>
      <c r="V144" s="74">
        <v>164117</v>
      </c>
    </row>
    <row r="145" spans="1:22" ht="15" customHeight="1">
      <c r="A145" s="56"/>
      <c r="B145" s="56" t="s">
        <v>149</v>
      </c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139"/>
      <c r="P145" s="56" t="s">
        <v>146</v>
      </c>
      <c r="Q145" s="56"/>
      <c r="R145" s="56"/>
      <c r="S145" s="58">
        <v>42261405.740000002</v>
      </c>
      <c r="T145" s="58">
        <v>12956555675</v>
      </c>
      <c r="U145" s="58"/>
      <c r="V145" s="58">
        <v>12956555675</v>
      </c>
    </row>
    <row r="146" spans="1:22" ht="15" customHeight="1">
      <c r="A146" s="51">
        <v>10</v>
      </c>
      <c r="B146" s="51" t="s">
        <v>561</v>
      </c>
      <c r="C146" s="51" t="s">
        <v>562</v>
      </c>
      <c r="D146" s="51" t="s">
        <v>535</v>
      </c>
      <c r="E146" s="51" t="s">
        <v>562</v>
      </c>
      <c r="F146" s="51" t="s">
        <v>183</v>
      </c>
      <c r="G146" s="51" t="s">
        <v>141</v>
      </c>
      <c r="H146" s="51">
        <v>1005002412</v>
      </c>
      <c r="I146" s="51" t="s">
        <v>11</v>
      </c>
      <c r="J146" s="51">
        <v>14</v>
      </c>
      <c r="K146" s="51" t="s">
        <v>184</v>
      </c>
      <c r="L146" s="51">
        <v>1001026034</v>
      </c>
      <c r="M146" s="51">
        <v>1172000000480</v>
      </c>
      <c r="N146" s="51" t="s">
        <v>144</v>
      </c>
      <c r="O146" s="138" t="s">
        <v>145</v>
      </c>
      <c r="P146" s="51" t="s">
        <v>146</v>
      </c>
      <c r="Q146" s="51" t="s">
        <v>147</v>
      </c>
      <c r="R146" s="51" t="s">
        <v>148</v>
      </c>
      <c r="S146" s="74">
        <v>250200</v>
      </c>
      <c r="T146" s="74">
        <v>25020000</v>
      </c>
      <c r="U146" s="74"/>
      <c r="V146" s="74">
        <v>25020000</v>
      </c>
    </row>
    <row r="147" spans="1:22" ht="15" customHeight="1">
      <c r="A147" s="51">
        <v>10</v>
      </c>
      <c r="B147" s="51" t="s">
        <v>561</v>
      </c>
      <c r="C147" s="51" t="s">
        <v>562</v>
      </c>
      <c r="D147" s="51" t="s">
        <v>535</v>
      </c>
      <c r="E147" s="51" t="s">
        <v>562</v>
      </c>
      <c r="F147" s="51" t="s">
        <v>183</v>
      </c>
      <c r="G147" s="51" t="s">
        <v>141</v>
      </c>
      <c r="H147" s="51">
        <v>1005002414</v>
      </c>
      <c r="I147" s="51" t="s">
        <v>11</v>
      </c>
      <c r="J147" s="51">
        <v>14</v>
      </c>
      <c r="K147" s="51" t="s">
        <v>184</v>
      </c>
      <c r="L147" s="51">
        <v>1001026152</v>
      </c>
      <c r="M147" s="51">
        <v>1172000000482</v>
      </c>
      <c r="N147" s="51" t="s">
        <v>144</v>
      </c>
      <c r="O147" s="138" t="s">
        <v>145</v>
      </c>
      <c r="P147" s="51" t="s">
        <v>146</v>
      </c>
      <c r="Q147" s="51" t="s">
        <v>147</v>
      </c>
      <c r="R147" s="51" t="s">
        <v>148</v>
      </c>
      <c r="S147" s="74">
        <v>350000</v>
      </c>
      <c r="T147" s="74">
        <v>35000000</v>
      </c>
      <c r="U147" s="74"/>
      <c r="V147" s="74">
        <v>35000000</v>
      </c>
    </row>
    <row r="148" spans="1:22" ht="15" customHeight="1">
      <c r="A148" s="51">
        <v>10</v>
      </c>
      <c r="B148" s="51" t="s">
        <v>561</v>
      </c>
      <c r="C148" s="51" t="s">
        <v>562</v>
      </c>
      <c r="D148" s="51" t="s">
        <v>535</v>
      </c>
      <c r="E148" s="51" t="s">
        <v>562</v>
      </c>
      <c r="F148" s="51" t="s">
        <v>183</v>
      </c>
      <c r="G148" s="51" t="s">
        <v>141</v>
      </c>
      <c r="H148" s="51">
        <v>1005002415</v>
      </c>
      <c r="I148" s="51" t="s">
        <v>11</v>
      </c>
      <c r="J148" s="51">
        <v>14</v>
      </c>
      <c r="K148" s="51" t="s">
        <v>184</v>
      </c>
      <c r="L148" s="51">
        <v>1001026265</v>
      </c>
      <c r="M148" s="51">
        <v>1172000000483</v>
      </c>
      <c r="N148" s="51" t="s">
        <v>144</v>
      </c>
      <c r="O148" s="138" t="s">
        <v>145</v>
      </c>
      <c r="P148" s="51" t="s">
        <v>146</v>
      </c>
      <c r="Q148" s="51" t="s">
        <v>147</v>
      </c>
      <c r="R148" s="51" t="s">
        <v>148</v>
      </c>
      <c r="S148" s="74">
        <v>300000</v>
      </c>
      <c r="T148" s="74">
        <v>30000000</v>
      </c>
      <c r="U148" s="74"/>
      <c r="V148" s="74">
        <v>30000000</v>
      </c>
    </row>
    <row r="149" spans="1:22" ht="15" customHeight="1">
      <c r="A149" s="51">
        <v>10</v>
      </c>
      <c r="B149" s="51" t="s">
        <v>561</v>
      </c>
      <c r="C149" s="51" t="s">
        <v>562</v>
      </c>
      <c r="D149" s="51" t="s">
        <v>535</v>
      </c>
      <c r="E149" s="51" t="s">
        <v>562</v>
      </c>
      <c r="F149" s="51" t="s">
        <v>183</v>
      </c>
      <c r="G149" s="51" t="s">
        <v>141</v>
      </c>
      <c r="H149" s="51">
        <v>1005002416</v>
      </c>
      <c r="I149" s="51" t="s">
        <v>11</v>
      </c>
      <c r="J149" s="51">
        <v>14</v>
      </c>
      <c r="K149" s="51" t="s">
        <v>184</v>
      </c>
      <c r="L149" s="51">
        <v>1001026268</v>
      </c>
      <c r="M149" s="51">
        <v>1172000000484</v>
      </c>
      <c r="N149" s="51" t="s">
        <v>144</v>
      </c>
      <c r="O149" s="138" t="s">
        <v>145</v>
      </c>
      <c r="P149" s="51" t="s">
        <v>146</v>
      </c>
      <c r="Q149" s="51" t="s">
        <v>147</v>
      </c>
      <c r="R149" s="51" t="s">
        <v>148</v>
      </c>
      <c r="S149" s="74">
        <v>50000</v>
      </c>
      <c r="T149" s="74">
        <v>5000000</v>
      </c>
      <c r="U149" s="74"/>
      <c r="V149" s="74">
        <v>5000000</v>
      </c>
    </row>
    <row r="150" spans="1:22" ht="15" customHeight="1">
      <c r="A150" s="51">
        <v>10</v>
      </c>
      <c r="B150" s="51" t="s">
        <v>561</v>
      </c>
      <c r="C150" s="51" t="s">
        <v>562</v>
      </c>
      <c r="D150" s="51" t="s">
        <v>535</v>
      </c>
      <c r="E150" s="51" t="s">
        <v>562</v>
      </c>
      <c r="F150" s="51" t="s">
        <v>183</v>
      </c>
      <c r="G150" s="51" t="s">
        <v>141</v>
      </c>
      <c r="H150" s="51">
        <v>1005002417</v>
      </c>
      <c r="I150" s="51" t="s">
        <v>11</v>
      </c>
      <c r="J150" s="51">
        <v>14</v>
      </c>
      <c r="K150" s="51" t="s">
        <v>184</v>
      </c>
      <c r="L150" s="51">
        <v>1001026334</v>
      </c>
      <c r="M150" s="51">
        <v>1172000000485</v>
      </c>
      <c r="N150" s="51" t="s">
        <v>144</v>
      </c>
      <c r="O150" s="138" t="s">
        <v>145</v>
      </c>
      <c r="P150" s="51" t="s">
        <v>146</v>
      </c>
      <c r="Q150" s="51" t="s">
        <v>147</v>
      </c>
      <c r="R150" s="51" t="s">
        <v>148</v>
      </c>
      <c r="S150" s="74">
        <v>350000</v>
      </c>
      <c r="T150" s="74">
        <v>35000000</v>
      </c>
      <c r="U150" s="74"/>
      <c r="V150" s="74">
        <v>35000000</v>
      </c>
    </row>
    <row r="151" spans="1:22" ht="15" customHeight="1">
      <c r="A151" s="51">
        <v>10</v>
      </c>
      <c r="B151" s="51" t="s">
        <v>561</v>
      </c>
      <c r="C151" s="51" t="s">
        <v>562</v>
      </c>
      <c r="D151" s="51" t="s">
        <v>535</v>
      </c>
      <c r="E151" s="51" t="s">
        <v>562</v>
      </c>
      <c r="F151" s="51" t="s">
        <v>183</v>
      </c>
      <c r="G151" s="51" t="s">
        <v>141</v>
      </c>
      <c r="H151" s="51">
        <v>1005002418</v>
      </c>
      <c r="I151" s="51" t="s">
        <v>11</v>
      </c>
      <c r="J151" s="51">
        <v>14</v>
      </c>
      <c r="K151" s="51" t="s">
        <v>184</v>
      </c>
      <c r="L151" s="51">
        <v>1001026505</v>
      </c>
      <c r="M151" s="51">
        <v>1172000000487</v>
      </c>
      <c r="N151" s="51" t="s">
        <v>144</v>
      </c>
      <c r="O151" s="138" t="s">
        <v>145</v>
      </c>
      <c r="P151" s="51" t="s">
        <v>146</v>
      </c>
      <c r="Q151" s="51" t="s">
        <v>147</v>
      </c>
      <c r="R151" s="51" t="s">
        <v>148</v>
      </c>
      <c r="S151" s="74">
        <v>250000</v>
      </c>
      <c r="T151" s="74">
        <v>25000000</v>
      </c>
      <c r="U151" s="74"/>
      <c r="V151" s="74">
        <v>25000000</v>
      </c>
    </row>
    <row r="152" spans="1:22" ht="15" customHeight="1">
      <c r="A152" s="51">
        <v>10</v>
      </c>
      <c r="B152" s="51" t="s">
        <v>561</v>
      </c>
      <c r="C152" s="51" t="s">
        <v>562</v>
      </c>
      <c r="D152" s="51" t="s">
        <v>535</v>
      </c>
      <c r="E152" s="51" t="s">
        <v>562</v>
      </c>
      <c r="F152" s="51" t="s">
        <v>183</v>
      </c>
      <c r="G152" s="51" t="s">
        <v>141</v>
      </c>
      <c r="H152" s="51">
        <v>1005002419</v>
      </c>
      <c r="I152" s="51" t="s">
        <v>11</v>
      </c>
      <c r="J152" s="51">
        <v>14</v>
      </c>
      <c r="K152" s="51" t="s">
        <v>184</v>
      </c>
      <c r="L152" s="51">
        <v>1001026533</v>
      </c>
      <c r="M152" s="51">
        <v>1172000000488</v>
      </c>
      <c r="N152" s="51" t="s">
        <v>144</v>
      </c>
      <c r="O152" s="138" t="s">
        <v>145</v>
      </c>
      <c r="P152" s="51" t="s">
        <v>146</v>
      </c>
      <c r="Q152" s="51" t="s">
        <v>147</v>
      </c>
      <c r="R152" s="51" t="s">
        <v>148</v>
      </c>
      <c r="S152" s="74">
        <v>250000</v>
      </c>
      <c r="T152" s="74">
        <v>25000000</v>
      </c>
      <c r="U152" s="74"/>
      <c r="V152" s="74">
        <v>25000000</v>
      </c>
    </row>
    <row r="153" spans="1:22" ht="15" customHeight="1">
      <c r="A153" s="51">
        <v>10</v>
      </c>
      <c r="B153" s="51" t="s">
        <v>561</v>
      </c>
      <c r="C153" s="51" t="s">
        <v>562</v>
      </c>
      <c r="D153" s="51" t="s">
        <v>535</v>
      </c>
      <c r="E153" s="51" t="s">
        <v>562</v>
      </c>
      <c r="F153" s="51" t="s">
        <v>183</v>
      </c>
      <c r="G153" s="51" t="s">
        <v>141</v>
      </c>
      <c r="H153" s="51">
        <v>1005002421</v>
      </c>
      <c r="I153" s="51" t="s">
        <v>11</v>
      </c>
      <c r="J153" s="51">
        <v>14</v>
      </c>
      <c r="K153" s="51" t="s">
        <v>184</v>
      </c>
      <c r="L153" s="51">
        <v>1001026678</v>
      </c>
      <c r="M153" s="51">
        <v>1172000000490</v>
      </c>
      <c r="N153" s="51" t="s">
        <v>144</v>
      </c>
      <c r="O153" s="138" t="s">
        <v>145</v>
      </c>
      <c r="P153" s="51" t="s">
        <v>146</v>
      </c>
      <c r="Q153" s="51" t="s">
        <v>147</v>
      </c>
      <c r="R153" s="51" t="s">
        <v>148</v>
      </c>
      <c r="S153" s="74">
        <v>300000</v>
      </c>
      <c r="T153" s="74">
        <v>30000000</v>
      </c>
      <c r="U153" s="74"/>
      <c r="V153" s="74">
        <v>30000000</v>
      </c>
    </row>
    <row r="154" spans="1:22" ht="15" customHeight="1">
      <c r="A154" s="51">
        <v>10</v>
      </c>
      <c r="B154" s="51" t="s">
        <v>561</v>
      </c>
      <c r="C154" s="51" t="s">
        <v>562</v>
      </c>
      <c r="D154" s="51" t="s">
        <v>535</v>
      </c>
      <c r="E154" s="51" t="s">
        <v>562</v>
      </c>
      <c r="F154" s="51" t="s">
        <v>183</v>
      </c>
      <c r="G154" s="51" t="s">
        <v>141</v>
      </c>
      <c r="H154" s="51">
        <v>1005002422</v>
      </c>
      <c r="I154" s="51" t="s">
        <v>11</v>
      </c>
      <c r="J154" s="51">
        <v>14</v>
      </c>
      <c r="K154" s="51" t="s">
        <v>184</v>
      </c>
      <c r="L154" s="51">
        <v>1001026757</v>
      </c>
      <c r="M154" s="51">
        <v>1172000000491</v>
      </c>
      <c r="N154" s="51" t="s">
        <v>144</v>
      </c>
      <c r="O154" s="138" t="s">
        <v>145</v>
      </c>
      <c r="P154" s="51" t="s">
        <v>146</v>
      </c>
      <c r="Q154" s="51" t="s">
        <v>147</v>
      </c>
      <c r="R154" s="51" t="s">
        <v>148</v>
      </c>
      <c r="S154" s="74">
        <v>300000</v>
      </c>
      <c r="T154" s="74">
        <v>30000000</v>
      </c>
      <c r="U154" s="74"/>
      <c r="V154" s="74">
        <v>30000000</v>
      </c>
    </row>
    <row r="155" spans="1:22" ht="15" customHeight="1">
      <c r="A155" s="51">
        <v>10</v>
      </c>
      <c r="B155" s="51" t="s">
        <v>561</v>
      </c>
      <c r="C155" s="51" t="s">
        <v>562</v>
      </c>
      <c r="D155" s="51" t="s">
        <v>535</v>
      </c>
      <c r="E155" s="51" t="s">
        <v>562</v>
      </c>
      <c r="F155" s="51" t="s">
        <v>183</v>
      </c>
      <c r="G155" s="51" t="s">
        <v>141</v>
      </c>
      <c r="H155" s="51">
        <v>1005002423</v>
      </c>
      <c r="I155" s="51" t="s">
        <v>11</v>
      </c>
      <c r="J155" s="51">
        <v>14</v>
      </c>
      <c r="K155" s="51" t="s">
        <v>184</v>
      </c>
      <c r="L155" s="51">
        <v>1001026827</v>
      </c>
      <c r="M155" s="51">
        <v>1172000000492</v>
      </c>
      <c r="N155" s="51" t="s">
        <v>144</v>
      </c>
      <c r="O155" s="138" t="s">
        <v>145</v>
      </c>
      <c r="P155" s="51" t="s">
        <v>146</v>
      </c>
      <c r="Q155" s="51" t="s">
        <v>147</v>
      </c>
      <c r="R155" s="51" t="s">
        <v>148</v>
      </c>
      <c r="S155" s="74">
        <v>249800</v>
      </c>
      <c r="T155" s="74">
        <v>24980000</v>
      </c>
      <c r="U155" s="74"/>
      <c r="V155" s="74">
        <v>24980000</v>
      </c>
    </row>
    <row r="156" spans="1:22" ht="15" customHeight="1">
      <c r="A156" s="51">
        <v>10</v>
      </c>
      <c r="B156" s="51" t="s">
        <v>561</v>
      </c>
      <c r="C156" s="51" t="s">
        <v>562</v>
      </c>
      <c r="D156" s="51" t="s">
        <v>535</v>
      </c>
      <c r="E156" s="51" t="s">
        <v>562</v>
      </c>
      <c r="F156" s="51" t="s">
        <v>183</v>
      </c>
      <c r="G156" s="51" t="s">
        <v>141</v>
      </c>
      <c r="H156" s="51">
        <v>9085000115</v>
      </c>
      <c r="I156" s="51" t="s">
        <v>107</v>
      </c>
      <c r="J156" s="51">
        <v>235</v>
      </c>
      <c r="K156" s="51" t="s">
        <v>184</v>
      </c>
      <c r="L156" s="51">
        <v>9081001025</v>
      </c>
      <c r="M156" s="51">
        <v>1172000000427</v>
      </c>
      <c r="N156" s="51" t="s">
        <v>144</v>
      </c>
      <c r="O156" s="138" t="s">
        <v>145</v>
      </c>
      <c r="P156" s="51" t="s">
        <v>146</v>
      </c>
      <c r="Q156" s="51" t="s">
        <v>147</v>
      </c>
      <c r="R156" s="51" t="s">
        <v>160</v>
      </c>
      <c r="S156" s="74">
        <v>750000</v>
      </c>
      <c r="T156" s="74">
        <v>75000000</v>
      </c>
      <c r="U156" s="74"/>
      <c r="V156" s="74">
        <v>75000000</v>
      </c>
    </row>
    <row r="157" spans="1:22" ht="15" customHeight="1">
      <c r="A157" s="51">
        <v>10</v>
      </c>
      <c r="B157" s="51" t="s">
        <v>561</v>
      </c>
      <c r="C157" s="51" t="s">
        <v>562</v>
      </c>
      <c r="D157" s="51" t="s">
        <v>535</v>
      </c>
      <c r="E157" s="51" t="s">
        <v>562</v>
      </c>
      <c r="F157" s="51" t="s">
        <v>183</v>
      </c>
      <c r="G157" s="51" t="s">
        <v>141</v>
      </c>
      <c r="H157" s="51">
        <v>9085000116</v>
      </c>
      <c r="I157" s="51" t="s">
        <v>107</v>
      </c>
      <c r="J157" s="51">
        <v>235</v>
      </c>
      <c r="K157" s="51" t="s">
        <v>184</v>
      </c>
      <c r="L157" s="51">
        <v>9081001037</v>
      </c>
      <c r="M157" s="51">
        <v>1172000000429</v>
      </c>
      <c r="N157" s="51" t="s">
        <v>144</v>
      </c>
      <c r="O157" s="138" t="s">
        <v>145</v>
      </c>
      <c r="P157" s="51" t="s">
        <v>146</v>
      </c>
      <c r="Q157" s="51" t="s">
        <v>147</v>
      </c>
      <c r="R157" s="51" t="s">
        <v>160</v>
      </c>
      <c r="S157" s="74">
        <v>249690</v>
      </c>
      <c r="T157" s="74">
        <v>24969000</v>
      </c>
      <c r="U157" s="74"/>
      <c r="V157" s="74">
        <v>24969000</v>
      </c>
    </row>
    <row r="158" spans="1:22" ht="15" customHeight="1">
      <c r="A158" s="56"/>
      <c r="B158" s="56" t="s">
        <v>149</v>
      </c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139"/>
      <c r="P158" s="56" t="s">
        <v>146</v>
      </c>
      <c r="Q158" s="56"/>
      <c r="R158" s="56"/>
      <c r="S158" s="58">
        <v>3649690</v>
      </c>
      <c r="T158" s="58">
        <v>364969000</v>
      </c>
      <c r="U158" s="58"/>
      <c r="V158" s="58">
        <v>364969000</v>
      </c>
    </row>
    <row r="159" spans="1:22" ht="15" customHeight="1">
      <c r="A159" s="51">
        <v>11</v>
      </c>
      <c r="B159" s="51" t="s">
        <v>563</v>
      </c>
      <c r="C159" s="51" t="s">
        <v>551</v>
      </c>
      <c r="D159" s="51" t="s">
        <v>535</v>
      </c>
      <c r="E159" s="51" t="s">
        <v>551</v>
      </c>
      <c r="F159" s="51" t="s">
        <v>183</v>
      </c>
      <c r="G159" s="51" t="s">
        <v>141</v>
      </c>
      <c r="H159" s="51">
        <v>1005001907</v>
      </c>
      <c r="I159" s="51" t="s">
        <v>102</v>
      </c>
      <c r="J159" s="51">
        <v>88</v>
      </c>
      <c r="K159" s="51" t="s">
        <v>184</v>
      </c>
      <c r="L159" s="51">
        <v>1001025611</v>
      </c>
      <c r="M159" s="51">
        <v>1182000000318</v>
      </c>
      <c r="N159" s="51" t="s">
        <v>296</v>
      </c>
      <c r="O159" s="138" t="s">
        <v>297</v>
      </c>
      <c r="P159" s="51" t="s">
        <v>146</v>
      </c>
      <c r="Q159" s="51" t="s">
        <v>147</v>
      </c>
      <c r="R159" s="51" t="s">
        <v>148</v>
      </c>
      <c r="S159" s="74">
        <v>313900</v>
      </c>
      <c r="T159" s="74">
        <v>15381100</v>
      </c>
      <c r="U159" s="74"/>
      <c r="V159" s="74">
        <v>15381100</v>
      </c>
    </row>
    <row r="160" spans="1:22" ht="15" customHeight="1">
      <c r="A160" s="51">
        <v>11</v>
      </c>
      <c r="B160" s="51" t="s">
        <v>563</v>
      </c>
      <c r="C160" s="51" t="s">
        <v>551</v>
      </c>
      <c r="D160" s="51" t="s">
        <v>535</v>
      </c>
      <c r="E160" s="51" t="s">
        <v>551</v>
      </c>
      <c r="F160" s="51" t="s">
        <v>183</v>
      </c>
      <c r="G160" s="51" t="s">
        <v>141</v>
      </c>
      <c r="H160" s="51">
        <v>1005001909</v>
      </c>
      <c r="I160" s="51" t="s">
        <v>102</v>
      </c>
      <c r="J160" s="51">
        <v>88</v>
      </c>
      <c r="K160" s="51" t="s">
        <v>184</v>
      </c>
      <c r="L160" s="51">
        <v>1001025616</v>
      </c>
      <c r="M160" s="51">
        <v>1182000000317</v>
      </c>
      <c r="N160" s="51" t="s">
        <v>321</v>
      </c>
      <c r="O160" s="138" t="s">
        <v>297</v>
      </c>
      <c r="P160" s="51" t="s">
        <v>146</v>
      </c>
      <c r="Q160" s="51" t="s">
        <v>147</v>
      </c>
      <c r="R160" s="51" t="s">
        <v>148</v>
      </c>
      <c r="S160" s="74">
        <v>1442890</v>
      </c>
      <c r="T160" s="74">
        <v>70701610</v>
      </c>
      <c r="U160" s="74"/>
      <c r="V160" s="74">
        <v>70701610</v>
      </c>
    </row>
    <row r="161" spans="1:22" ht="15" customHeight="1">
      <c r="A161" s="51">
        <v>11</v>
      </c>
      <c r="B161" s="51" t="s">
        <v>563</v>
      </c>
      <c r="C161" s="51" t="s">
        <v>551</v>
      </c>
      <c r="D161" s="51" t="s">
        <v>535</v>
      </c>
      <c r="E161" s="51" t="s">
        <v>551</v>
      </c>
      <c r="F161" s="51" t="s">
        <v>183</v>
      </c>
      <c r="G161" s="51" t="s">
        <v>141</v>
      </c>
      <c r="H161" s="51">
        <v>1005002435</v>
      </c>
      <c r="I161" s="51" t="s">
        <v>6</v>
      </c>
      <c r="J161" s="51">
        <v>11</v>
      </c>
      <c r="K161" s="51" t="s">
        <v>184</v>
      </c>
      <c r="L161" s="51">
        <v>1001026534</v>
      </c>
      <c r="M161" s="51">
        <v>1182000000326</v>
      </c>
      <c r="N161" s="51" t="s">
        <v>144</v>
      </c>
      <c r="O161" s="138" t="s">
        <v>145</v>
      </c>
      <c r="P161" s="51" t="s">
        <v>146</v>
      </c>
      <c r="Q161" s="51" t="s">
        <v>147</v>
      </c>
      <c r="R161" s="51" t="s">
        <v>148</v>
      </c>
      <c r="S161" s="74">
        <v>1956540</v>
      </c>
      <c r="T161" s="74">
        <v>195654000</v>
      </c>
      <c r="U161" s="74"/>
      <c r="V161" s="74">
        <v>195654000</v>
      </c>
    </row>
    <row r="162" spans="1:22" ht="15" customHeight="1">
      <c r="A162" s="51">
        <v>11</v>
      </c>
      <c r="B162" s="51" t="s">
        <v>563</v>
      </c>
      <c r="C162" s="51" t="s">
        <v>551</v>
      </c>
      <c r="D162" s="51" t="s">
        <v>535</v>
      </c>
      <c r="E162" s="51" t="s">
        <v>551</v>
      </c>
      <c r="F162" s="51" t="s">
        <v>183</v>
      </c>
      <c r="G162" s="51" t="s">
        <v>141</v>
      </c>
      <c r="H162" s="51">
        <v>9145000155</v>
      </c>
      <c r="I162" s="51" t="s">
        <v>102</v>
      </c>
      <c r="J162" s="51">
        <v>88</v>
      </c>
      <c r="K162" s="51" t="s">
        <v>184</v>
      </c>
      <c r="L162" s="51">
        <v>9141001643</v>
      </c>
      <c r="M162" s="51" t="s">
        <v>282</v>
      </c>
      <c r="N162" s="51" t="s">
        <v>321</v>
      </c>
      <c r="O162" s="138" t="s">
        <v>297</v>
      </c>
      <c r="P162" s="51" t="s">
        <v>146</v>
      </c>
      <c r="Q162" s="51" t="s">
        <v>147</v>
      </c>
      <c r="R162" s="51" t="s">
        <v>162</v>
      </c>
      <c r="S162" s="74">
        <v>395460</v>
      </c>
      <c r="T162" s="74">
        <v>19377540</v>
      </c>
      <c r="U162" s="74"/>
      <c r="V162" s="74">
        <v>19377540</v>
      </c>
    </row>
    <row r="163" spans="1:22" ht="15" customHeight="1">
      <c r="A163" s="51">
        <v>11</v>
      </c>
      <c r="B163" s="51" t="s">
        <v>563</v>
      </c>
      <c r="C163" s="51" t="s">
        <v>551</v>
      </c>
      <c r="D163" s="51" t="s">
        <v>535</v>
      </c>
      <c r="E163" s="51" t="s">
        <v>551</v>
      </c>
      <c r="F163" s="51" t="s">
        <v>183</v>
      </c>
      <c r="G163" s="51" t="s">
        <v>141</v>
      </c>
      <c r="H163" s="51">
        <v>9155000000</v>
      </c>
      <c r="I163" s="51" t="s">
        <v>102</v>
      </c>
      <c r="J163" s="51">
        <v>88</v>
      </c>
      <c r="K163" s="51" t="s">
        <v>184</v>
      </c>
      <c r="L163" s="51">
        <v>9151000041</v>
      </c>
      <c r="M163" s="51" t="s">
        <v>282</v>
      </c>
      <c r="N163" s="51" t="s">
        <v>321</v>
      </c>
      <c r="O163" s="138" t="s">
        <v>297</v>
      </c>
      <c r="P163" s="51" t="s">
        <v>146</v>
      </c>
      <c r="Q163" s="51" t="s">
        <v>147</v>
      </c>
      <c r="R163" s="51" t="s">
        <v>564</v>
      </c>
      <c r="S163" s="74">
        <v>343500</v>
      </c>
      <c r="T163" s="74">
        <v>16831500</v>
      </c>
      <c r="U163" s="74"/>
      <c r="V163" s="74">
        <v>16831500</v>
      </c>
    </row>
    <row r="164" spans="1:22" ht="15" customHeight="1">
      <c r="A164" s="51">
        <v>11</v>
      </c>
      <c r="B164" s="51" t="s">
        <v>563</v>
      </c>
      <c r="C164" s="51" t="s">
        <v>551</v>
      </c>
      <c r="D164" s="51" t="s">
        <v>535</v>
      </c>
      <c r="E164" s="51" t="s">
        <v>551</v>
      </c>
      <c r="F164" s="51" t="s">
        <v>183</v>
      </c>
      <c r="G164" s="51" t="s">
        <v>141</v>
      </c>
      <c r="H164" s="51">
        <v>9205000000</v>
      </c>
      <c r="I164" s="51" t="s">
        <v>102</v>
      </c>
      <c r="J164" s="51">
        <v>88</v>
      </c>
      <c r="K164" s="51" t="s">
        <v>184</v>
      </c>
      <c r="L164" s="51">
        <v>9201000021</v>
      </c>
      <c r="M164" s="51" t="s">
        <v>282</v>
      </c>
      <c r="N164" s="51" t="s">
        <v>321</v>
      </c>
      <c r="O164" s="138" t="s">
        <v>297</v>
      </c>
      <c r="P164" s="51" t="s">
        <v>146</v>
      </c>
      <c r="Q164" s="51" t="s">
        <v>147</v>
      </c>
      <c r="R164" s="51" t="s">
        <v>565</v>
      </c>
      <c r="S164" s="74">
        <v>394660</v>
      </c>
      <c r="T164" s="74">
        <v>19338340</v>
      </c>
      <c r="U164" s="74"/>
      <c r="V164" s="74">
        <v>19338340</v>
      </c>
    </row>
    <row r="165" spans="1:22" ht="15" customHeight="1">
      <c r="A165" s="56"/>
      <c r="B165" s="56" t="s">
        <v>149</v>
      </c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139"/>
      <c r="P165" s="56" t="s">
        <v>146</v>
      </c>
      <c r="Q165" s="56"/>
      <c r="R165" s="56"/>
      <c r="S165" s="58">
        <v>4846950</v>
      </c>
      <c r="T165" s="58">
        <v>337284090</v>
      </c>
      <c r="U165" s="58"/>
      <c r="V165" s="58">
        <v>337284090</v>
      </c>
    </row>
    <row r="166" spans="1:22" ht="15" customHeight="1">
      <c r="A166" s="51">
        <v>12</v>
      </c>
      <c r="B166" s="51" t="s">
        <v>571</v>
      </c>
      <c r="C166" s="51" t="s">
        <v>572</v>
      </c>
      <c r="D166" s="51" t="s">
        <v>535</v>
      </c>
      <c r="E166" s="51" t="s">
        <v>572</v>
      </c>
      <c r="F166" s="51" t="s">
        <v>183</v>
      </c>
      <c r="G166" s="51" t="s">
        <v>141</v>
      </c>
      <c r="H166" s="51">
        <v>1005001908</v>
      </c>
      <c r="I166" s="51" t="s">
        <v>102</v>
      </c>
      <c r="J166" s="51">
        <v>88</v>
      </c>
      <c r="K166" s="51" t="s">
        <v>184</v>
      </c>
      <c r="L166" s="51">
        <v>1001025612</v>
      </c>
      <c r="M166" s="51">
        <v>1192000000177</v>
      </c>
      <c r="N166" s="51" t="s">
        <v>334</v>
      </c>
      <c r="O166" s="138" t="s">
        <v>297</v>
      </c>
      <c r="P166" s="51" t="s">
        <v>146</v>
      </c>
      <c r="Q166" s="51" t="s">
        <v>147</v>
      </c>
      <c r="R166" s="51" t="s">
        <v>148</v>
      </c>
      <c r="S166" s="74">
        <v>157430</v>
      </c>
      <c r="T166" s="74">
        <v>7714070</v>
      </c>
      <c r="U166" s="74"/>
      <c r="V166" s="74">
        <v>7714070</v>
      </c>
    </row>
    <row r="167" spans="1:22" ht="15" customHeight="1">
      <c r="A167" s="51">
        <v>12</v>
      </c>
      <c r="B167" s="51" t="s">
        <v>571</v>
      </c>
      <c r="C167" s="51" t="s">
        <v>572</v>
      </c>
      <c r="D167" s="51" t="s">
        <v>535</v>
      </c>
      <c r="E167" s="51" t="s">
        <v>572</v>
      </c>
      <c r="F167" s="51" t="s">
        <v>183</v>
      </c>
      <c r="G167" s="51" t="s">
        <v>141</v>
      </c>
      <c r="H167" s="51">
        <v>1005001910</v>
      </c>
      <c r="I167" s="51" t="s">
        <v>102</v>
      </c>
      <c r="J167" s="51">
        <v>88</v>
      </c>
      <c r="K167" s="51" t="s">
        <v>184</v>
      </c>
      <c r="L167" s="51">
        <v>1001025618</v>
      </c>
      <c r="M167" s="51">
        <v>1192000000176</v>
      </c>
      <c r="N167" s="51" t="s">
        <v>321</v>
      </c>
      <c r="O167" s="138" t="s">
        <v>297</v>
      </c>
      <c r="P167" s="51" t="s">
        <v>146</v>
      </c>
      <c r="Q167" s="51" t="s">
        <v>147</v>
      </c>
      <c r="R167" s="51" t="s">
        <v>148</v>
      </c>
      <c r="S167" s="74">
        <v>335060</v>
      </c>
      <c r="T167" s="74">
        <v>16417940</v>
      </c>
      <c r="U167" s="74"/>
      <c r="V167" s="74">
        <v>16417940</v>
      </c>
    </row>
    <row r="168" spans="1:22" ht="15" customHeight="1">
      <c r="A168" s="56"/>
      <c r="B168" s="56" t="s">
        <v>149</v>
      </c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139"/>
      <c r="P168" s="56" t="s">
        <v>146</v>
      </c>
      <c r="Q168" s="56"/>
      <c r="R168" s="56"/>
      <c r="S168" s="58">
        <v>492490</v>
      </c>
      <c r="T168" s="58">
        <v>24132010</v>
      </c>
      <c r="U168" s="58"/>
      <c r="V168" s="58">
        <v>24132010</v>
      </c>
    </row>
    <row r="169" spans="1:22" ht="15" customHeight="1">
      <c r="A169" s="51">
        <v>13</v>
      </c>
      <c r="B169" s="51" t="s">
        <v>582</v>
      </c>
      <c r="C169" s="51" t="s">
        <v>583</v>
      </c>
      <c r="D169" s="51" t="s">
        <v>584</v>
      </c>
      <c r="E169" s="51" t="s">
        <v>587</v>
      </c>
      <c r="F169" s="51" t="s">
        <v>170</v>
      </c>
      <c r="G169" s="51" t="s">
        <v>141</v>
      </c>
      <c r="H169" s="51">
        <v>1005000856</v>
      </c>
      <c r="I169" s="51" t="s">
        <v>113</v>
      </c>
      <c r="J169" s="51">
        <v>263</v>
      </c>
      <c r="K169" s="51" t="s">
        <v>184</v>
      </c>
      <c r="L169" s="51">
        <v>1001020884</v>
      </c>
      <c r="M169" s="51">
        <v>6030100749</v>
      </c>
      <c r="N169" s="51" t="s">
        <v>144</v>
      </c>
      <c r="O169" s="138" t="s">
        <v>145</v>
      </c>
      <c r="P169" s="51" t="s">
        <v>146</v>
      </c>
      <c r="Q169" s="51" t="s">
        <v>147</v>
      </c>
      <c r="R169" s="51" t="s">
        <v>148</v>
      </c>
      <c r="S169" s="74">
        <v>12110</v>
      </c>
      <c r="T169" s="74">
        <v>42385000</v>
      </c>
      <c r="U169" s="74"/>
      <c r="V169" s="74">
        <v>42385000</v>
      </c>
    </row>
    <row r="170" spans="1:22" ht="15" customHeight="1">
      <c r="A170" s="51">
        <v>13</v>
      </c>
      <c r="B170" s="51" t="s">
        <v>582</v>
      </c>
      <c r="C170" s="51" t="s">
        <v>583</v>
      </c>
      <c r="D170" s="51" t="s">
        <v>584</v>
      </c>
      <c r="E170" s="51" t="s">
        <v>587</v>
      </c>
      <c r="F170" s="51" t="s">
        <v>183</v>
      </c>
      <c r="G170" s="51" t="s">
        <v>141</v>
      </c>
      <c r="H170" s="51">
        <v>1005001380</v>
      </c>
      <c r="I170" s="51" t="s">
        <v>114</v>
      </c>
      <c r="J170" s="51">
        <v>172</v>
      </c>
      <c r="K170" s="51" t="s">
        <v>184</v>
      </c>
      <c r="L170" s="51">
        <v>1001024105</v>
      </c>
      <c r="M170" s="51">
        <v>6030100814</v>
      </c>
      <c r="N170" s="51" t="s">
        <v>144</v>
      </c>
      <c r="O170" s="138" t="s">
        <v>145</v>
      </c>
      <c r="P170" s="51" t="s">
        <v>146</v>
      </c>
      <c r="Q170" s="51" t="s">
        <v>147</v>
      </c>
      <c r="R170" s="51" t="s">
        <v>148</v>
      </c>
      <c r="S170" s="74">
        <v>143.52000000000001</v>
      </c>
      <c r="T170" s="74">
        <v>2034970</v>
      </c>
      <c r="U170" s="74"/>
      <c r="V170" s="74">
        <v>2034970</v>
      </c>
    </row>
    <row r="171" spans="1:22" ht="15" customHeight="1">
      <c r="A171" s="51">
        <v>13</v>
      </c>
      <c r="B171" s="51" t="s">
        <v>582</v>
      </c>
      <c r="C171" s="51" t="s">
        <v>583</v>
      </c>
      <c r="D171" s="51" t="s">
        <v>584</v>
      </c>
      <c r="E171" s="51" t="s">
        <v>588</v>
      </c>
      <c r="F171" s="51" t="s">
        <v>170</v>
      </c>
      <c r="G171" s="51" t="s">
        <v>141</v>
      </c>
      <c r="H171" s="51">
        <v>9091000048</v>
      </c>
      <c r="I171" s="51" t="s">
        <v>115</v>
      </c>
      <c r="J171" s="51">
        <v>522</v>
      </c>
      <c r="K171" s="51" t="s">
        <v>184</v>
      </c>
      <c r="L171" s="51">
        <v>9091000439</v>
      </c>
      <c r="M171" s="51" t="s">
        <v>589</v>
      </c>
      <c r="N171" s="51" t="s">
        <v>144</v>
      </c>
      <c r="O171" s="138" t="s">
        <v>145</v>
      </c>
      <c r="P171" s="51" t="s">
        <v>146</v>
      </c>
      <c r="Q171" s="51" t="s">
        <v>147</v>
      </c>
      <c r="R171" s="51" t="s">
        <v>141</v>
      </c>
      <c r="S171" s="74">
        <v>50.54</v>
      </c>
      <c r="T171" s="74">
        <v>634681</v>
      </c>
      <c r="U171" s="74"/>
      <c r="V171" s="74">
        <v>634681</v>
      </c>
    </row>
    <row r="172" spans="1:22" ht="15" customHeight="1">
      <c r="A172" s="56"/>
      <c r="B172" s="56" t="s">
        <v>149</v>
      </c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139"/>
      <c r="P172" s="56" t="s">
        <v>146</v>
      </c>
      <c r="Q172" s="56"/>
      <c r="R172" s="56"/>
      <c r="S172" s="58">
        <v>12304.06</v>
      </c>
      <c r="T172" s="58">
        <v>45054651</v>
      </c>
      <c r="U172" s="58"/>
      <c r="V172" s="58">
        <v>45054651</v>
      </c>
    </row>
    <row r="173" spans="1:22" ht="15" customHeight="1">
      <c r="A173" s="51">
        <v>14</v>
      </c>
      <c r="B173" s="51" t="s">
        <v>599</v>
      </c>
      <c r="C173" s="51" t="s">
        <v>600</v>
      </c>
      <c r="D173" s="51" t="s">
        <v>601</v>
      </c>
      <c r="E173" s="51" t="s">
        <v>602</v>
      </c>
      <c r="F173" s="51" t="s">
        <v>170</v>
      </c>
      <c r="G173" s="51" t="s">
        <v>141</v>
      </c>
      <c r="H173" s="51">
        <v>1352</v>
      </c>
      <c r="I173" s="51" t="s">
        <v>118</v>
      </c>
      <c r="J173" s="51">
        <v>606</v>
      </c>
      <c r="K173" s="51" t="s">
        <v>184</v>
      </c>
      <c r="L173" s="51">
        <v>1001016114</v>
      </c>
      <c r="M173" s="51" t="s">
        <v>282</v>
      </c>
      <c r="N173" s="51" t="s">
        <v>178</v>
      </c>
      <c r="O173" s="138" t="s">
        <v>179</v>
      </c>
      <c r="P173" s="51" t="s">
        <v>146</v>
      </c>
      <c r="Q173" s="51" t="s">
        <v>147</v>
      </c>
      <c r="R173" s="51" t="s">
        <v>148</v>
      </c>
      <c r="S173" s="74">
        <v>12491.01</v>
      </c>
      <c r="T173" s="74">
        <v>7494607</v>
      </c>
      <c r="U173" s="74"/>
      <c r="V173" s="74">
        <v>7494607</v>
      </c>
    </row>
    <row r="174" spans="1:22" ht="15" customHeight="1">
      <c r="A174" s="56"/>
      <c r="B174" s="56" t="s">
        <v>149</v>
      </c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139"/>
      <c r="P174" s="56" t="s">
        <v>146</v>
      </c>
      <c r="Q174" s="56"/>
      <c r="R174" s="56"/>
      <c r="S174" s="58">
        <v>12491.01</v>
      </c>
      <c r="T174" s="58">
        <v>7494607</v>
      </c>
      <c r="U174" s="58"/>
      <c r="V174" s="58">
        <v>7494607</v>
      </c>
    </row>
    <row r="175" spans="1:22" ht="15" customHeight="1">
      <c r="A175" s="59"/>
      <c r="B175" s="59" t="s">
        <v>624</v>
      </c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140"/>
      <c r="P175" s="59" t="s">
        <v>146</v>
      </c>
      <c r="Q175" s="59"/>
      <c r="R175" s="59"/>
      <c r="S175" s="61">
        <v>99845224.25</v>
      </c>
      <c r="T175" s="61">
        <v>26843735323</v>
      </c>
      <c r="U175" s="61">
        <v>918548895</v>
      </c>
      <c r="V175" s="61">
        <v>27762284218</v>
      </c>
    </row>
  </sheetData>
  <autoFilter ref="A8:V175" xr:uid="{00000000-0009-0000-0000-00000E000000}"/>
  <mergeCells count="23">
    <mergeCell ref="F5:F7"/>
    <mergeCell ref="A5:A7"/>
    <mergeCell ref="B5:B7"/>
    <mergeCell ref="C5:C7"/>
    <mergeCell ref="D5:D7"/>
    <mergeCell ref="E5:E7"/>
    <mergeCell ref="R5:R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S5:V5"/>
    <mergeCell ref="S6:S7"/>
    <mergeCell ref="T6:T7"/>
    <mergeCell ref="U6:U7"/>
    <mergeCell ref="V6:V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V216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9.1796875" defaultRowHeight="14.5"/>
  <cols>
    <col min="1" max="1" width="4.453125" style="63" customWidth="1"/>
    <col min="2" max="2" width="14.81640625" style="63" hidden="1" customWidth="1"/>
    <col min="3" max="3" width="32.81640625" style="63" customWidth="1"/>
    <col min="4" max="4" width="26.26953125" style="63" bestFit="1" customWidth="1"/>
    <col min="5" max="5" width="36.54296875" style="63" hidden="1" customWidth="1"/>
    <col min="6" max="6" width="30.26953125" style="63" hidden="1" customWidth="1"/>
    <col min="7" max="7" width="4.453125" style="63" hidden="1" customWidth="1"/>
    <col min="8" max="8" width="12.453125" style="63" hidden="1" customWidth="1"/>
    <col min="9" max="9" width="12.453125" style="63" bestFit="1" customWidth="1"/>
    <col min="10" max="10" width="10" style="63" customWidth="1"/>
    <col min="11" max="11" width="12.453125" style="63" hidden="1" customWidth="1"/>
    <col min="12" max="12" width="12.453125" style="63" bestFit="1" customWidth="1"/>
    <col min="13" max="13" width="36.54296875" style="63" hidden="1" customWidth="1"/>
    <col min="14" max="14" width="18.453125" style="63" hidden="1" customWidth="1"/>
    <col min="15" max="15" width="10.08984375" style="137" customWidth="1"/>
    <col min="16" max="16" width="4.453125" style="63" hidden="1" customWidth="1"/>
    <col min="17" max="18" width="6.7265625" style="63" hidden="1" customWidth="1"/>
    <col min="19" max="19" width="18.453125" style="65" bestFit="1" customWidth="1"/>
    <col min="20" max="21" width="30.26953125" style="65" hidden="1" customWidth="1"/>
    <col min="22" max="22" width="22.54296875" style="65" customWidth="1"/>
    <col min="23" max="16384" width="9.1796875" style="63"/>
  </cols>
  <sheetData>
    <row r="1" spans="1:22">
      <c r="A1" s="62" t="s">
        <v>625</v>
      </c>
    </row>
    <row r="2" spans="1:22">
      <c r="A2" s="62" t="s">
        <v>688</v>
      </c>
    </row>
    <row r="3" spans="1:22">
      <c r="A3" s="4" t="s">
        <v>644</v>
      </c>
    </row>
    <row r="4" spans="1:22">
      <c r="A4" s="66"/>
    </row>
    <row r="5" spans="1:22" ht="15" customHeight="1">
      <c r="A5" s="202" t="s">
        <v>124</v>
      </c>
      <c r="B5" s="202" t="s">
        <v>125</v>
      </c>
      <c r="C5" s="202" t="s">
        <v>126</v>
      </c>
      <c r="D5" s="208" t="s">
        <v>127</v>
      </c>
      <c r="E5" s="202" t="s">
        <v>128</v>
      </c>
      <c r="F5" s="202" t="s">
        <v>129</v>
      </c>
      <c r="G5" s="202" t="s">
        <v>0</v>
      </c>
      <c r="H5" s="202" t="s">
        <v>130</v>
      </c>
      <c r="I5" s="202" t="s">
        <v>131</v>
      </c>
      <c r="J5" s="202" t="s">
        <v>635</v>
      </c>
      <c r="K5" s="202" t="s">
        <v>132</v>
      </c>
      <c r="L5" s="202" t="s">
        <v>707</v>
      </c>
      <c r="M5" s="205" t="s">
        <v>133</v>
      </c>
      <c r="N5" s="202" t="s">
        <v>134</v>
      </c>
      <c r="O5" s="208" t="s">
        <v>637</v>
      </c>
      <c r="P5" s="202" t="s">
        <v>1</v>
      </c>
      <c r="Q5" s="202" t="s">
        <v>2</v>
      </c>
      <c r="R5" s="202" t="s">
        <v>638</v>
      </c>
      <c r="S5" s="193" t="s">
        <v>639</v>
      </c>
      <c r="T5" s="194"/>
      <c r="U5" s="194"/>
      <c r="V5" s="195"/>
    </row>
    <row r="6" spans="1:22" ht="15" customHeight="1">
      <c r="A6" s="203"/>
      <c r="B6" s="203"/>
      <c r="C6" s="203"/>
      <c r="D6" s="209"/>
      <c r="E6" s="203"/>
      <c r="F6" s="203"/>
      <c r="G6" s="203"/>
      <c r="H6" s="203"/>
      <c r="I6" s="203"/>
      <c r="J6" s="203"/>
      <c r="K6" s="203"/>
      <c r="L6" s="203"/>
      <c r="M6" s="206"/>
      <c r="N6" s="203"/>
      <c r="O6" s="209"/>
      <c r="P6" s="203"/>
      <c r="Q6" s="203"/>
      <c r="R6" s="203"/>
      <c r="S6" s="196" t="s">
        <v>640</v>
      </c>
      <c r="T6" s="198" t="s">
        <v>641</v>
      </c>
      <c r="U6" s="198" t="s">
        <v>642</v>
      </c>
      <c r="V6" s="200" t="s">
        <v>643</v>
      </c>
    </row>
    <row r="7" spans="1:22" ht="15" customHeight="1">
      <c r="A7" s="204"/>
      <c r="B7" s="204"/>
      <c r="C7" s="204"/>
      <c r="D7" s="210"/>
      <c r="E7" s="204"/>
      <c r="F7" s="204"/>
      <c r="G7" s="204"/>
      <c r="H7" s="204"/>
      <c r="I7" s="204"/>
      <c r="J7" s="204"/>
      <c r="K7" s="204"/>
      <c r="L7" s="204"/>
      <c r="M7" s="207"/>
      <c r="N7" s="204"/>
      <c r="O7" s="210"/>
      <c r="P7" s="204"/>
      <c r="Q7" s="204"/>
      <c r="R7" s="204"/>
      <c r="S7" s="197"/>
      <c r="T7" s="199"/>
      <c r="U7" s="199"/>
      <c r="V7" s="201"/>
    </row>
    <row r="8" spans="1:22" ht="15" customHeight="1">
      <c r="A8" s="67" t="s">
        <v>124</v>
      </c>
      <c r="B8" s="67" t="s">
        <v>627</v>
      </c>
      <c r="C8" s="67" t="s">
        <v>126</v>
      </c>
      <c r="D8" s="67" t="s">
        <v>628</v>
      </c>
      <c r="E8" s="67" t="s">
        <v>128</v>
      </c>
      <c r="F8" s="67" t="s">
        <v>633</v>
      </c>
      <c r="G8" s="67" t="s">
        <v>0</v>
      </c>
      <c r="H8" s="67" t="s">
        <v>634</v>
      </c>
      <c r="I8" s="67" t="s">
        <v>131</v>
      </c>
      <c r="J8" s="67" t="s">
        <v>635</v>
      </c>
      <c r="K8" s="67" t="s">
        <v>132</v>
      </c>
      <c r="L8" s="67" t="s">
        <v>636</v>
      </c>
      <c r="M8" s="68" t="s">
        <v>133</v>
      </c>
      <c r="N8" s="67" t="s">
        <v>134</v>
      </c>
      <c r="O8" s="67" t="s">
        <v>637</v>
      </c>
      <c r="P8" s="67" t="s">
        <v>1</v>
      </c>
      <c r="Q8" s="67" t="s">
        <v>2</v>
      </c>
      <c r="R8" s="67" t="s">
        <v>638</v>
      </c>
      <c r="S8" s="70" t="s">
        <v>640</v>
      </c>
      <c r="T8" s="70" t="s">
        <v>641</v>
      </c>
      <c r="U8" s="71" t="s">
        <v>642</v>
      </c>
      <c r="V8" s="72" t="s">
        <v>643</v>
      </c>
    </row>
    <row r="9" spans="1:22" ht="15" customHeight="1">
      <c r="A9" s="51">
        <v>1</v>
      </c>
      <c r="B9" s="51" t="s">
        <v>137</v>
      </c>
      <c r="C9" s="51" t="s">
        <v>138</v>
      </c>
      <c r="D9" s="51" t="s">
        <v>139</v>
      </c>
      <c r="E9" s="51" t="s">
        <v>138</v>
      </c>
      <c r="F9" s="51" t="s">
        <v>140</v>
      </c>
      <c r="G9" s="51" t="s">
        <v>141</v>
      </c>
      <c r="H9" s="51">
        <v>1005002438</v>
      </c>
      <c r="I9" s="51" t="s">
        <v>6</v>
      </c>
      <c r="J9" s="51">
        <v>11</v>
      </c>
      <c r="K9" s="51" t="s">
        <v>142</v>
      </c>
      <c r="L9" s="51">
        <v>1001027102</v>
      </c>
      <c r="M9" s="51" t="s">
        <v>143</v>
      </c>
      <c r="N9" s="51" t="s">
        <v>144</v>
      </c>
      <c r="O9" s="138" t="s">
        <v>145</v>
      </c>
      <c r="P9" s="51" t="s">
        <v>146</v>
      </c>
      <c r="Q9" s="51" t="s">
        <v>147</v>
      </c>
      <c r="R9" s="51" t="s">
        <v>148</v>
      </c>
      <c r="S9" s="74">
        <v>3489197</v>
      </c>
      <c r="T9" s="74">
        <v>697839400</v>
      </c>
      <c r="U9" s="74"/>
      <c r="V9" s="74">
        <v>697839400</v>
      </c>
    </row>
    <row r="10" spans="1:22" ht="15" customHeight="1">
      <c r="A10" s="56"/>
      <c r="B10" s="56" t="s">
        <v>149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139"/>
      <c r="P10" s="56" t="s">
        <v>146</v>
      </c>
      <c r="Q10" s="56"/>
      <c r="R10" s="56"/>
      <c r="S10" s="58">
        <v>3489197</v>
      </c>
      <c r="T10" s="58">
        <v>697839400</v>
      </c>
      <c r="U10" s="58"/>
      <c r="V10" s="58">
        <v>697839400</v>
      </c>
    </row>
    <row r="11" spans="1:22" ht="15" customHeight="1">
      <c r="A11" s="51">
        <v>2</v>
      </c>
      <c r="B11" s="51" t="s">
        <v>150</v>
      </c>
      <c r="C11" s="51" t="s">
        <v>151</v>
      </c>
      <c r="D11" s="51" t="s">
        <v>152</v>
      </c>
      <c r="E11" s="51" t="s">
        <v>151</v>
      </c>
      <c r="F11" s="51" t="s">
        <v>153</v>
      </c>
      <c r="G11" s="51" t="s">
        <v>141</v>
      </c>
      <c r="H11" s="51">
        <v>1005001253</v>
      </c>
      <c r="I11" s="51" t="s">
        <v>7</v>
      </c>
      <c r="J11" s="51">
        <v>200</v>
      </c>
      <c r="K11" s="51" t="s">
        <v>142</v>
      </c>
      <c r="L11" s="51">
        <v>1001023111</v>
      </c>
      <c r="M11" s="51" t="s">
        <v>154</v>
      </c>
      <c r="N11" s="51" t="s">
        <v>144</v>
      </c>
      <c r="O11" s="138" t="s">
        <v>145</v>
      </c>
      <c r="P11" s="51" t="s">
        <v>146</v>
      </c>
      <c r="Q11" s="51" t="s">
        <v>147</v>
      </c>
      <c r="R11" s="51" t="s">
        <v>148</v>
      </c>
      <c r="S11" s="74">
        <v>3000362</v>
      </c>
      <c r="T11" s="74">
        <v>300036200</v>
      </c>
      <c r="U11" s="74"/>
      <c r="V11" s="74">
        <v>300036200</v>
      </c>
    </row>
    <row r="12" spans="1:22" ht="15" customHeight="1">
      <c r="A12" s="51">
        <f t="shared" ref="A12:D18" si="0">A11</f>
        <v>2</v>
      </c>
      <c r="B12" s="51" t="str">
        <f t="shared" si="0"/>
        <v>AT11000014</v>
      </c>
      <c r="C12" s="51" t="str">
        <f t="shared" si="0"/>
        <v>NUSARAYA PERMAI PT.</v>
      </c>
      <c r="D12" s="51" t="str">
        <f t="shared" si="0"/>
        <v>DJARUM</v>
      </c>
      <c r="E12" s="51" t="s">
        <v>151</v>
      </c>
      <c r="F12" s="51" t="s">
        <v>153</v>
      </c>
      <c r="G12" s="51" t="s">
        <v>141</v>
      </c>
      <c r="H12" s="51">
        <v>1005001254</v>
      </c>
      <c r="I12" s="51" t="s">
        <v>7</v>
      </c>
      <c r="J12" s="51">
        <v>200</v>
      </c>
      <c r="K12" s="51" t="s">
        <v>142</v>
      </c>
      <c r="L12" s="51">
        <v>1001023240</v>
      </c>
      <c r="M12" s="51" t="s">
        <v>155</v>
      </c>
      <c r="N12" s="51" t="s">
        <v>144</v>
      </c>
      <c r="O12" s="138" t="s">
        <v>145</v>
      </c>
      <c r="P12" s="51" t="s">
        <v>146</v>
      </c>
      <c r="Q12" s="51" t="s">
        <v>147</v>
      </c>
      <c r="R12" s="51" t="s">
        <v>148</v>
      </c>
      <c r="S12" s="74">
        <v>1000000</v>
      </c>
      <c r="T12" s="74">
        <v>100000000</v>
      </c>
      <c r="U12" s="74"/>
      <c r="V12" s="74">
        <v>100000000</v>
      </c>
    </row>
    <row r="13" spans="1:22" ht="15" customHeight="1">
      <c r="A13" s="51">
        <f t="shared" si="0"/>
        <v>2</v>
      </c>
      <c r="B13" s="51" t="str">
        <f t="shared" si="0"/>
        <v>AT11000014</v>
      </c>
      <c r="C13" s="51" t="str">
        <f t="shared" si="0"/>
        <v>NUSARAYA PERMAI PT.</v>
      </c>
      <c r="D13" s="51" t="str">
        <f t="shared" si="0"/>
        <v>DJARUM</v>
      </c>
      <c r="E13" s="51" t="s">
        <v>151</v>
      </c>
      <c r="F13" s="51" t="s">
        <v>153</v>
      </c>
      <c r="G13" s="51" t="s">
        <v>141</v>
      </c>
      <c r="H13" s="51">
        <v>1005002060</v>
      </c>
      <c r="I13" s="51" t="s">
        <v>8</v>
      </c>
      <c r="J13" s="51">
        <v>66</v>
      </c>
      <c r="K13" s="51" t="s">
        <v>142</v>
      </c>
      <c r="L13" s="51">
        <v>1001026724</v>
      </c>
      <c r="M13" s="51" t="s">
        <v>156</v>
      </c>
      <c r="N13" s="51" t="s">
        <v>144</v>
      </c>
      <c r="O13" s="138" t="s">
        <v>145</v>
      </c>
      <c r="P13" s="51" t="s">
        <v>146</v>
      </c>
      <c r="Q13" s="51" t="s">
        <v>147</v>
      </c>
      <c r="R13" s="51" t="s">
        <v>148</v>
      </c>
      <c r="S13" s="74">
        <v>4000011</v>
      </c>
      <c r="T13" s="74">
        <v>400001100</v>
      </c>
      <c r="U13" s="74"/>
      <c r="V13" s="74">
        <v>400001100</v>
      </c>
    </row>
    <row r="14" spans="1:22" ht="15" customHeight="1">
      <c r="A14" s="51">
        <f t="shared" si="0"/>
        <v>2</v>
      </c>
      <c r="B14" s="51" t="str">
        <f t="shared" si="0"/>
        <v>AT11000014</v>
      </c>
      <c r="C14" s="51" t="str">
        <f t="shared" si="0"/>
        <v>NUSARAYA PERMAI PT.</v>
      </c>
      <c r="D14" s="51" t="str">
        <f t="shared" si="0"/>
        <v>DJARUM</v>
      </c>
      <c r="E14" s="51" t="s">
        <v>151</v>
      </c>
      <c r="F14" s="51" t="s">
        <v>153</v>
      </c>
      <c r="G14" s="51" t="s">
        <v>141</v>
      </c>
      <c r="H14" s="51">
        <v>1005002460</v>
      </c>
      <c r="I14" s="51" t="s">
        <v>9</v>
      </c>
      <c r="J14" s="51">
        <v>9</v>
      </c>
      <c r="K14" s="51" t="s">
        <v>142</v>
      </c>
      <c r="L14" s="51">
        <v>1001027351</v>
      </c>
      <c r="M14" s="51" t="s">
        <v>157</v>
      </c>
      <c r="N14" s="51" t="s">
        <v>144</v>
      </c>
      <c r="O14" s="138" t="s">
        <v>145</v>
      </c>
      <c r="P14" s="51" t="s">
        <v>146</v>
      </c>
      <c r="Q14" s="51" t="s">
        <v>147</v>
      </c>
      <c r="R14" s="51" t="s">
        <v>148</v>
      </c>
      <c r="S14" s="74">
        <v>2000410</v>
      </c>
      <c r="T14" s="74">
        <v>400082000</v>
      </c>
      <c r="U14" s="74"/>
      <c r="V14" s="74">
        <v>400082000</v>
      </c>
    </row>
    <row r="15" spans="1:22" ht="15" customHeight="1">
      <c r="A15" s="51">
        <f t="shared" si="0"/>
        <v>2</v>
      </c>
      <c r="B15" s="51" t="str">
        <f t="shared" si="0"/>
        <v>AT11000014</v>
      </c>
      <c r="C15" s="51" t="str">
        <f t="shared" si="0"/>
        <v>NUSARAYA PERMAI PT.</v>
      </c>
      <c r="D15" s="51" t="str">
        <f t="shared" si="0"/>
        <v>DJARUM</v>
      </c>
      <c r="E15" s="51" t="s">
        <v>151</v>
      </c>
      <c r="F15" s="51" t="s">
        <v>153</v>
      </c>
      <c r="G15" s="51" t="s">
        <v>141</v>
      </c>
      <c r="H15" s="51">
        <v>1005002464</v>
      </c>
      <c r="I15" s="51" t="s">
        <v>9</v>
      </c>
      <c r="J15" s="51">
        <v>9</v>
      </c>
      <c r="K15" s="51" t="s">
        <v>142</v>
      </c>
      <c r="L15" s="51">
        <v>1001027486</v>
      </c>
      <c r="M15" s="51" t="s">
        <v>158</v>
      </c>
      <c r="N15" s="51" t="s">
        <v>144</v>
      </c>
      <c r="O15" s="138" t="s">
        <v>145</v>
      </c>
      <c r="P15" s="51" t="s">
        <v>146</v>
      </c>
      <c r="Q15" s="51" t="s">
        <v>147</v>
      </c>
      <c r="R15" s="51" t="s">
        <v>148</v>
      </c>
      <c r="S15" s="74">
        <v>3000189</v>
      </c>
      <c r="T15" s="74">
        <v>300018900</v>
      </c>
      <c r="U15" s="74"/>
      <c r="V15" s="74">
        <v>300018900</v>
      </c>
    </row>
    <row r="16" spans="1:22" ht="15" customHeight="1">
      <c r="A16" s="51">
        <f t="shared" si="0"/>
        <v>2</v>
      </c>
      <c r="B16" s="51" t="str">
        <f t="shared" si="0"/>
        <v>AT11000014</v>
      </c>
      <c r="C16" s="51" t="str">
        <f t="shared" si="0"/>
        <v>NUSARAYA PERMAI PT.</v>
      </c>
      <c r="D16" s="51" t="str">
        <f t="shared" si="0"/>
        <v>DJARUM</v>
      </c>
      <c r="E16" s="51" t="s">
        <v>151</v>
      </c>
      <c r="F16" s="51" t="s">
        <v>153</v>
      </c>
      <c r="G16" s="51" t="s">
        <v>141</v>
      </c>
      <c r="H16" s="51">
        <v>9085000267</v>
      </c>
      <c r="I16" s="51" t="s">
        <v>9</v>
      </c>
      <c r="J16" s="51">
        <v>9</v>
      </c>
      <c r="K16" s="51" t="s">
        <v>142</v>
      </c>
      <c r="L16" s="51">
        <v>9081001570</v>
      </c>
      <c r="M16" s="51" t="s">
        <v>159</v>
      </c>
      <c r="N16" s="51" t="s">
        <v>144</v>
      </c>
      <c r="O16" s="138" t="s">
        <v>145</v>
      </c>
      <c r="P16" s="51" t="s">
        <v>146</v>
      </c>
      <c r="Q16" s="51" t="s">
        <v>147</v>
      </c>
      <c r="R16" s="51" t="s">
        <v>160</v>
      </c>
      <c r="S16" s="74">
        <v>2000451</v>
      </c>
      <c r="T16" s="74">
        <v>400090200</v>
      </c>
      <c r="U16" s="74"/>
      <c r="V16" s="74">
        <v>400090200</v>
      </c>
    </row>
    <row r="17" spans="1:22" ht="15" customHeight="1">
      <c r="A17" s="51">
        <f t="shared" si="0"/>
        <v>2</v>
      </c>
      <c r="B17" s="51" t="str">
        <f t="shared" si="0"/>
        <v>AT11000014</v>
      </c>
      <c r="C17" s="51" t="str">
        <f t="shared" si="0"/>
        <v>NUSARAYA PERMAI PT.</v>
      </c>
      <c r="D17" s="51" t="str">
        <f t="shared" si="0"/>
        <v>DJARUM</v>
      </c>
      <c r="E17" s="51" t="s">
        <v>151</v>
      </c>
      <c r="F17" s="51" t="s">
        <v>153</v>
      </c>
      <c r="G17" s="51" t="s">
        <v>141</v>
      </c>
      <c r="H17" s="51">
        <v>9085000268</v>
      </c>
      <c r="I17" s="51" t="s">
        <v>9</v>
      </c>
      <c r="J17" s="51">
        <v>9</v>
      </c>
      <c r="K17" s="51" t="s">
        <v>142</v>
      </c>
      <c r="L17" s="51">
        <v>9081001570</v>
      </c>
      <c r="M17" s="51" t="s">
        <v>159</v>
      </c>
      <c r="N17" s="51" t="s">
        <v>144</v>
      </c>
      <c r="O17" s="138" t="s">
        <v>145</v>
      </c>
      <c r="P17" s="51" t="s">
        <v>146</v>
      </c>
      <c r="Q17" s="51" t="s">
        <v>147</v>
      </c>
      <c r="R17" s="51" t="s">
        <v>160</v>
      </c>
      <c r="S17" s="74">
        <v>2000000</v>
      </c>
      <c r="T17" s="74">
        <v>400000000</v>
      </c>
      <c r="U17" s="74"/>
      <c r="V17" s="74">
        <v>400000000</v>
      </c>
    </row>
    <row r="18" spans="1:22" ht="15" customHeight="1">
      <c r="A18" s="51">
        <f t="shared" si="0"/>
        <v>2</v>
      </c>
      <c r="B18" s="51" t="str">
        <f t="shared" si="0"/>
        <v>AT11000014</v>
      </c>
      <c r="C18" s="51" t="str">
        <f t="shared" si="0"/>
        <v>NUSARAYA PERMAI PT.</v>
      </c>
      <c r="D18" s="51" t="str">
        <f t="shared" si="0"/>
        <v>DJARUM</v>
      </c>
      <c r="E18" s="51" t="s">
        <v>151</v>
      </c>
      <c r="F18" s="51" t="s">
        <v>153</v>
      </c>
      <c r="G18" s="51" t="s">
        <v>141</v>
      </c>
      <c r="H18" s="51">
        <v>9145000205</v>
      </c>
      <c r="I18" s="51" t="s">
        <v>9</v>
      </c>
      <c r="J18" s="51">
        <v>9</v>
      </c>
      <c r="K18" s="51" t="s">
        <v>142</v>
      </c>
      <c r="L18" s="51">
        <v>9141001855</v>
      </c>
      <c r="M18" s="51" t="s">
        <v>161</v>
      </c>
      <c r="N18" s="51" t="s">
        <v>144</v>
      </c>
      <c r="O18" s="138" t="s">
        <v>145</v>
      </c>
      <c r="P18" s="51" t="s">
        <v>146</v>
      </c>
      <c r="Q18" s="51" t="s">
        <v>147</v>
      </c>
      <c r="R18" s="51" t="s">
        <v>162</v>
      </c>
      <c r="S18" s="74">
        <v>4000008</v>
      </c>
      <c r="T18" s="74">
        <v>800001600</v>
      </c>
      <c r="U18" s="74"/>
      <c r="V18" s="74">
        <v>800001600</v>
      </c>
    </row>
    <row r="19" spans="1:22" ht="15" customHeight="1">
      <c r="A19" s="56"/>
      <c r="B19" s="56" t="s">
        <v>149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139"/>
      <c r="P19" s="56" t="s">
        <v>146</v>
      </c>
      <c r="Q19" s="56"/>
      <c r="R19" s="56"/>
      <c r="S19" s="58">
        <v>21001431</v>
      </c>
      <c r="T19" s="58">
        <v>3100230000</v>
      </c>
      <c r="U19" s="58"/>
      <c r="V19" s="58">
        <v>3100230000</v>
      </c>
    </row>
    <row r="20" spans="1:22" ht="15" customHeight="1">
      <c r="A20" s="51">
        <v>3</v>
      </c>
      <c r="B20" s="51" t="s">
        <v>163</v>
      </c>
      <c r="C20" s="51" t="s">
        <v>164</v>
      </c>
      <c r="D20" s="51" t="s">
        <v>165</v>
      </c>
      <c r="E20" s="51" t="s">
        <v>164</v>
      </c>
      <c r="F20" s="51" t="s">
        <v>140</v>
      </c>
      <c r="G20" s="51" t="s">
        <v>141</v>
      </c>
      <c r="H20" s="51">
        <v>1005002323</v>
      </c>
      <c r="I20" s="51" t="s">
        <v>10</v>
      </c>
      <c r="J20" s="51">
        <v>31</v>
      </c>
      <c r="K20" s="51" t="s">
        <v>142</v>
      </c>
      <c r="L20" s="51">
        <v>1001026991</v>
      </c>
      <c r="M20" s="51" t="s">
        <v>166</v>
      </c>
      <c r="N20" s="51" t="s">
        <v>144</v>
      </c>
      <c r="O20" s="138" t="s">
        <v>145</v>
      </c>
      <c r="P20" s="51" t="s">
        <v>146</v>
      </c>
      <c r="Q20" s="51" t="s">
        <v>147</v>
      </c>
      <c r="R20" s="51" t="s">
        <v>148</v>
      </c>
      <c r="S20" s="74">
        <v>17.72</v>
      </c>
      <c r="T20" s="74">
        <v>249852</v>
      </c>
      <c r="U20" s="74"/>
      <c r="V20" s="74">
        <v>249852</v>
      </c>
    </row>
    <row r="21" spans="1:22" ht="15" customHeight="1">
      <c r="A21" s="56"/>
      <c r="B21" s="56" t="s">
        <v>149</v>
      </c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139"/>
      <c r="P21" s="56" t="s">
        <v>146</v>
      </c>
      <c r="Q21" s="56"/>
      <c r="R21" s="56"/>
      <c r="S21" s="58">
        <v>17.72</v>
      </c>
      <c r="T21" s="58">
        <v>249852</v>
      </c>
      <c r="U21" s="58"/>
      <c r="V21" s="58">
        <v>249852</v>
      </c>
    </row>
    <row r="22" spans="1:22" ht="15" customHeight="1">
      <c r="A22" s="51">
        <v>4</v>
      </c>
      <c r="B22" s="51" t="s">
        <v>180</v>
      </c>
      <c r="C22" s="51" t="s">
        <v>181</v>
      </c>
      <c r="D22" s="51" t="s">
        <v>182</v>
      </c>
      <c r="E22" s="51" t="s">
        <v>181</v>
      </c>
      <c r="F22" s="51" t="s">
        <v>153</v>
      </c>
      <c r="G22" s="51" t="s">
        <v>141</v>
      </c>
      <c r="H22" s="51">
        <v>842</v>
      </c>
      <c r="I22" s="51" t="s">
        <v>14</v>
      </c>
      <c r="J22" s="51">
        <v>858</v>
      </c>
      <c r="K22" s="51" t="s">
        <v>142</v>
      </c>
      <c r="L22" s="51">
        <v>1001009464</v>
      </c>
      <c r="M22" s="51" t="s">
        <v>186</v>
      </c>
      <c r="N22" s="51" t="s">
        <v>144</v>
      </c>
      <c r="O22" s="138" t="s">
        <v>145</v>
      </c>
      <c r="P22" s="51" t="s">
        <v>146</v>
      </c>
      <c r="Q22" s="51" t="s">
        <v>147</v>
      </c>
      <c r="R22" s="51" t="s">
        <v>148</v>
      </c>
      <c r="S22" s="74">
        <v>1219</v>
      </c>
      <c r="T22" s="74">
        <v>13417533</v>
      </c>
      <c r="U22" s="74"/>
      <c r="V22" s="74">
        <v>13417533</v>
      </c>
    </row>
    <row r="23" spans="1:22" ht="15" customHeight="1">
      <c r="A23" s="56"/>
      <c r="B23" s="56" t="s">
        <v>149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139"/>
      <c r="P23" s="56" t="s">
        <v>146</v>
      </c>
      <c r="Q23" s="56"/>
      <c r="R23" s="56"/>
      <c r="S23" s="58">
        <v>1219</v>
      </c>
      <c r="T23" s="58">
        <v>13417533</v>
      </c>
      <c r="U23" s="58"/>
      <c r="V23" s="58">
        <v>13417533</v>
      </c>
    </row>
    <row r="24" spans="1:22" ht="15" customHeight="1">
      <c r="A24" s="51">
        <v>5</v>
      </c>
      <c r="B24" s="51" t="s">
        <v>189</v>
      </c>
      <c r="C24" s="51" t="s">
        <v>190</v>
      </c>
      <c r="D24" s="51" t="s">
        <v>152</v>
      </c>
      <c r="E24" s="51" t="s">
        <v>190</v>
      </c>
      <c r="F24" s="51" t="s">
        <v>153</v>
      </c>
      <c r="G24" s="51" t="s">
        <v>141</v>
      </c>
      <c r="H24" s="51">
        <v>9085000132</v>
      </c>
      <c r="I24" s="51" t="s">
        <v>16</v>
      </c>
      <c r="J24" s="51">
        <v>221</v>
      </c>
      <c r="K24" s="51" t="s">
        <v>142</v>
      </c>
      <c r="L24" s="51">
        <v>9081001142</v>
      </c>
      <c r="M24" s="51" t="s">
        <v>191</v>
      </c>
      <c r="N24" s="51" t="s">
        <v>192</v>
      </c>
      <c r="O24" s="138" t="s">
        <v>145</v>
      </c>
      <c r="P24" s="51" t="s">
        <v>146</v>
      </c>
      <c r="Q24" s="51" t="s">
        <v>147</v>
      </c>
      <c r="R24" s="51" t="s">
        <v>160</v>
      </c>
      <c r="S24" s="74">
        <v>483670</v>
      </c>
      <c r="T24" s="74">
        <v>86556000</v>
      </c>
      <c r="U24" s="74"/>
      <c r="V24" s="74">
        <v>86556000</v>
      </c>
    </row>
    <row r="25" spans="1:22" ht="15" customHeight="1">
      <c r="A25" s="51">
        <f t="shared" ref="A25:D44" si="1">A24</f>
        <v>5</v>
      </c>
      <c r="B25" s="51" t="str">
        <f t="shared" si="1"/>
        <v>AT11000131</v>
      </c>
      <c r="C25" s="51" t="str">
        <f t="shared" si="1"/>
        <v>PENITI SUNGAI PURUN PT.</v>
      </c>
      <c r="D25" s="51" t="str">
        <f t="shared" si="1"/>
        <v>DJARUM</v>
      </c>
      <c r="E25" s="51" t="s">
        <v>190</v>
      </c>
      <c r="F25" s="51" t="s">
        <v>153</v>
      </c>
      <c r="G25" s="51" t="s">
        <v>141</v>
      </c>
      <c r="H25" s="51">
        <v>9085000133</v>
      </c>
      <c r="I25" s="51" t="s">
        <v>16</v>
      </c>
      <c r="J25" s="51">
        <v>221</v>
      </c>
      <c r="K25" s="51" t="s">
        <v>142</v>
      </c>
      <c r="L25" s="51">
        <v>9081001142</v>
      </c>
      <c r="M25" s="51" t="s">
        <v>191</v>
      </c>
      <c r="N25" s="51" t="s">
        <v>192</v>
      </c>
      <c r="O25" s="138" t="s">
        <v>145</v>
      </c>
      <c r="P25" s="51" t="s">
        <v>146</v>
      </c>
      <c r="Q25" s="51" t="s">
        <v>147</v>
      </c>
      <c r="R25" s="51" t="s">
        <v>160</v>
      </c>
      <c r="S25" s="74">
        <v>27.81</v>
      </c>
      <c r="T25" s="74">
        <v>348459</v>
      </c>
      <c r="U25" s="74"/>
      <c r="V25" s="74">
        <v>348459</v>
      </c>
    </row>
    <row r="26" spans="1:22" ht="15" customHeight="1">
      <c r="A26" s="51">
        <f t="shared" si="1"/>
        <v>5</v>
      </c>
      <c r="B26" s="51" t="str">
        <f t="shared" si="1"/>
        <v>AT11000131</v>
      </c>
      <c r="C26" s="51" t="str">
        <f t="shared" si="1"/>
        <v>PENITI SUNGAI PURUN PT.</v>
      </c>
      <c r="D26" s="51" t="str">
        <f t="shared" si="1"/>
        <v>DJARUM</v>
      </c>
      <c r="E26" s="51" t="s">
        <v>190</v>
      </c>
      <c r="F26" s="51" t="s">
        <v>153</v>
      </c>
      <c r="G26" s="51" t="s">
        <v>141</v>
      </c>
      <c r="H26" s="51">
        <v>9085000140</v>
      </c>
      <c r="I26" s="51" t="s">
        <v>17</v>
      </c>
      <c r="J26" s="51">
        <v>212</v>
      </c>
      <c r="K26" s="51" t="s">
        <v>142</v>
      </c>
      <c r="L26" s="51">
        <v>9081001113</v>
      </c>
      <c r="M26" s="51" t="s">
        <v>193</v>
      </c>
      <c r="N26" s="51" t="s">
        <v>144</v>
      </c>
      <c r="O26" s="138" t="s">
        <v>145</v>
      </c>
      <c r="P26" s="51" t="s">
        <v>146</v>
      </c>
      <c r="Q26" s="51" t="s">
        <v>147</v>
      </c>
      <c r="R26" s="51" t="s">
        <v>160</v>
      </c>
      <c r="S26" s="74">
        <v>1001200</v>
      </c>
      <c r="T26" s="74">
        <v>260547000</v>
      </c>
      <c r="U26" s="74"/>
      <c r="V26" s="74">
        <v>260547000</v>
      </c>
    </row>
    <row r="27" spans="1:22" ht="15" customHeight="1">
      <c r="A27" s="51">
        <f t="shared" si="1"/>
        <v>5</v>
      </c>
      <c r="B27" s="51" t="str">
        <f t="shared" si="1"/>
        <v>AT11000131</v>
      </c>
      <c r="C27" s="51" t="str">
        <f t="shared" si="1"/>
        <v>PENITI SUNGAI PURUN PT.</v>
      </c>
      <c r="D27" s="51" t="str">
        <f t="shared" si="1"/>
        <v>DJARUM</v>
      </c>
      <c r="E27" s="51" t="s">
        <v>190</v>
      </c>
      <c r="F27" s="51" t="s">
        <v>153</v>
      </c>
      <c r="G27" s="51" t="s">
        <v>141</v>
      </c>
      <c r="H27" s="51">
        <v>9085000141</v>
      </c>
      <c r="I27" s="51" t="s">
        <v>17</v>
      </c>
      <c r="J27" s="51">
        <v>212</v>
      </c>
      <c r="K27" s="51" t="s">
        <v>142</v>
      </c>
      <c r="L27" s="51">
        <v>9081001113</v>
      </c>
      <c r="M27" s="51" t="s">
        <v>193</v>
      </c>
      <c r="N27" s="51" t="s">
        <v>144</v>
      </c>
      <c r="O27" s="138" t="s">
        <v>145</v>
      </c>
      <c r="P27" s="51" t="s">
        <v>146</v>
      </c>
      <c r="Q27" s="51" t="s">
        <v>147</v>
      </c>
      <c r="R27" s="51" t="s">
        <v>160</v>
      </c>
      <c r="S27" s="74">
        <v>52.33</v>
      </c>
      <c r="T27" s="74">
        <v>703629</v>
      </c>
      <c r="U27" s="74"/>
      <c r="V27" s="74">
        <v>703629</v>
      </c>
    </row>
    <row r="28" spans="1:22" ht="15" customHeight="1">
      <c r="A28" s="51">
        <f t="shared" si="1"/>
        <v>5</v>
      </c>
      <c r="B28" s="51" t="str">
        <f t="shared" si="1"/>
        <v>AT11000131</v>
      </c>
      <c r="C28" s="51" t="str">
        <f t="shared" si="1"/>
        <v>PENITI SUNGAI PURUN PT.</v>
      </c>
      <c r="D28" s="51" t="str">
        <f t="shared" si="1"/>
        <v>DJARUM</v>
      </c>
      <c r="E28" s="51" t="s">
        <v>190</v>
      </c>
      <c r="F28" s="51" t="s">
        <v>140</v>
      </c>
      <c r="G28" s="51" t="s">
        <v>141</v>
      </c>
      <c r="H28" s="51">
        <v>9085000149</v>
      </c>
      <c r="I28" s="51" t="s">
        <v>18</v>
      </c>
      <c r="J28" s="51">
        <v>206</v>
      </c>
      <c r="K28" s="51" t="s">
        <v>142</v>
      </c>
      <c r="L28" s="51">
        <v>9081001132</v>
      </c>
      <c r="M28" s="51" t="s">
        <v>194</v>
      </c>
      <c r="N28" s="51" t="s">
        <v>144</v>
      </c>
      <c r="O28" s="138" t="s">
        <v>145</v>
      </c>
      <c r="P28" s="51" t="s">
        <v>146</v>
      </c>
      <c r="Q28" s="51" t="s">
        <v>147</v>
      </c>
      <c r="R28" s="51" t="s">
        <v>160</v>
      </c>
      <c r="S28" s="74">
        <v>1000330</v>
      </c>
      <c r="T28" s="74">
        <v>162650000</v>
      </c>
      <c r="U28" s="74"/>
      <c r="V28" s="74">
        <v>162650000</v>
      </c>
    </row>
    <row r="29" spans="1:22" ht="15" customHeight="1">
      <c r="A29" s="51">
        <f t="shared" si="1"/>
        <v>5</v>
      </c>
      <c r="B29" s="51" t="str">
        <f t="shared" si="1"/>
        <v>AT11000131</v>
      </c>
      <c r="C29" s="51" t="str">
        <f t="shared" si="1"/>
        <v>PENITI SUNGAI PURUN PT.</v>
      </c>
      <c r="D29" s="51" t="str">
        <f t="shared" si="1"/>
        <v>DJARUM</v>
      </c>
      <c r="E29" s="51" t="s">
        <v>190</v>
      </c>
      <c r="F29" s="51" t="s">
        <v>153</v>
      </c>
      <c r="G29" s="51" t="s">
        <v>141</v>
      </c>
      <c r="H29" s="51">
        <v>9085000152</v>
      </c>
      <c r="I29" s="51" t="s">
        <v>7</v>
      </c>
      <c r="J29" s="51">
        <v>200</v>
      </c>
      <c r="K29" s="51" t="s">
        <v>142</v>
      </c>
      <c r="L29" s="51">
        <v>9081001149</v>
      </c>
      <c r="M29" s="51" t="s">
        <v>195</v>
      </c>
      <c r="N29" s="51" t="s">
        <v>144</v>
      </c>
      <c r="O29" s="138" t="s">
        <v>145</v>
      </c>
      <c r="P29" s="51" t="s">
        <v>146</v>
      </c>
      <c r="Q29" s="51" t="s">
        <v>147</v>
      </c>
      <c r="R29" s="51" t="s">
        <v>160</v>
      </c>
      <c r="S29" s="74">
        <v>1003400</v>
      </c>
      <c r="T29" s="74">
        <v>200680000</v>
      </c>
      <c r="U29" s="74"/>
      <c r="V29" s="74">
        <v>200680000</v>
      </c>
    </row>
    <row r="30" spans="1:22" ht="15" customHeight="1">
      <c r="A30" s="51">
        <f t="shared" si="1"/>
        <v>5</v>
      </c>
      <c r="B30" s="51" t="str">
        <f t="shared" si="1"/>
        <v>AT11000131</v>
      </c>
      <c r="C30" s="51" t="str">
        <f t="shared" si="1"/>
        <v>PENITI SUNGAI PURUN PT.</v>
      </c>
      <c r="D30" s="51" t="str">
        <f t="shared" si="1"/>
        <v>DJARUM</v>
      </c>
      <c r="E30" s="51" t="s">
        <v>190</v>
      </c>
      <c r="F30" s="51" t="s">
        <v>140</v>
      </c>
      <c r="G30" s="51" t="s">
        <v>141</v>
      </c>
      <c r="H30" s="51">
        <v>9085000153</v>
      </c>
      <c r="I30" s="51" t="s">
        <v>7</v>
      </c>
      <c r="J30" s="51">
        <v>200</v>
      </c>
      <c r="K30" s="51" t="s">
        <v>142</v>
      </c>
      <c r="L30" s="51">
        <v>9081001128</v>
      </c>
      <c r="M30" s="51" t="s">
        <v>196</v>
      </c>
      <c r="N30" s="51" t="s">
        <v>144</v>
      </c>
      <c r="O30" s="138" t="s">
        <v>145</v>
      </c>
      <c r="P30" s="51" t="s">
        <v>146</v>
      </c>
      <c r="Q30" s="51" t="s">
        <v>147</v>
      </c>
      <c r="R30" s="51" t="s">
        <v>160</v>
      </c>
      <c r="S30" s="74">
        <v>998160</v>
      </c>
      <c r="T30" s="74">
        <v>99816000</v>
      </c>
      <c r="U30" s="74"/>
      <c r="V30" s="74">
        <v>99816000</v>
      </c>
    </row>
    <row r="31" spans="1:22" ht="15" customHeight="1">
      <c r="A31" s="51">
        <f t="shared" si="1"/>
        <v>5</v>
      </c>
      <c r="B31" s="51" t="str">
        <f t="shared" si="1"/>
        <v>AT11000131</v>
      </c>
      <c r="C31" s="51" t="str">
        <f t="shared" si="1"/>
        <v>PENITI SUNGAI PURUN PT.</v>
      </c>
      <c r="D31" s="51" t="str">
        <f t="shared" si="1"/>
        <v>DJARUM</v>
      </c>
      <c r="E31" s="51" t="s">
        <v>190</v>
      </c>
      <c r="F31" s="51" t="s">
        <v>153</v>
      </c>
      <c r="G31" s="51" t="s">
        <v>141</v>
      </c>
      <c r="H31" s="51">
        <v>9085000165</v>
      </c>
      <c r="I31" s="51" t="s">
        <v>19</v>
      </c>
      <c r="J31" s="51">
        <v>184</v>
      </c>
      <c r="K31" s="51" t="s">
        <v>142</v>
      </c>
      <c r="L31" s="51">
        <v>9081001175</v>
      </c>
      <c r="M31" s="51" t="s">
        <v>197</v>
      </c>
      <c r="N31" s="51" t="s">
        <v>144</v>
      </c>
      <c r="O31" s="138" t="s">
        <v>145</v>
      </c>
      <c r="P31" s="51" t="s">
        <v>146</v>
      </c>
      <c r="Q31" s="51" t="s">
        <v>147</v>
      </c>
      <c r="R31" s="51" t="s">
        <v>160</v>
      </c>
      <c r="S31" s="74">
        <v>1011420</v>
      </c>
      <c r="T31" s="74">
        <v>138432000</v>
      </c>
      <c r="U31" s="74"/>
      <c r="V31" s="74">
        <v>138432000</v>
      </c>
    </row>
    <row r="32" spans="1:22" ht="15" customHeight="1">
      <c r="A32" s="51">
        <f t="shared" si="1"/>
        <v>5</v>
      </c>
      <c r="B32" s="51" t="str">
        <f t="shared" si="1"/>
        <v>AT11000131</v>
      </c>
      <c r="C32" s="51" t="str">
        <f t="shared" si="1"/>
        <v>PENITI SUNGAI PURUN PT.</v>
      </c>
      <c r="D32" s="51" t="str">
        <f t="shared" si="1"/>
        <v>DJARUM</v>
      </c>
      <c r="E32" s="51" t="s">
        <v>190</v>
      </c>
      <c r="F32" s="51" t="s">
        <v>153</v>
      </c>
      <c r="G32" s="51" t="s">
        <v>141</v>
      </c>
      <c r="H32" s="51">
        <v>9085000169</v>
      </c>
      <c r="I32" s="51" t="s">
        <v>20</v>
      </c>
      <c r="J32" s="51">
        <v>179</v>
      </c>
      <c r="K32" s="51" t="s">
        <v>142</v>
      </c>
      <c r="L32" s="51">
        <v>9081001197</v>
      </c>
      <c r="M32" s="51" t="s">
        <v>198</v>
      </c>
      <c r="N32" s="51" t="s">
        <v>144</v>
      </c>
      <c r="O32" s="138" t="s">
        <v>145</v>
      </c>
      <c r="P32" s="51" t="s">
        <v>146</v>
      </c>
      <c r="Q32" s="51" t="s">
        <v>147</v>
      </c>
      <c r="R32" s="51" t="s">
        <v>160</v>
      </c>
      <c r="S32" s="74">
        <v>767710</v>
      </c>
      <c r="T32" s="74">
        <v>107248000</v>
      </c>
      <c r="U32" s="74"/>
      <c r="V32" s="74">
        <v>107248000</v>
      </c>
    </row>
    <row r="33" spans="1:22" ht="15" customHeight="1">
      <c r="A33" s="51">
        <f t="shared" si="1"/>
        <v>5</v>
      </c>
      <c r="B33" s="51" t="str">
        <f t="shared" si="1"/>
        <v>AT11000131</v>
      </c>
      <c r="C33" s="51" t="str">
        <f t="shared" si="1"/>
        <v>PENITI SUNGAI PURUN PT.</v>
      </c>
      <c r="D33" s="51" t="str">
        <f t="shared" si="1"/>
        <v>DJARUM</v>
      </c>
      <c r="E33" s="51" t="s">
        <v>190</v>
      </c>
      <c r="F33" s="51" t="s">
        <v>153</v>
      </c>
      <c r="G33" s="51" t="s">
        <v>141</v>
      </c>
      <c r="H33" s="51">
        <v>9085000173</v>
      </c>
      <c r="I33" s="51" t="s">
        <v>21</v>
      </c>
      <c r="J33" s="51">
        <v>176</v>
      </c>
      <c r="K33" s="51" t="s">
        <v>142</v>
      </c>
      <c r="L33" s="51">
        <v>9081001222</v>
      </c>
      <c r="M33" s="51" t="s">
        <v>199</v>
      </c>
      <c r="N33" s="51" t="s">
        <v>144</v>
      </c>
      <c r="O33" s="138" t="s">
        <v>145</v>
      </c>
      <c r="P33" s="51" t="s">
        <v>146</v>
      </c>
      <c r="Q33" s="51" t="s">
        <v>147</v>
      </c>
      <c r="R33" s="51" t="s">
        <v>160</v>
      </c>
      <c r="S33" s="74">
        <v>999820</v>
      </c>
      <c r="T33" s="74">
        <v>197707000</v>
      </c>
      <c r="U33" s="74"/>
      <c r="V33" s="74">
        <v>197707000</v>
      </c>
    </row>
    <row r="34" spans="1:22" ht="15" customHeight="1">
      <c r="A34" s="51">
        <f t="shared" si="1"/>
        <v>5</v>
      </c>
      <c r="B34" s="51" t="str">
        <f t="shared" si="1"/>
        <v>AT11000131</v>
      </c>
      <c r="C34" s="51" t="str">
        <f t="shared" si="1"/>
        <v>PENITI SUNGAI PURUN PT.</v>
      </c>
      <c r="D34" s="51" t="str">
        <f t="shared" si="1"/>
        <v>DJARUM</v>
      </c>
      <c r="E34" s="51" t="s">
        <v>190</v>
      </c>
      <c r="F34" s="51" t="s">
        <v>153</v>
      </c>
      <c r="G34" s="51" t="s">
        <v>141</v>
      </c>
      <c r="H34" s="51">
        <v>9085000174</v>
      </c>
      <c r="I34" s="51" t="s">
        <v>21</v>
      </c>
      <c r="J34" s="51">
        <v>176</v>
      </c>
      <c r="K34" s="51" t="s">
        <v>142</v>
      </c>
      <c r="L34" s="51">
        <v>9081001209</v>
      </c>
      <c r="M34" s="51" t="s">
        <v>200</v>
      </c>
      <c r="N34" s="51" t="s">
        <v>144</v>
      </c>
      <c r="O34" s="138" t="s">
        <v>145</v>
      </c>
      <c r="P34" s="51" t="s">
        <v>146</v>
      </c>
      <c r="Q34" s="51" t="s">
        <v>147</v>
      </c>
      <c r="R34" s="51" t="s">
        <v>160</v>
      </c>
      <c r="S34" s="74">
        <v>1000200</v>
      </c>
      <c r="T34" s="74">
        <v>149987000</v>
      </c>
      <c r="U34" s="74"/>
      <c r="V34" s="74">
        <v>149987000</v>
      </c>
    </row>
    <row r="35" spans="1:22" ht="15" customHeight="1">
      <c r="A35" s="51">
        <f t="shared" si="1"/>
        <v>5</v>
      </c>
      <c r="B35" s="51" t="str">
        <f t="shared" si="1"/>
        <v>AT11000131</v>
      </c>
      <c r="C35" s="51" t="str">
        <f t="shared" si="1"/>
        <v>PENITI SUNGAI PURUN PT.</v>
      </c>
      <c r="D35" s="51" t="str">
        <f t="shared" si="1"/>
        <v>DJARUM</v>
      </c>
      <c r="E35" s="51" t="s">
        <v>190</v>
      </c>
      <c r="F35" s="51" t="s">
        <v>153</v>
      </c>
      <c r="G35" s="51" t="s">
        <v>141</v>
      </c>
      <c r="H35" s="51">
        <v>9085000175</v>
      </c>
      <c r="I35" s="51" t="s">
        <v>21</v>
      </c>
      <c r="J35" s="51">
        <v>176</v>
      </c>
      <c r="K35" s="51" t="s">
        <v>142</v>
      </c>
      <c r="L35" s="51">
        <v>9081001236</v>
      </c>
      <c r="M35" s="51" t="s">
        <v>201</v>
      </c>
      <c r="N35" s="51" t="s">
        <v>144</v>
      </c>
      <c r="O35" s="138" t="s">
        <v>145</v>
      </c>
      <c r="P35" s="51" t="s">
        <v>146</v>
      </c>
      <c r="Q35" s="51" t="s">
        <v>147</v>
      </c>
      <c r="R35" s="51" t="s">
        <v>160</v>
      </c>
      <c r="S35" s="74">
        <v>999870</v>
      </c>
      <c r="T35" s="74">
        <v>105125000</v>
      </c>
      <c r="U35" s="74"/>
      <c r="V35" s="74">
        <v>105125000</v>
      </c>
    </row>
    <row r="36" spans="1:22" ht="15" customHeight="1">
      <c r="A36" s="51">
        <f t="shared" si="1"/>
        <v>5</v>
      </c>
      <c r="B36" s="51" t="str">
        <f t="shared" si="1"/>
        <v>AT11000131</v>
      </c>
      <c r="C36" s="51" t="str">
        <f t="shared" si="1"/>
        <v>PENITI SUNGAI PURUN PT.</v>
      </c>
      <c r="D36" s="51" t="str">
        <f t="shared" si="1"/>
        <v>DJARUM</v>
      </c>
      <c r="E36" s="51" t="s">
        <v>190</v>
      </c>
      <c r="F36" s="51" t="s">
        <v>153</v>
      </c>
      <c r="G36" s="51" t="s">
        <v>141</v>
      </c>
      <c r="H36" s="51">
        <v>9085000180</v>
      </c>
      <c r="I36" s="51" t="s">
        <v>22</v>
      </c>
      <c r="J36" s="51">
        <v>170</v>
      </c>
      <c r="K36" s="51" t="s">
        <v>142</v>
      </c>
      <c r="L36" s="51">
        <v>9081001255</v>
      </c>
      <c r="M36" s="51" t="s">
        <v>202</v>
      </c>
      <c r="N36" s="51" t="s">
        <v>144</v>
      </c>
      <c r="O36" s="138" t="s">
        <v>145</v>
      </c>
      <c r="P36" s="51" t="s">
        <v>146</v>
      </c>
      <c r="Q36" s="51" t="s">
        <v>147</v>
      </c>
      <c r="R36" s="51" t="s">
        <v>160</v>
      </c>
      <c r="S36" s="74">
        <v>999060</v>
      </c>
      <c r="T36" s="74">
        <v>191069000</v>
      </c>
      <c r="U36" s="74"/>
      <c r="V36" s="74">
        <v>191069000</v>
      </c>
    </row>
    <row r="37" spans="1:22" ht="15" customHeight="1">
      <c r="A37" s="51">
        <f t="shared" si="1"/>
        <v>5</v>
      </c>
      <c r="B37" s="51" t="str">
        <f t="shared" si="1"/>
        <v>AT11000131</v>
      </c>
      <c r="C37" s="51" t="str">
        <f t="shared" si="1"/>
        <v>PENITI SUNGAI PURUN PT.</v>
      </c>
      <c r="D37" s="51" t="str">
        <f t="shared" si="1"/>
        <v>DJARUM</v>
      </c>
      <c r="E37" s="51" t="s">
        <v>190</v>
      </c>
      <c r="F37" s="51" t="s">
        <v>153</v>
      </c>
      <c r="G37" s="51" t="s">
        <v>141</v>
      </c>
      <c r="H37" s="51">
        <v>9085000181</v>
      </c>
      <c r="I37" s="51" t="s">
        <v>22</v>
      </c>
      <c r="J37" s="51">
        <v>170</v>
      </c>
      <c r="K37" s="51" t="s">
        <v>142</v>
      </c>
      <c r="L37" s="51">
        <v>9081001265</v>
      </c>
      <c r="M37" s="51" t="s">
        <v>203</v>
      </c>
      <c r="N37" s="51" t="s">
        <v>144</v>
      </c>
      <c r="O37" s="138" t="s">
        <v>145</v>
      </c>
      <c r="P37" s="51" t="s">
        <v>146</v>
      </c>
      <c r="Q37" s="51" t="s">
        <v>147</v>
      </c>
      <c r="R37" s="51" t="s">
        <v>160</v>
      </c>
      <c r="S37" s="74">
        <v>995660</v>
      </c>
      <c r="T37" s="74">
        <v>223862000</v>
      </c>
      <c r="U37" s="74"/>
      <c r="V37" s="74">
        <v>223862000</v>
      </c>
    </row>
    <row r="38" spans="1:22" ht="15" customHeight="1">
      <c r="A38" s="51">
        <f t="shared" si="1"/>
        <v>5</v>
      </c>
      <c r="B38" s="51" t="str">
        <f t="shared" si="1"/>
        <v>AT11000131</v>
      </c>
      <c r="C38" s="51" t="str">
        <f t="shared" si="1"/>
        <v>PENITI SUNGAI PURUN PT.</v>
      </c>
      <c r="D38" s="51" t="str">
        <f t="shared" si="1"/>
        <v>DJARUM</v>
      </c>
      <c r="E38" s="51" t="s">
        <v>190</v>
      </c>
      <c r="F38" s="51" t="s">
        <v>140</v>
      </c>
      <c r="G38" s="51" t="s">
        <v>141</v>
      </c>
      <c r="H38" s="51">
        <v>9085000186</v>
      </c>
      <c r="I38" s="51" t="s">
        <v>23</v>
      </c>
      <c r="J38" s="51">
        <v>161</v>
      </c>
      <c r="K38" s="51" t="s">
        <v>142</v>
      </c>
      <c r="L38" s="51">
        <v>9081001280</v>
      </c>
      <c r="M38" s="51" t="s">
        <v>204</v>
      </c>
      <c r="N38" s="51" t="s">
        <v>144</v>
      </c>
      <c r="O38" s="138" t="s">
        <v>145</v>
      </c>
      <c r="P38" s="51" t="s">
        <v>146</v>
      </c>
      <c r="Q38" s="51" t="s">
        <v>147</v>
      </c>
      <c r="R38" s="51" t="s">
        <v>160</v>
      </c>
      <c r="S38" s="74">
        <v>900240</v>
      </c>
      <c r="T38" s="74">
        <v>180048000</v>
      </c>
      <c r="U38" s="74"/>
      <c r="V38" s="74">
        <v>180048000</v>
      </c>
    </row>
    <row r="39" spans="1:22" ht="15" customHeight="1">
      <c r="A39" s="51">
        <f t="shared" si="1"/>
        <v>5</v>
      </c>
      <c r="B39" s="51" t="str">
        <f t="shared" si="1"/>
        <v>AT11000131</v>
      </c>
      <c r="C39" s="51" t="str">
        <f t="shared" si="1"/>
        <v>PENITI SUNGAI PURUN PT.</v>
      </c>
      <c r="D39" s="51" t="str">
        <f t="shared" si="1"/>
        <v>DJARUM</v>
      </c>
      <c r="E39" s="51" t="s">
        <v>190</v>
      </c>
      <c r="F39" s="51" t="s">
        <v>140</v>
      </c>
      <c r="G39" s="51" t="s">
        <v>141</v>
      </c>
      <c r="H39" s="51">
        <v>9085000192</v>
      </c>
      <c r="I39" s="51" t="s">
        <v>24</v>
      </c>
      <c r="J39" s="51">
        <v>158</v>
      </c>
      <c r="K39" s="51" t="s">
        <v>142</v>
      </c>
      <c r="L39" s="51">
        <v>9081001286</v>
      </c>
      <c r="M39" s="51" t="s">
        <v>205</v>
      </c>
      <c r="N39" s="51" t="s">
        <v>144</v>
      </c>
      <c r="O39" s="138" t="s">
        <v>145</v>
      </c>
      <c r="P39" s="51" t="s">
        <v>146</v>
      </c>
      <c r="Q39" s="51" t="s">
        <v>147</v>
      </c>
      <c r="R39" s="51" t="s">
        <v>160</v>
      </c>
      <c r="S39" s="74">
        <v>172660</v>
      </c>
      <c r="T39" s="74">
        <v>138128000</v>
      </c>
      <c r="U39" s="74"/>
      <c r="V39" s="74">
        <v>138128000</v>
      </c>
    </row>
    <row r="40" spans="1:22" ht="15" customHeight="1">
      <c r="A40" s="51">
        <f t="shared" si="1"/>
        <v>5</v>
      </c>
      <c r="B40" s="51" t="str">
        <f t="shared" si="1"/>
        <v>AT11000131</v>
      </c>
      <c r="C40" s="51" t="str">
        <f t="shared" si="1"/>
        <v>PENITI SUNGAI PURUN PT.</v>
      </c>
      <c r="D40" s="51" t="str">
        <f t="shared" si="1"/>
        <v>DJARUM</v>
      </c>
      <c r="E40" s="51" t="s">
        <v>190</v>
      </c>
      <c r="F40" s="51" t="s">
        <v>153</v>
      </c>
      <c r="G40" s="51" t="s">
        <v>141</v>
      </c>
      <c r="H40" s="51">
        <v>9085000228</v>
      </c>
      <c r="I40" s="51" t="s">
        <v>25</v>
      </c>
      <c r="J40" s="51">
        <v>95</v>
      </c>
      <c r="K40" s="51" t="s">
        <v>142</v>
      </c>
      <c r="L40" s="51">
        <v>9081001364</v>
      </c>
      <c r="M40" s="51" t="s">
        <v>206</v>
      </c>
      <c r="N40" s="51" t="s">
        <v>144</v>
      </c>
      <c r="O40" s="138" t="s">
        <v>145</v>
      </c>
      <c r="P40" s="51" t="s">
        <v>146</v>
      </c>
      <c r="Q40" s="51" t="s">
        <v>147</v>
      </c>
      <c r="R40" s="51" t="s">
        <v>160</v>
      </c>
      <c r="S40" s="74">
        <v>7.11</v>
      </c>
      <c r="T40" s="74">
        <v>106373</v>
      </c>
      <c r="U40" s="74"/>
      <c r="V40" s="74">
        <v>106373</v>
      </c>
    </row>
    <row r="41" spans="1:22" ht="15" customHeight="1">
      <c r="A41" s="51">
        <f t="shared" si="1"/>
        <v>5</v>
      </c>
      <c r="B41" s="51" t="str">
        <f t="shared" si="1"/>
        <v>AT11000131</v>
      </c>
      <c r="C41" s="51" t="str">
        <f t="shared" si="1"/>
        <v>PENITI SUNGAI PURUN PT.</v>
      </c>
      <c r="D41" s="51" t="str">
        <f t="shared" si="1"/>
        <v>DJARUM</v>
      </c>
      <c r="E41" s="51" t="s">
        <v>190</v>
      </c>
      <c r="F41" s="51" t="s">
        <v>153</v>
      </c>
      <c r="G41" s="51" t="s">
        <v>141</v>
      </c>
      <c r="H41" s="51">
        <v>9085000240</v>
      </c>
      <c r="I41" s="51" t="s">
        <v>26</v>
      </c>
      <c r="J41" s="51">
        <v>67</v>
      </c>
      <c r="K41" s="51" t="s">
        <v>142</v>
      </c>
      <c r="L41" s="51">
        <v>9081001501</v>
      </c>
      <c r="M41" s="51" t="s">
        <v>207</v>
      </c>
      <c r="N41" s="51" t="s">
        <v>144</v>
      </c>
      <c r="O41" s="138" t="s">
        <v>145</v>
      </c>
      <c r="P41" s="51" t="s">
        <v>146</v>
      </c>
      <c r="Q41" s="51" t="s">
        <v>147</v>
      </c>
      <c r="R41" s="51" t="s">
        <v>160</v>
      </c>
      <c r="S41" s="74">
        <v>17300</v>
      </c>
      <c r="T41" s="74">
        <v>1730000</v>
      </c>
      <c r="U41" s="74"/>
      <c r="V41" s="74">
        <v>1730000</v>
      </c>
    </row>
    <row r="42" spans="1:22" ht="15" customHeight="1">
      <c r="A42" s="51">
        <f t="shared" si="1"/>
        <v>5</v>
      </c>
      <c r="B42" s="51" t="str">
        <f t="shared" si="1"/>
        <v>AT11000131</v>
      </c>
      <c r="C42" s="51" t="str">
        <f t="shared" si="1"/>
        <v>PENITI SUNGAI PURUN PT.</v>
      </c>
      <c r="D42" s="51" t="str">
        <f t="shared" si="1"/>
        <v>DJARUM</v>
      </c>
      <c r="E42" s="51" t="s">
        <v>190</v>
      </c>
      <c r="F42" s="51" t="s">
        <v>153</v>
      </c>
      <c r="G42" s="51" t="s">
        <v>141</v>
      </c>
      <c r="H42" s="51">
        <v>9085000241</v>
      </c>
      <c r="I42" s="51" t="s">
        <v>26</v>
      </c>
      <c r="J42" s="51">
        <v>67</v>
      </c>
      <c r="K42" s="51" t="s">
        <v>142</v>
      </c>
      <c r="L42" s="51">
        <v>9081001385</v>
      </c>
      <c r="M42" s="51" t="s">
        <v>208</v>
      </c>
      <c r="N42" s="51" t="s">
        <v>144</v>
      </c>
      <c r="O42" s="138" t="s">
        <v>145</v>
      </c>
      <c r="P42" s="51" t="s">
        <v>146</v>
      </c>
      <c r="Q42" s="51" t="s">
        <v>147</v>
      </c>
      <c r="R42" s="51" t="s">
        <v>160</v>
      </c>
      <c r="S42" s="74">
        <v>130.79</v>
      </c>
      <c r="T42" s="74">
        <v>1917643</v>
      </c>
      <c r="U42" s="74"/>
      <c r="V42" s="74">
        <v>1917643</v>
      </c>
    </row>
    <row r="43" spans="1:22" ht="15" customHeight="1">
      <c r="A43" s="51">
        <f t="shared" si="1"/>
        <v>5</v>
      </c>
      <c r="B43" s="51" t="str">
        <f t="shared" si="1"/>
        <v>AT11000131</v>
      </c>
      <c r="C43" s="51" t="str">
        <f t="shared" si="1"/>
        <v>PENITI SUNGAI PURUN PT.</v>
      </c>
      <c r="D43" s="51" t="str">
        <f t="shared" si="1"/>
        <v>DJARUM</v>
      </c>
      <c r="E43" s="51" t="s">
        <v>190</v>
      </c>
      <c r="F43" s="51" t="s">
        <v>153</v>
      </c>
      <c r="G43" s="51" t="s">
        <v>141</v>
      </c>
      <c r="H43" s="51">
        <v>9085000243</v>
      </c>
      <c r="I43" s="51" t="s">
        <v>27</v>
      </c>
      <c r="J43" s="51">
        <v>60</v>
      </c>
      <c r="K43" s="51" t="s">
        <v>142</v>
      </c>
      <c r="L43" s="51">
        <v>9081001513</v>
      </c>
      <c r="M43" s="51" t="s">
        <v>209</v>
      </c>
      <c r="N43" s="51" t="s">
        <v>144</v>
      </c>
      <c r="O43" s="138" t="s">
        <v>145</v>
      </c>
      <c r="P43" s="51" t="s">
        <v>146</v>
      </c>
      <c r="Q43" s="51" t="s">
        <v>147</v>
      </c>
      <c r="R43" s="51" t="s">
        <v>160</v>
      </c>
      <c r="S43" s="74">
        <v>25.76</v>
      </c>
      <c r="T43" s="74">
        <v>373134</v>
      </c>
      <c r="U43" s="74"/>
      <c r="V43" s="74">
        <v>373134</v>
      </c>
    </row>
    <row r="44" spans="1:22" ht="15" customHeight="1">
      <c r="A44" s="51">
        <f t="shared" si="1"/>
        <v>5</v>
      </c>
      <c r="B44" s="51" t="str">
        <f t="shared" si="1"/>
        <v>AT11000131</v>
      </c>
      <c r="C44" s="51" t="str">
        <f t="shared" si="1"/>
        <v>PENITI SUNGAI PURUN PT.</v>
      </c>
      <c r="D44" s="51" t="str">
        <f t="shared" si="1"/>
        <v>DJARUM</v>
      </c>
      <c r="E44" s="51" t="s">
        <v>190</v>
      </c>
      <c r="F44" s="51" t="s">
        <v>153</v>
      </c>
      <c r="G44" s="51" t="s">
        <v>141</v>
      </c>
      <c r="H44" s="51">
        <v>9085000244</v>
      </c>
      <c r="I44" s="51" t="s">
        <v>27</v>
      </c>
      <c r="J44" s="51">
        <v>60</v>
      </c>
      <c r="K44" s="51" t="s">
        <v>142</v>
      </c>
      <c r="L44" s="51">
        <v>9081001513</v>
      </c>
      <c r="M44" s="51" t="s">
        <v>209</v>
      </c>
      <c r="N44" s="51" t="s">
        <v>144</v>
      </c>
      <c r="O44" s="138" t="s">
        <v>145</v>
      </c>
      <c r="P44" s="51" t="s">
        <v>146</v>
      </c>
      <c r="Q44" s="51" t="s">
        <v>147</v>
      </c>
      <c r="R44" s="51" t="s">
        <v>160</v>
      </c>
      <c r="S44" s="74">
        <v>99830</v>
      </c>
      <c r="T44" s="74">
        <v>9983000</v>
      </c>
      <c r="U44" s="74"/>
      <c r="V44" s="74">
        <v>9983000</v>
      </c>
    </row>
    <row r="45" spans="1:22" ht="15" customHeight="1">
      <c r="A45" s="56"/>
      <c r="B45" s="56" t="s">
        <v>149</v>
      </c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139"/>
      <c r="P45" s="56" t="s">
        <v>146</v>
      </c>
      <c r="Q45" s="56"/>
      <c r="R45" s="56"/>
      <c r="S45" s="58">
        <v>12450773.800000001</v>
      </c>
      <c r="T45" s="58">
        <v>2257017238</v>
      </c>
      <c r="U45" s="58"/>
      <c r="V45" s="58">
        <v>2257017238</v>
      </c>
    </row>
    <row r="46" spans="1:22" ht="15" customHeight="1">
      <c r="A46" s="51">
        <v>6</v>
      </c>
      <c r="B46" s="51" t="s">
        <v>267</v>
      </c>
      <c r="C46" s="51" t="s">
        <v>268</v>
      </c>
      <c r="D46" s="51" t="s">
        <v>269</v>
      </c>
      <c r="E46" s="51" t="s">
        <v>268</v>
      </c>
      <c r="F46" s="51" t="s">
        <v>140</v>
      </c>
      <c r="G46" s="51" t="s">
        <v>141</v>
      </c>
      <c r="H46" s="51">
        <v>9085000210</v>
      </c>
      <c r="I46" s="51" t="s">
        <v>49</v>
      </c>
      <c r="J46" s="51">
        <v>126</v>
      </c>
      <c r="K46" s="51" t="s">
        <v>142</v>
      </c>
      <c r="L46" s="51">
        <v>9081001367</v>
      </c>
      <c r="M46" s="51" t="s">
        <v>270</v>
      </c>
      <c r="N46" s="51" t="s">
        <v>271</v>
      </c>
      <c r="O46" s="138" t="s">
        <v>179</v>
      </c>
      <c r="P46" s="51" t="s">
        <v>146</v>
      </c>
      <c r="Q46" s="51" t="s">
        <v>147</v>
      </c>
      <c r="R46" s="51" t="s">
        <v>160</v>
      </c>
      <c r="S46" s="74">
        <v>22.11</v>
      </c>
      <c r="T46" s="74">
        <v>19125</v>
      </c>
      <c r="U46" s="74"/>
      <c r="V46" s="74">
        <v>19125</v>
      </c>
    </row>
    <row r="47" spans="1:22" ht="15" customHeight="1">
      <c r="A47" s="56"/>
      <c r="B47" s="56" t="s">
        <v>149</v>
      </c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139"/>
      <c r="P47" s="56" t="s">
        <v>146</v>
      </c>
      <c r="Q47" s="56"/>
      <c r="R47" s="56"/>
      <c r="S47" s="58">
        <v>22.11</v>
      </c>
      <c r="T47" s="58">
        <v>19125</v>
      </c>
      <c r="U47" s="58"/>
      <c r="V47" s="58">
        <v>19125</v>
      </c>
    </row>
    <row r="48" spans="1:22" ht="15" customHeight="1">
      <c r="A48" s="51">
        <v>7</v>
      </c>
      <c r="B48" s="51" t="s">
        <v>272</v>
      </c>
      <c r="C48" s="51" t="s">
        <v>273</v>
      </c>
      <c r="D48" s="51" t="s">
        <v>274</v>
      </c>
      <c r="E48" s="51" t="s">
        <v>273</v>
      </c>
      <c r="F48" s="51" t="s">
        <v>153</v>
      </c>
      <c r="G48" s="51" t="s">
        <v>141</v>
      </c>
      <c r="H48" s="51">
        <v>1054</v>
      </c>
      <c r="I48" s="51" t="s">
        <v>50</v>
      </c>
      <c r="J48" s="51">
        <v>752</v>
      </c>
      <c r="K48" s="51" t="s">
        <v>142</v>
      </c>
      <c r="L48" s="51">
        <v>1001013860</v>
      </c>
      <c r="M48" s="51"/>
      <c r="N48" s="51" t="s">
        <v>144</v>
      </c>
      <c r="O48" s="138" t="s">
        <v>145</v>
      </c>
      <c r="P48" s="51" t="s">
        <v>146</v>
      </c>
      <c r="Q48" s="51" t="s">
        <v>147</v>
      </c>
      <c r="R48" s="51" t="s">
        <v>148</v>
      </c>
      <c r="S48" s="74">
        <v>131668</v>
      </c>
      <c r="T48" s="74">
        <v>13475300</v>
      </c>
      <c r="U48" s="74"/>
      <c r="V48" s="74">
        <v>13475300</v>
      </c>
    </row>
    <row r="49" spans="1:22" ht="15" customHeight="1">
      <c r="A49" s="56"/>
      <c r="B49" s="56" t="s">
        <v>149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139"/>
      <c r="P49" s="56" t="s">
        <v>146</v>
      </c>
      <c r="Q49" s="56"/>
      <c r="R49" s="56"/>
      <c r="S49" s="58">
        <v>131668</v>
      </c>
      <c r="T49" s="58">
        <v>13475300</v>
      </c>
      <c r="U49" s="58"/>
      <c r="V49" s="58">
        <v>13475300</v>
      </c>
    </row>
    <row r="50" spans="1:22" ht="15" customHeight="1">
      <c r="A50" s="51">
        <v>8</v>
      </c>
      <c r="B50" s="51" t="s">
        <v>279</v>
      </c>
      <c r="C50" s="51" t="s">
        <v>280</v>
      </c>
      <c r="D50" s="51" t="s">
        <v>182</v>
      </c>
      <c r="E50" s="51" t="s">
        <v>280</v>
      </c>
      <c r="F50" s="51" t="s">
        <v>153</v>
      </c>
      <c r="G50" s="51" t="s">
        <v>141</v>
      </c>
      <c r="H50" s="51">
        <v>1246</v>
      </c>
      <c r="I50" s="51" t="s">
        <v>52</v>
      </c>
      <c r="J50" s="51">
        <v>655</v>
      </c>
      <c r="K50" s="51" t="s">
        <v>142</v>
      </c>
      <c r="L50" s="51">
        <v>1001014688</v>
      </c>
      <c r="M50" s="51" t="s">
        <v>281</v>
      </c>
      <c r="N50" s="51" t="s">
        <v>144</v>
      </c>
      <c r="O50" s="138" t="s">
        <v>145</v>
      </c>
      <c r="P50" s="51" t="s">
        <v>146</v>
      </c>
      <c r="Q50" s="51" t="s">
        <v>147</v>
      </c>
      <c r="R50" s="51" t="s">
        <v>148</v>
      </c>
      <c r="S50" s="74">
        <v>656.25</v>
      </c>
      <c r="T50" s="74">
        <v>7053375</v>
      </c>
      <c r="U50" s="74"/>
      <c r="V50" s="74">
        <v>7053375</v>
      </c>
    </row>
    <row r="51" spans="1:22" ht="15" customHeight="1">
      <c r="A51" s="51">
        <f t="shared" ref="A51:D57" si="2">A50</f>
        <v>8</v>
      </c>
      <c r="B51" s="51" t="str">
        <f t="shared" si="2"/>
        <v>AT11000347</v>
      </c>
      <c r="C51" s="51" t="str">
        <f t="shared" si="2"/>
        <v>PERKEBUNAN NUSANTARA IV PT.</v>
      </c>
      <c r="D51" s="51" t="str">
        <f t="shared" si="2"/>
        <v>PTPN</v>
      </c>
      <c r="E51" s="51" t="s">
        <v>280</v>
      </c>
      <c r="F51" s="51" t="s">
        <v>153</v>
      </c>
      <c r="G51" s="51" t="s">
        <v>141</v>
      </c>
      <c r="H51" s="51">
        <v>1261</v>
      </c>
      <c r="I51" s="51" t="s">
        <v>53</v>
      </c>
      <c r="J51" s="51">
        <v>645</v>
      </c>
      <c r="K51" s="51" t="s">
        <v>142</v>
      </c>
      <c r="L51" s="51">
        <v>1001016353</v>
      </c>
      <c r="M51" s="51" t="s">
        <v>282</v>
      </c>
      <c r="N51" s="51" t="s">
        <v>144</v>
      </c>
      <c r="O51" s="138" t="s">
        <v>145</v>
      </c>
      <c r="P51" s="51" t="s">
        <v>146</v>
      </c>
      <c r="Q51" s="51" t="s">
        <v>147</v>
      </c>
      <c r="R51" s="51" t="s">
        <v>148</v>
      </c>
      <c r="S51" s="74">
        <v>938</v>
      </c>
      <c r="T51" s="74">
        <v>10929375</v>
      </c>
      <c r="U51" s="74"/>
      <c r="V51" s="74">
        <v>10929375</v>
      </c>
    </row>
    <row r="52" spans="1:22" ht="15" customHeight="1">
      <c r="A52" s="51">
        <f t="shared" si="2"/>
        <v>8</v>
      </c>
      <c r="B52" s="51" t="str">
        <f t="shared" si="2"/>
        <v>AT11000347</v>
      </c>
      <c r="C52" s="51" t="str">
        <f t="shared" si="2"/>
        <v>PERKEBUNAN NUSANTARA IV PT.</v>
      </c>
      <c r="D52" s="51" t="str">
        <f t="shared" si="2"/>
        <v>PTPN</v>
      </c>
      <c r="E52" s="51" t="s">
        <v>280</v>
      </c>
      <c r="F52" s="51" t="s">
        <v>140</v>
      </c>
      <c r="G52" s="51" t="s">
        <v>141</v>
      </c>
      <c r="H52" s="51">
        <v>1574</v>
      </c>
      <c r="I52" s="51" t="s">
        <v>54</v>
      </c>
      <c r="J52" s="51">
        <v>529</v>
      </c>
      <c r="K52" s="51" t="s">
        <v>142</v>
      </c>
      <c r="L52" s="51">
        <v>1001017354</v>
      </c>
      <c r="M52" s="51" t="s">
        <v>283</v>
      </c>
      <c r="N52" s="51" t="s">
        <v>144</v>
      </c>
      <c r="O52" s="138" t="s">
        <v>145</v>
      </c>
      <c r="P52" s="51" t="s">
        <v>146</v>
      </c>
      <c r="Q52" s="51" t="s">
        <v>147</v>
      </c>
      <c r="R52" s="51" t="s">
        <v>148</v>
      </c>
      <c r="S52" s="74">
        <v>1750</v>
      </c>
      <c r="T52" s="74">
        <v>21568750</v>
      </c>
      <c r="U52" s="74"/>
      <c r="V52" s="74">
        <v>21568750</v>
      </c>
    </row>
    <row r="53" spans="1:22" ht="15" customHeight="1">
      <c r="A53" s="51">
        <f t="shared" si="2"/>
        <v>8</v>
      </c>
      <c r="B53" s="51" t="str">
        <f t="shared" si="2"/>
        <v>AT11000347</v>
      </c>
      <c r="C53" s="51" t="str">
        <f t="shared" si="2"/>
        <v>PERKEBUNAN NUSANTARA IV PT.</v>
      </c>
      <c r="D53" s="51" t="str">
        <f t="shared" si="2"/>
        <v>PTPN</v>
      </c>
      <c r="E53" s="51" t="s">
        <v>280</v>
      </c>
      <c r="F53" s="51" t="s">
        <v>140</v>
      </c>
      <c r="G53" s="51" t="s">
        <v>141</v>
      </c>
      <c r="H53" s="51">
        <v>1005000696</v>
      </c>
      <c r="I53" s="51" t="s">
        <v>55</v>
      </c>
      <c r="J53" s="51">
        <v>291</v>
      </c>
      <c r="K53" s="51" t="s">
        <v>142</v>
      </c>
      <c r="L53" s="51">
        <v>1001019969</v>
      </c>
      <c r="M53" s="51" t="s">
        <v>284</v>
      </c>
      <c r="N53" s="51" t="s">
        <v>144</v>
      </c>
      <c r="O53" s="138" t="s">
        <v>145</v>
      </c>
      <c r="P53" s="51" t="s">
        <v>146</v>
      </c>
      <c r="Q53" s="51" t="s">
        <v>147</v>
      </c>
      <c r="R53" s="51" t="s">
        <v>148</v>
      </c>
      <c r="S53" s="74">
        <v>787.5</v>
      </c>
      <c r="T53" s="74">
        <v>12305475</v>
      </c>
      <c r="U53" s="74"/>
      <c r="V53" s="74">
        <v>12305475</v>
      </c>
    </row>
    <row r="54" spans="1:22" ht="15" customHeight="1">
      <c r="A54" s="51">
        <f t="shared" si="2"/>
        <v>8</v>
      </c>
      <c r="B54" s="51" t="str">
        <f t="shared" si="2"/>
        <v>AT11000347</v>
      </c>
      <c r="C54" s="51" t="str">
        <f t="shared" si="2"/>
        <v>PERKEBUNAN NUSANTARA IV PT.</v>
      </c>
      <c r="D54" s="51" t="str">
        <f t="shared" si="2"/>
        <v>PTPN</v>
      </c>
      <c r="E54" s="51" t="s">
        <v>280</v>
      </c>
      <c r="F54" s="51" t="s">
        <v>140</v>
      </c>
      <c r="G54" s="51" t="s">
        <v>141</v>
      </c>
      <c r="H54" s="51">
        <v>1005000705</v>
      </c>
      <c r="I54" s="51" t="s">
        <v>56</v>
      </c>
      <c r="J54" s="51">
        <v>290</v>
      </c>
      <c r="K54" s="51" t="s">
        <v>142</v>
      </c>
      <c r="L54" s="51">
        <v>1001020528</v>
      </c>
      <c r="M54" s="51" t="s">
        <v>285</v>
      </c>
      <c r="N54" s="51" t="s">
        <v>144</v>
      </c>
      <c r="O54" s="138" t="s">
        <v>145</v>
      </c>
      <c r="P54" s="51" t="s">
        <v>146</v>
      </c>
      <c r="Q54" s="51" t="s">
        <v>147</v>
      </c>
      <c r="R54" s="51" t="s">
        <v>148</v>
      </c>
      <c r="S54" s="74">
        <v>2850</v>
      </c>
      <c r="T54" s="74">
        <v>38081700</v>
      </c>
      <c r="U54" s="74"/>
      <c r="V54" s="74">
        <v>38081700</v>
      </c>
    </row>
    <row r="55" spans="1:22" ht="15" customHeight="1">
      <c r="A55" s="51">
        <f t="shared" si="2"/>
        <v>8</v>
      </c>
      <c r="B55" s="51" t="str">
        <f t="shared" si="2"/>
        <v>AT11000347</v>
      </c>
      <c r="C55" s="51" t="str">
        <f t="shared" si="2"/>
        <v>PERKEBUNAN NUSANTARA IV PT.</v>
      </c>
      <c r="D55" s="51" t="str">
        <f t="shared" si="2"/>
        <v>PTPN</v>
      </c>
      <c r="E55" s="51" t="s">
        <v>280</v>
      </c>
      <c r="F55" s="51" t="s">
        <v>140</v>
      </c>
      <c r="G55" s="51" t="s">
        <v>141</v>
      </c>
      <c r="H55" s="51">
        <v>1005002348</v>
      </c>
      <c r="I55" s="51" t="s">
        <v>57</v>
      </c>
      <c r="J55" s="51">
        <v>28</v>
      </c>
      <c r="K55" s="51" t="s">
        <v>142</v>
      </c>
      <c r="L55" s="51">
        <v>1001025203</v>
      </c>
      <c r="M55" s="51" t="s">
        <v>286</v>
      </c>
      <c r="N55" s="51" t="s">
        <v>144</v>
      </c>
      <c r="O55" s="138" t="s">
        <v>145</v>
      </c>
      <c r="P55" s="51" t="s">
        <v>146</v>
      </c>
      <c r="Q55" s="51" t="s">
        <v>147</v>
      </c>
      <c r="R55" s="51" t="s">
        <v>148</v>
      </c>
      <c r="S55" s="74">
        <v>2187.5</v>
      </c>
      <c r="T55" s="74">
        <v>31171875</v>
      </c>
      <c r="U55" s="74"/>
      <c r="V55" s="74">
        <v>31171875</v>
      </c>
    </row>
    <row r="56" spans="1:22" ht="15" customHeight="1">
      <c r="A56" s="51">
        <f t="shared" si="2"/>
        <v>8</v>
      </c>
      <c r="B56" s="51" t="str">
        <f t="shared" si="2"/>
        <v>AT11000347</v>
      </c>
      <c r="C56" s="51" t="str">
        <f t="shared" si="2"/>
        <v>PERKEBUNAN NUSANTARA IV PT.</v>
      </c>
      <c r="D56" s="51" t="str">
        <f t="shared" si="2"/>
        <v>PTPN</v>
      </c>
      <c r="E56" s="51" t="s">
        <v>280</v>
      </c>
      <c r="F56" s="51" t="s">
        <v>140</v>
      </c>
      <c r="G56" s="51" t="s">
        <v>141</v>
      </c>
      <c r="H56" s="51">
        <v>1005002342</v>
      </c>
      <c r="I56" s="51" t="s">
        <v>42</v>
      </c>
      <c r="J56" s="51">
        <v>29</v>
      </c>
      <c r="K56" s="51" t="s">
        <v>142</v>
      </c>
      <c r="L56" s="51">
        <v>1001025925</v>
      </c>
      <c r="M56" s="51" t="s">
        <v>287</v>
      </c>
      <c r="N56" s="51" t="s">
        <v>144</v>
      </c>
      <c r="O56" s="138" t="s">
        <v>145</v>
      </c>
      <c r="P56" s="51" t="s">
        <v>146</v>
      </c>
      <c r="Q56" s="51" t="s">
        <v>147</v>
      </c>
      <c r="R56" s="51" t="s">
        <v>148</v>
      </c>
      <c r="S56" s="74">
        <v>3937.5</v>
      </c>
      <c r="T56" s="74">
        <v>53069625</v>
      </c>
      <c r="U56" s="74"/>
      <c r="V56" s="74">
        <v>53069625</v>
      </c>
    </row>
    <row r="57" spans="1:22" ht="15" customHeight="1">
      <c r="A57" s="51">
        <f t="shared" si="2"/>
        <v>8</v>
      </c>
      <c r="B57" s="51" t="str">
        <f t="shared" si="2"/>
        <v>AT11000347</v>
      </c>
      <c r="C57" s="51" t="str">
        <f t="shared" si="2"/>
        <v>PERKEBUNAN NUSANTARA IV PT.</v>
      </c>
      <c r="D57" s="51" t="str">
        <f t="shared" si="2"/>
        <v>PTPN</v>
      </c>
      <c r="E57" s="51" t="s">
        <v>280</v>
      </c>
      <c r="F57" s="51" t="s">
        <v>140</v>
      </c>
      <c r="G57" s="51" t="s">
        <v>141</v>
      </c>
      <c r="H57" s="51">
        <v>1005002340</v>
      </c>
      <c r="I57" s="51" t="s">
        <v>42</v>
      </c>
      <c r="J57" s="51">
        <v>29</v>
      </c>
      <c r="K57" s="51" t="s">
        <v>142</v>
      </c>
      <c r="L57" s="51">
        <v>1001026192</v>
      </c>
      <c r="M57" s="51" t="s">
        <v>288</v>
      </c>
      <c r="N57" s="51" t="s">
        <v>144</v>
      </c>
      <c r="O57" s="138" t="s">
        <v>145</v>
      </c>
      <c r="P57" s="51" t="s">
        <v>146</v>
      </c>
      <c r="Q57" s="51" t="s">
        <v>147</v>
      </c>
      <c r="R57" s="51" t="s">
        <v>148</v>
      </c>
      <c r="S57" s="74">
        <v>612.25</v>
      </c>
      <c r="T57" s="74">
        <v>8303663</v>
      </c>
      <c r="U57" s="74"/>
      <c r="V57" s="74">
        <v>8303663</v>
      </c>
    </row>
    <row r="58" spans="1:22" ht="15" customHeight="1">
      <c r="A58" s="56"/>
      <c r="B58" s="56" t="s">
        <v>149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139"/>
      <c r="P58" s="56" t="s">
        <v>146</v>
      </c>
      <c r="Q58" s="56"/>
      <c r="R58" s="56"/>
      <c r="S58" s="58">
        <v>13719</v>
      </c>
      <c r="T58" s="58">
        <v>182483838</v>
      </c>
      <c r="U58" s="58"/>
      <c r="V58" s="58">
        <v>182483838</v>
      </c>
    </row>
    <row r="59" spans="1:22" ht="15" customHeight="1">
      <c r="A59" s="51">
        <v>9</v>
      </c>
      <c r="B59" s="51" t="s">
        <v>289</v>
      </c>
      <c r="C59" s="51" t="s">
        <v>290</v>
      </c>
      <c r="D59" s="51" t="s">
        <v>182</v>
      </c>
      <c r="E59" s="51" t="s">
        <v>290</v>
      </c>
      <c r="F59" s="51" t="s">
        <v>183</v>
      </c>
      <c r="G59" s="51" t="s">
        <v>141</v>
      </c>
      <c r="H59" s="51">
        <v>414</v>
      </c>
      <c r="I59" s="51" t="s">
        <v>58</v>
      </c>
      <c r="J59" s="51">
        <v>1041</v>
      </c>
      <c r="K59" s="51" t="s">
        <v>142</v>
      </c>
      <c r="L59" s="51">
        <v>1001006442</v>
      </c>
      <c r="M59" s="51" t="s">
        <v>291</v>
      </c>
      <c r="N59" s="51" t="s">
        <v>144</v>
      </c>
      <c r="O59" s="138" t="s">
        <v>145</v>
      </c>
      <c r="P59" s="51" t="s">
        <v>146</v>
      </c>
      <c r="Q59" s="51" t="s">
        <v>147</v>
      </c>
      <c r="R59" s="51" t="s">
        <v>148</v>
      </c>
      <c r="S59" s="74">
        <v>18965</v>
      </c>
      <c r="T59" s="74">
        <v>158227498</v>
      </c>
      <c r="U59" s="74"/>
      <c r="V59" s="74">
        <v>158227498</v>
      </c>
    </row>
    <row r="60" spans="1:22" ht="15" customHeight="1">
      <c r="A60" s="56"/>
      <c r="B60" s="56" t="s">
        <v>149</v>
      </c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139"/>
      <c r="P60" s="56" t="s">
        <v>146</v>
      </c>
      <c r="Q60" s="56"/>
      <c r="R60" s="56"/>
      <c r="S60" s="58">
        <v>18965</v>
      </c>
      <c r="T60" s="58">
        <v>158227498</v>
      </c>
      <c r="U60" s="58"/>
      <c r="V60" s="58">
        <v>158227498</v>
      </c>
    </row>
    <row r="61" spans="1:22" ht="15" customHeight="1">
      <c r="A61" s="51">
        <v>10</v>
      </c>
      <c r="B61" s="51" t="s">
        <v>292</v>
      </c>
      <c r="C61" s="51" t="s">
        <v>293</v>
      </c>
      <c r="D61" s="51" t="s">
        <v>294</v>
      </c>
      <c r="E61" s="51" t="s">
        <v>293</v>
      </c>
      <c r="F61" s="51" t="s">
        <v>153</v>
      </c>
      <c r="G61" s="51" t="s">
        <v>141</v>
      </c>
      <c r="H61" s="51">
        <v>9085000058</v>
      </c>
      <c r="I61" s="51" t="s">
        <v>59</v>
      </c>
      <c r="J61" s="51">
        <v>310</v>
      </c>
      <c r="K61" s="51" t="s">
        <v>142</v>
      </c>
      <c r="L61" s="51">
        <v>9081000854</v>
      </c>
      <c r="M61" s="51" t="s">
        <v>295</v>
      </c>
      <c r="N61" s="51" t="s">
        <v>296</v>
      </c>
      <c r="O61" s="138" t="s">
        <v>297</v>
      </c>
      <c r="P61" s="51" t="s">
        <v>146</v>
      </c>
      <c r="Q61" s="51" t="s">
        <v>147</v>
      </c>
      <c r="R61" s="51" t="s">
        <v>160</v>
      </c>
      <c r="S61" s="74">
        <v>1678.99</v>
      </c>
      <c r="T61" s="74">
        <v>19308374</v>
      </c>
      <c r="U61" s="74"/>
      <c r="V61" s="74">
        <v>19308374</v>
      </c>
    </row>
    <row r="62" spans="1:22" ht="15" customHeight="1">
      <c r="A62" s="56"/>
      <c r="B62" s="56" t="s">
        <v>149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139"/>
      <c r="P62" s="56" t="s">
        <v>146</v>
      </c>
      <c r="Q62" s="56"/>
      <c r="R62" s="56"/>
      <c r="S62" s="58">
        <v>1678.99</v>
      </c>
      <c r="T62" s="58">
        <v>19308374</v>
      </c>
      <c r="U62" s="58"/>
      <c r="V62" s="58">
        <v>19308374</v>
      </c>
    </row>
    <row r="63" spans="1:22" ht="15" customHeight="1">
      <c r="A63" s="51">
        <v>11</v>
      </c>
      <c r="B63" s="51" t="s">
        <v>301</v>
      </c>
      <c r="C63" s="51" t="s">
        <v>302</v>
      </c>
      <c r="D63" s="51" t="s">
        <v>0</v>
      </c>
      <c r="E63" s="51" t="s">
        <v>302</v>
      </c>
      <c r="F63" s="51" t="s">
        <v>140</v>
      </c>
      <c r="G63" s="51" t="s">
        <v>141</v>
      </c>
      <c r="H63" s="51">
        <v>1005002321</v>
      </c>
      <c r="I63" s="51" t="s">
        <v>10</v>
      </c>
      <c r="J63" s="51">
        <v>31</v>
      </c>
      <c r="K63" s="51" t="s">
        <v>142</v>
      </c>
      <c r="L63" s="51">
        <v>1001027143</v>
      </c>
      <c r="M63" s="51" t="s">
        <v>303</v>
      </c>
      <c r="N63" s="51" t="s">
        <v>144</v>
      </c>
      <c r="O63" s="138" t="s">
        <v>145</v>
      </c>
      <c r="P63" s="51" t="s">
        <v>146</v>
      </c>
      <c r="Q63" s="51" t="s">
        <v>147</v>
      </c>
      <c r="R63" s="51" t="s">
        <v>148</v>
      </c>
      <c r="S63" s="74">
        <v>509505</v>
      </c>
      <c r="T63" s="74">
        <v>57577200</v>
      </c>
      <c r="U63" s="74"/>
      <c r="V63" s="74">
        <v>57577200</v>
      </c>
    </row>
    <row r="64" spans="1:22" ht="15" customHeight="1">
      <c r="A64" s="51">
        <f t="shared" ref="A64:D65" si="3">A63</f>
        <v>11</v>
      </c>
      <c r="B64" s="51" t="str">
        <f t="shared" si="3"/>
        <v>AT11000448</v>
      </c>
      <c r="C64" s="51" t="str">
        <f t="shared" si="3"/>
        <v>KARYA SUKSES UTAMA PRIMA PT.</v>
      </c>
      <c r="D64" s="51" t="str">
        <f t="shared" si="3"/>
        <v>STA</v>
      </c>
      <c r="E64" s="51" t="s">
        <v>302</v>
      </c>
      <c r="F64" s="51" t="s">
        <v>153</v>
      </c>
      <c r="G64" s="51" t="s">
        <v>141</v>
      </c>
      <c r="H64" s="51">
        <v>1005002374</v>
      </c>
      <c r="I64" s="51" t="s">
        <v>60</v>
      </c>
      <c r="J64" s="51">
        <v>21</v>
      </c>
      <c r="K64" s="51" t="s">
        <v>142</v>
      </c>
      <c r="L64" s="51">
        <v>1001027298</v>
      </c>
      <c r="M64" s="51" t="s">
        <v>304</v>
      </c>
      <c r="N64" s="51" t="s">
        <v>144</v>
      </c>
      <c r="O64" s="138" t="s">
        <v>145</v>
      </c>
      <c r="P64" s="51" t="s">
        <v>146</v>
      </c>
      <c r="Q64" s="51" t="s">
        <v>147</v>
      </c>
      <c r="R64" s="51" t="s">
        <v>148</v>
      </c>
      <c r="S64" s="74">
        <v>661939</v>
      </c>
      <c r="T64" s="74">
        <v>106367200</v>
      </c>
      <c r="U64" s="74"/>
      <c r="V64" s="74">
        <v>106367200</v>
      </c>
    </row>
    <row r="65" spans="1:22" ht="15" customHeight="1">
      <c r="A65" s="51">
        <f t="shared" si="3"/>
        <v>11</v>
      </c>
      <c r="B65" s="51" t="str">
        <f t="shared" si="3"/>
        <v>AT11000448</v>
      </c>
      <c r="C65" s="51" t="str">
        <f t="shared" si="3"/>
        <v>KARYA SUKSES UTAMA PRIMA PT.</v>
      </c>
      <c r="D65" s="51" t="str">
        <f t="shared" si="3"/>
        <v>STA</v>
      </c>
      <c r="E65" s="51" t="s">
        <v>302</v>
      </c>
      <c r="F65" s="51" t="s">
        <v>140</v>
      </c>
      <c r="G65" s="51" t="s">
        <v>141</v>
      </c>
      <c r="H65" s="51">
        <v>1005002470</v>
      </c>
      <c r="I65" s="51" t="s">
        <v>28</v>
      </c>
      <c r="J65" s="51">
        <v>8</v>
      </c>
      <c r="K65" s="51" t="s">
        <v>142</v>
      </c>
      <c r="L65" s="51">
        <v>1001027479</v>
      </c>
      <c r="M65" s="51" t="s">
        <v>305</v>
      </c>
      <c r="N65" s="51" t="s">
        <v>144</v>
      </c>
      <c r="O65" s="138" t="s">
        <v>145</v>
      </c>
      <c r="P65" s="51" t="s">
        <v>146</v>
      </c>
      <c r="Q65" s="51" t="s">
        <v>147</v>
      </c>
      <c r="R65" s="51" t="s">
        <v>148</v>
      </c>
      <c r="S65" s="74">
        <v>75562</v>
      </c>
      <c r="T65" s="74">
        <v>7556200</v>
      </c>
      <c r="U65" s="74"/>
      <c r="V65" s="74">
        <v>7556200</v>
      </c>
    </row>
    <row r="66" spans="1:22" ht="15" customHeight="1">
      <c r="A66" s="56"/>
      <c r="B66" s="56" t="s">
        <v>149</v>
      </c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139"/>
      <c r="P66" s="56" t="s">
        <v>146</v>
      </c>
      <c r="Q66" s="56"/>
      <c r="R66" s="56"/>
      <c r="S66" s="58">
        <v>1247006</v>
      </c>
      <c r="T66" s="58">
        <v>171500600</v>
      </c>
      <c r="U66" s="58"/>
      <c r="V66" s="58">
        <v>171500600</v>
      </c>
    </row>
    <row r="67" spans="1:22" ht="15" customHeight="1">
      <c r="A67" s="51">
        <v>12</v>
      </c>
      <c r="B67" s="51" t="s">
        <v>306</v>
      </c>
      <c r="C67" s="51" t="s">
        <v>307</v>
      </c>
      <c r="D67" s="51" t="s">
        <v>252</v>
      </c>
      <c r="E67" s="51" t="s">
        <v>307</v>
      </c>
      <c r="F67" s="51" t="s">
        <v>153</v>
      </c>
      <c r="G67" s="51" t="s">
        <v>141</v>
      </c>
      <c r="H67" s="51">
        <v>1005002146</v>
      </c>
      <c r="I67" s="51" t="s">
        <v>61</v>
      </c>
      <c r="J67" s="51">
        <v>53</v>
      </c>
      <c r="K67" s="51" t="s">
        <v>142</v>
      </c>
      <c r="L67" s="51">
        <v>1001026977</v>
      </c>
      <c r="M67" s="51" t="s">
        <v>308</v>
      </c>
      <c r="N67" s="51" t="s">
        <v>144</v>
      </c>
      <c r="O67" s="138" t="s">
        <v>145</v>
      </c>
      <c r="P67" s="51" t="s">
        <v>146</v>
      </c>
      <c r="Q67" s="51" t="s">
        <v>147</v>
      </c>
      <c r="R67" s="51" t="s">
        <v>148</v>
      </c>
      <c r="S67" s="74">
        <v>109453</v>
      </c>
      <c r="T67" s="74">
        <v>4229575</v>
      </c>
      <c r="U67" s="74"/>
      <c r="V67" s="74">
        <v>4229575</v>
      </c>
    </row>
    <row r="68" spans="1:22" ht="15" customHeight="1">
      <c r="A68" s="51">
        <f t="shared" ref="A68:D75" si="4">A67</f>
        <v>12</v>
      </c>
      <c r="B68" s="51" t="str">
        <f t="shared" si="4"/>
        <v>AT11000628</v>
      </c>
      <c r="C68" s="51" t="str">
        <f t="shared" si="4"/>
        <v>SENTOSA BUMI WIJAYA PT.</v>
      </c>
      <c r="D68" s="51" t="str">
        <f t="shared" si="4"/>
        <v>ANUGERAH</v>
      </c>
      <c r="E68" s="51" t="s">
        <v>307</v>
      </c>
      <c r="F68" s="51" t="s">
        <v>153</v>
      </c>
      <c r="G68" s="51" t="s">
        <v>141</v>
      </c>
      <c r="H68" s="51">
        <v>1005002148</v>
      </c>
      <c r="I68" s="51" t="s">
        <v>62</v>
      </c>
      <c r="J68" s="51">
        <v>52</v>
      </c>
      <c r="K68" s="51" t="s">
        <v>142</v>
      </c>
      <c r="L68" s="51">
        <v>1001026910</v>
      </c>
      <c r="M68" s="51" t="s">
        <v>309</v>
      </c>
      <c r="N68" s="51" t="s">
        <v>144</v>
      </c>
      <c r="O68" s="138" t="s">
        <v>145</v>
      </c>
      <c r="P68" s="51" t="s">
        <v>146</v>
      </c>
      <c r="Q68" s="51" t="s">
        <v>147</v>
      </c>
      <c r="R68" s="51" t="s">
        <v>148</v>
      </c>
      <c r="S68" s="74">
        <v>497394</v>
      </c>
      <c r="T68" s="74">
        <v>26301200</v>
      </c>
      <c r="U68" s="74"/>
      <c r="V68" s="74">
        <v>26301200</v>
      </c>
    </row>
    <row r="69" spans="1:22" ht="15" customHeight="1">
      <c r="A69" s="51">
        <f t="shared" si="4"/>
        <v>12</v>
      </c>
      <c r="B69" s="51" t="str">
        <f t="shared" si="4"/>
        <v>AT11000628</v>
      </c>
      <c r="C69" s="51" t="str">
        <f t="shared" si="4"/>
        <v>SENTOSA BUMI WIJAYA PT.</v>
      </c>
      <c r="D69" s="51" t="str">
        <f t="shared" si="4"/>
        <v>ANUGERAH</v>
      </c>
      <c r="E69" s="51" t="s">
        <v>307</v>
      </c>
      <c r="F69" s="51" t="s">
        <v>140</v>
      </c>
      <c r="G69" s="51" t="s">
        <v>141</v>
      </c>
      <c r="H69" s="51">
        <v>1005002171</v>
      </c>
      <c r="I69" s="51" t="s">
        <v>63</v>
      </c>
      <c r="J69" s="51">
        <v>51</v>
      </c>
      <c r="K69" s="51" t="s">
        <v>142</v>
      </c>
      <c r="L69" s="51">
        <v>1001026995</v>
      </c>
      <c r="M69" s="51" t="s">
        <v>310</v>
      </c>
      <c r="N69" s="51" t="s">
        <v>144</v>
      </c>
      <c r="O69" s="138" t="s">
        <v>145</v>
      </c>
      <c r="P69" s="51" t="s">
        <v>146</v>
      </c>
      <c r="Q69" s="51" t="s">
        <v>147</v>
      </c>
      <c r="R69" s="51" t="s">
        <v>148</v>
      </c>
      <c r="S69" s="74">
        <v>226430</v>
      </c>
      <c r="T69" s="74">
        <v>7383000</v>
      </c>
      <c r="U69" s="74"/>
      <c r="V69" s="74">
        <v>7383000</v>
      </c>
    </row>
    <row r="70" spans="1:22" ht="15" customHeight="1">
      <c r="A70" s="51">
        <f t="shared" si="4"/>
        <v>12</v>
      </c>
      <c r="B70" s="51" t="str">
        <f t="shared" si="4"/>
        <v>AT11000628</v>
      </c>
      <c r="C70" s="51" t="str">
        <f t="shared" si="4"/>
        <v>SENTOSA BUMI WIJAYA PT.</v>
      </c>
      <c r="D70" s="51" t="str">
        <f t="shared" si="4"/>
        <v>ANUGERAH</v>
      </c>
      <c r="E70" s="51" t="s">
        <v>307</v>
      </c>
      <c r="F70" s="51" t="s">
        <v>140</v>
      </c>
      <c r="G70" s="51" t="s">
        <v>141</v>
      </c>
      <c r="H70" s="51">
        <v>1005002178</v>
      </c>
      <c r="I70" s="51" t="s">
        <v>64</v>
      </c>
      <c r="J70" s="51">
        <v>50</v>
      </c>
      <c r="K70" s="51" t="s">
        <v>142</v>
      </c>
      <c r="L70" s="51">
        <v>1001026911</v>
      </c>
      <c r="M70" s="51" t="s">
        <v>311</v>
      </c>
      <c r="N70" s="51" t="s">
        <v>144</v>
      </c>
      <c r="O70" s="138" t="s">
        <v>145</v>
      </c>
      <c r="P70" s="51" t="s">
        <v>146</v>
      </c>
      <c r="Q70" s="51" t="s">
        <v>147</v>
      </c>
      <c r="R70" s="51" t="s">
        <v>148</v>
      </c>
      <c r="S70" s="74">
        <v>497527</v>
      </c>
      <c r="T70" s="74">
        <v>23072025</v>
      </c>
      <c r="U70" s="74"/>
      <c r="V70" s="74">
        <v>23072025</v>
      </c>
    </row>
    <row r="71" spans="1:22" ht="15" customHeight="1">
      <c r="A71" s="51">
        <f t="shared" si="4"/>
        <v>12</v>
      </c>
      <c r="B71" s="51" t="str">
        <f t="shared" si="4"/>
        <v>AT11000628</v>
      </c>
      <c r="C71" s="51" t="str">
        <f t="shared" si="4"/>
        <v>SENTOSA BUMI WIJAYA PT.</v>
      </c>
      <c r="D71" s="51" t="str">
        <f t="shared" si="4"/>
        <v>ANUGERAH</v>
      </c>
      <c r="E71" s="51" t="s">
        <v>307</v>
      </c>
      <c r="F71" s="51" t="s">
        <v>140</v>
      </c>
      <c r="G71" s="51" t="s">
        <v>141</v>
      </c>
      <c r="H71" s="51">
        <v>1005002295</v>
      </c>
      <c r="I71" s="51" t="s">
        <v>65</v>
      </c>
      <c r="J71" s="51">
        <v>35</v>
      </c>
      <c r="K71" s="51" t="s">
        <v>142</v>
      </c>
      <c r="L71" s="51">
        <v>1001027287</v>
      </c>
      <c r="M71" s="51" t="s">
        <v>312</v>
      </c>
      <c r="N71" s="51" t="s">
        <v>144</v>
      </c>
      <c r="O71" s="138" t="s">
        <v>145</v>
      </c>
      <c r="P71" s="51" t="s">
        <v>146</v>
      </c>
      <c r="Q71" s="51" t="s">
        <v>147</v>
      </c>
      <c r="R71" s="51" t="s">
        <v>148</v>
      </c>
      <c r="S71" s="74">
        <v>639234</v>
      </c>
      <c r="T71" s="74">
        <v>16595100</v>
      </c>
      <c r="U71" s="74"/>
      <c r="V71" s="74">
        <v>16595100</v>
      </c>
    </row>
    <row r="72" spans="1:22" ht="15" customHeight="1">
      <c r="A72" s="51">
        <f t="shared" si="4"/>
        <v>12</v>
      </c>
      <c r="B72" s="51" t="str">
        <f t="shared" si="4"/>
        <v>AT11000628</v>
      </c>
      <c r="C72" s="51" t="str">
        <f t="shared" si="4"/>
        <v>SENTOSA BUMI WIJAYA PT.</v>
      </c>
      <c r="D72" s="51" t="str">
        <f t="shared" si="4"/>
        <v>ANUGERAH</v>
      </c>
      <c r="E72" s="51" t="s">
        <v>307</v>
      </c>
      <c r="F72" s="51" t="s">
        <v>140</v>
      </c>
      <c r="G72" s="51" t="s">
        <v>141</v>
      </c>
      <c r="H72" s="51">
        <v>1005002296</v>
      </c>
      <c r="I72" s="51" t="s">
        <v>65</v>
      </c>
      <c r="J72" s="51">
        <v>35</v>
      </c>
      <c r="K72" s="51" t="s">
        <v>142</v>
      </c>
      <c r="L72" s="51">
        <v>1001027336</v>
      </c>
      <c r="M72" s="51" t="s">
        <v>313</v>
      </c>
      <c r="N72" s="51" t="s">
        <v>144</v>
      </c>
      <c r="O72" s="138" t="s">
        <v>145</v>
      </c>
      <c r="P72" s="51" t="s">
        <v>146</v>
      </c>
      <c r="Q72" s="51" t="s">
        <v>147</v>
      </c>
      <c r="R72" s="51" t="s">
        <v>148</v>
      </c>
      <c r="S72" s="74">
        <v>142416</v>
      </c>
      <c r="T72" s="74">
        <v>3560400</v>
      </c>
      <c r="U72" s="74"/>
      <c r="V72" s="74">
        <v>3560400</v>
      </c>
    </row>
    <row r="73" spans="1:22" ht="15" customHeight="1">
      <c r="A73" s="51">
        <f t="shared" si="4"/>
        <v>12</v>
      </c>
      <c r="B73" s="51" t="str">
        <f t="shared" si="4"/>
        <v>AT11000628</v>
      </c>
      <c r="C73" s="51" t="str">
        <f t="shared" si="4"/>
        <v>SENTOSA BUMI WIJAYA PT.</v>
      </c>
      <c r="D73" s="51" t="str">
        <f t="shared" si="4"/>
        <v>ANUGERAH</v>
      </c>
      <c r="E73" s="51" t="s">
        <v>307</v>
      </c>
      <c r="F73" s="51" t="s">
        <v>140</v>
      </c>
      <c r="G73" s="51" t="s">
        <v>141</v>
      </c>
      <c r="H73" s="51">
        <v>1005002297</v>
      </c>
      <c r="I73" s="51" t="s">
        <v>65</v>
      </c>
      <c r="J73" s="51">
        <v>35</v>
      </c>
      <c r="K73" s="51" t="s">
        <v>142</v>
      </c>
      <c r="L73" s="51">
        <v>1001027419</v>
      </c>
      <c r="M73" s="51" t="s">
        <v>314</v>
      </c>
      <c r="N73" s="51" t="s">
        <v>144</v>
      </c>
      <c r="O73" s="138" t="s">
        <v>145</v>
      </c>
      <c r="P73" s="51" t="s">
        <v>146</v>
      </c>
      <c r="Q73" s="51" t="s">
        <v>147</v>
      </c>
      <c r="R73" s="51" t="s">
        <v>148</v>
      </c>
      <c r="S73" s="74">
        <v>27100</v>
      </c>
      <c r="T73" s="74">
        <v>677500</v>
      </c>
      <c r="U73" s="74"/>
      <c r="V73" s="74">
        <v>677500</v>
      </c>
    </row>
    <row r="74" spans="1:22" ht="15" customHeight="1">
      <c r="A74" s="51">
        <f t="shared" si="4"/>
        <v>12</v>
      </c>
      <c r="B74" s="51" t="str">
        <f t="shared" si="4"/>
        <v>AT11000628</v>
      </c>
      <c r="C74" s="51" t="str">
        <f t="shared" si="4"/>
        <v>SENTOSA BUMI WIJAYA PT.</v>
      </c>
      <c r="D74" s="51" t="str">
        <f t="shared" si="4"/>
        <v>ANUGERAH</v>
      </c>
      <c r="E74" s="51" t="s">
        <v>307</v>
      </c>
      <c r="F74" s="51" t="s">
        <v>153</v>
      </c>
      <c r="G74" s="51" t="s">
        <v>141</v>
      </c>
      <c r="H74" s="51">
        <v>1005002308</v>
      </c>
      <c r="I74" s="51" t="s">
        <v>66</v>
      </c>
      <c r="J74" s="51">
        <v>32</v>
      </c>
      <c r="K74" s="51" t="s">
        <v>142</v>
      </c>
      <c r="L74" s="51">
        <v>1001027465</v>
      </c>
      <c r="M74" s="51" t="s">
        <v>315</v>
      </c>
      <c r="N74" s="51" t="s">
        <v>144</v>
      </c>
      <c r="O74" s="138" t="s">
        <v>145</v>
      </c>
      <c r="P74" s="51" t="s">
        <v>146</v>
      </c>
      <c r="Q74" s="51" t="s">
        <v>147</v>
      </c>
      <c r="R74" s="51" t="s">
        <v>148</v>
      </c>
      <c r="S74" s="74">
        <v>385401</v>
      </c>
      <c r="T74" s="74">
        <v>12108050</v>
      </c>
      <c r="U74" s="74"/>
      <c r="V74" s="74">
        <v>12108050</v>
      </c>
    </row>
    <row r="75" spans="1:22" ht="15" customHeight="1">
      <c r="A75" s="51">
        <f t="shared" si="4"/>
        <v>12</v>
      </c>
      <c r="B75" s="51" t="str">
        <f t="shared" si="4"/>
        <v>AT11000628</v>
      </c>
      <c r="C75" s="51" t="str">
        <f t="shared" si="4"/>
        <v>SENTOSA BUMI WIJAYA PT.</v>
      </c>
      <c r="D75" s="51" t="str">
        <f t="shared" si="4"/>
        <v>ANUGERAH</v>
      </c>
      <c r="E75" s="51" t="s">
        <v>307</v>
      </c>
      <c r="F75" s="51" t="s">
        <v>153</v>
      </c>
      <c r="G75" s="51" t="s">
        <v>141</v>
      </c>
      <c r="H75" s="51">
        <v>1005002310</v>
      </c>
      <c r="I75" s="51" t="s">
        <v>66</v>
      </c>
      <c r="J75" s="51">
        <v>32</v>
      </c>
      <c r="K75" s="51" t="s">
        <v>142</v>
      </c>
      <c r="L75" s="51">
        <v>1001027444</v>
      </c>
      <c r="M75" s="51" t="s">
        <v>316</v>
      </c>
      <c r="N75" s="51" t="s">
        <v>144</v>
      </c>
      <c r="O75" s="138" t="s">
        <v>145</v>
      </c>
      <c r="P75" s="51" t="s">
        <v>146</v>
      </c>
      <c r="Q75" s="51" t="s">
        <v>147</v>
      </c>
      <c r="R75" s="51" t="s">
        <v>148</v>
      </c>
      <c r="S75" s="74">
        <v>248689</v>
      </c>
      <c r="T75" s="74">
        <v>8341950</v>
      </c>
      <c r="U75" s="74"/>
      <c r="V75" s="74">
        <v>8341950</v>
      </c>
    </row>
    <row r="76" spans="1:22" ht="15" customHeight="1">
      <c r="A76" s="56"/>
      <c r="B76" s="56" t="s">
        <v>149</v>
      </c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139"/>
      <c r="P76" s="56" t="s">
        <v>146</v>
      </c>
      <c r="Q76" s="56"/>
      <c r="R76" s="56"/>
      <c r="S76" s="58">
        <v>2773644</v>
      </c>
      <c r="T76" s="58">
        <v>102268800</v>
      </c>
      <c r="U76" s="58"/>
      <c r="V76" s="58">
        <v>102268800</v>
      </c>
    </row>
    <row r="77" spans="1:22" ht="15" customHeight="1">
      <c r="A77" s="51">
        <v>13</v>
      </c>
      <c r="B77" s="51" t="s">
        <v>347</v>
      </c>
      <c r="C77" s="51" t="s">
        <v>348</v>
      </c>
      <c r="D77" s="51" t="s">
        <v>349</v>
      </c>
      <c r="E77" s="51" t="s">
        <v>348</v>
      </c>
      <c r="F77" s="51" t="s">
        <v>140</v>
      </c>
      <c r="G77" s="51" t="s">
        <v>141</v>
      </c>
      <c r="H77" s="51">
        <v>9145000207</v>
      </c>
      <c r="I77" s="51" t="s">
        <v>28</v>
      </c>
      <c r="J77" s="51">
        <v>8</v>
      </c>
      <c r="K77" s="51" t="s">
        <v>142</v>
      </c>
      <c r="L77" s="51">
        <v>9141001813</v>
      </c>
      <c r="M77" s="51" t="s">
        <v>350</v>
      </c>
      <c r="N77" s="51" t="s">
        <v>351</v>
      </c>
      <c r="O77" s="138" t="s">
        <v>352</v>
      </c>
      <c r="P77" s="51" t="s">
        <v>146</v>
      </c>
      <c r="Q77" s="51" t="s">
        <v>147</v>
      </c>
      <c r="R77" s="51" t="s">
        <v>162</v>
      </c>
      <c r="S77" s="74">
        <v>88.74</v>
      </c>
      <c r="T77" s="74">
        <v>1050682</v>
      </c>
      <c r="U77" s="74"/>
      <c r="V77" s="74">
        <v>1050682</v>
      </c>
    </row>
    <row r="78" spans="1:22" ht="15" customHeight="1">
      <c r="A78" s="56"/>
      <c r="B78" s="56" t="s">
        <v>149</v>
      </c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139"/>
      <c r="P78" s="56" t="s">
        <v>146</v>
      </c>
      <c r="Q78" s="56"/>
      <c r="R78" s="56"/>
      <c r="S78" s="58">
        <v>88.74</v>
      </c>
      <c r="T78" s="58">
        <v>1050682</v>
      </c>
      <c r="U78" s="58"/>
      <c r="V78" s="58">
        <v>1050682</v>
      </c>
    </row>
    <row r="79" spans="1:22" ht="15" customHeight="1">
      <c r="A79" s="51">
        <v>14</v>
      </c>
      <c r="B79" s="51" t="s">
        <v>361</v>
      </c>
      <c r="C79" s="51" t="s">
        <v>362</v>
      </c>
      <c r="D79" s="51" t="s">
        <v>363</v>
      </c>
      <c r="E79" s="51" t="s">
        <v>362</v>
      </c>
      <c r="F79" s="51" t="s">
        <v>140</v>
      </c>
      <c r="G79" s="51" t="s">
        <v>141</v>
      </c>
      <c r="H79" s="51">
        <v>9145000209</v>
      </c>
      <c r="I79" s="51" t="s">
        <v>48</v>
      </c>
      <c r="J79" s="51">
        <v>7</v>
      </c>
      <c r="K79" s="51" t="s">
        <v>142</v>
      </c>
      <c r="L79" s="51">
        <v>9141001810</v>
      </c>
      <c r="M79" s="51" t="s">
        <v>364</v>
      </c>
      <c r="N79" s="51" t="s">
        <v>351</v>
      </c>
      <c r="O79" s="138" t="s">
        <v>352</v>
      </c>
      <c r="P79" s="51" t="s">
        <v>146</v>
      </c>
      <c r="Q79" s="51" t="s">
        <v>147</v>
      </c>
      <c r="R79" s="51" t="s">
        <v>162</v>
      </c>
      <c r="S79" s="74">
        <v>297.29000000000002</v>
      </c>
      <c r="T79" s="74">
        <v>3433700</v>
      </c>
      <c r="U79" s="74"/>
      <c r="V79" s="74">
        <v>3433700</v>
      </c>
    </row>
    <row r="80" spans="1:22" ht="15" customHeight="1">
      <c r="A80" s="56"/>
      <c r="B80" s="56" t="s">
        <v>149</v>
      </c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139"/>
      <c r="P80" s="56" t="s">
        <v>146</v>
      </c>
      <c r="Q80" s="56"/>
      <c r="R80" s="56"/>
      <c r="S80" s="58">
        <v>297.29000000000002</v>
      </c>
      <c r="T80" s="58">
        <v>3433700</v>
      </c>
      <c r="U80" s="58"/>
      <c r="V80" s="58">
        <v>3433700</v>
      </c>
    </row>
    <row r="81" spans="1:22" ht="15" customHeight="1">
      <c r="A81" s="51">
        <v>15</v>
      </c>
      <c r="B81" s="51" t="s">
        <v>439</v>
      </c>
      <c r="C81" s="51" t="s">
        <v>440</v>
      </c>
      <c r="D81" s="51" t="s">
        <v>441</v>
      </c>
      <c r="E81" s="51" t="s">
        <v>440</v>
      </c>
      <c r="F81" s="51" t="s">
        <v>140</v>
      </c>
      <c r="G81" s="51" t="s">
        <v>141</v>
      </c>
      <c r="H81" s="51">
        <v>1005002230</v>
      </c>
      <c r="I81" s="51" t="s">
        <v>51</v>
      </c>
      <c r="J81" s="51">
        <v>43</v>
      </c>
      <c r="K81" s="51" t="s">
        <v>142</v>
      </c>
      <c r="L81" s="51">
        <v>1001027292</v>
      </c>
      <c r="M81" s="51" t="s">
        <v>442</v>
      </c>
      <c r="N81" s="51" t="s">
        <v>144</v>
      </c>
      <c r="O81" s="138" t="s">
        <v>145</v>
      </c>
      <c r="P81" s="51" t="s">
        <v>146</v>
      </c>
      <c r="Q81" s="51" t="s">
        <v>147</v>
      </c>
      <c r="R81" s="51" t="s">
        <v>148</v>
      </c>
      <c r="S81" s="74">
        <v>89.08</v>
      </c>
      <c r="T81" s="74">
        <v>1285424</v>
      </c>
      <c r="U81" s="74"/>
      <c r="V81" s="74">
        <v>1285424</v>
      </c>
    </row>
    <row r="82" spans="1:22" ht="15" customHeight="1">
      <c r="A82" s="56"/>
      <c r="B82" s="56" t="s">
        <v>149</v>
      </c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139"/>
      <c r="P82" s="56" t="s">
        <v>146</v>
      </c>
      <c r="Q82" s="56"/>
      <c r="R82" s="56"/>
      <c r="S82" s="58">
        <v>89.08</v>
      </c>
      <c r="T82" s="58">
        <v>1285424</v>
      </c>
      <c r="U82" s="58"/>
      <c r="V82" s="58">
        <v>1285424</v>
      </c>
    </row>
    <row r="83" spans="1:22" ht="15" customHeight="1">
      <c r="A83" s="51">
        <v>16</v>
      </c>
      <c r="B83" s="51" t="s">
        <v>495</v>
      </c>
      <c r="C83" s="51" t="s">
        <v>496</v>
      </c>
      <c r="D83" s="51" t="s">
        <v>497</v>
      </c>
      <c r="E83" s="51" t="s">
        <v>496</v>
      </c>
      <c r="F83" s="51" t="s">
        <v>153</v>
      </c>
      <c r="G83" s="51" t="s">
        <v>141</v>
      </c>
      <c r="H83" s="51">
        <v>1005000823</v>
      </c>
      <c r="I83" s="51" t="s">
        <v>91</v>
      </c>
      <c r="J83" s="51">
        <v>268</v>
      </c>
      <c r="K83" s="51" t="s">
        <v>142</v>
      </c>
      <c r="L83" s="51">
        <v>1001022698</v>
      </c>
      <c r="M83" s="51" t="s">
        <v>498</v>
      </c>
      <c r="N83" s="51" t="s">
        <v>144</v>
      </c>
      <c r="O83" s="138" t="s">
        <v>145</v>
      </c>
      <c r="P83" s="51" t="s">
        <v>146</v>
      </c>
      <c r="Q83" s="51" t="s">
        <v>147</v>
      </c>
      <c r="R83" s="51" t="s">
        <v>148</v>
      </c>
      <c r="S83" s="74">
        <v>8240</v>
      </c>
      <c r="T83" s="74">
        <v>824000</v>
      </c>
      <c r="U83" s="74"/>
      <c r="V83" s="74">
        <v>824000</v>
      </c>
    </row>
    <row r="84" spans="1:22" ht="15" customHeight="1">
      <c r="A84" s="56"/>
      <c r="B84" s="56" t="s">
        <v>149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139"/>
      <c r="P84" s="56" t="s">
        <v>146</v>
      </c>
      <c r="Q84" s="56"/>
      <c r="R84" s="56"/>
      <c r="S84" s="58">
        <v>8240</v>
      </c>
      <c r="T84" s="58">
        <v>824000</v>
      </c>
      <c r="U84" s="58"/>
      <c r="V84" s="58">
        <v>824000</v>
      </c>
    </row>
    <row r="85" spans="1:22" ht="15" customHeight="1">
      <c r="A85" s="51">
        <v>17</v>
      </c>
      <c r="B85" s="51" t="s">
        <v>509</v>
      </c>
      <c r="C85" s="51" t="s">
        <v>510</v>
      </c>
      <c r="D85" s="51" t="s">
        <v>511</v>
      </c>
      <c r="E85" s="51" t="s">
        <v>510</v>
      </c>
      <c r="F85" s="51" t="s">
        <v>140</v>
      </c>
      <c r="G85" s="51" t="s">
        <v>141</v>
      </c>
      <c r="H85" s="51">
        <v>1005002206</v>
      </c>
      <c r="I85" s="51" t="s">
        <v>89</v>
      </c>
      <c r="J85" s="51">
        <v>44</v>
      </c>
      <c r="K85" s="51" t="s">
        <v>142</v>
      </c>
      <c r="L85" s="51">
        <v>1001025798</v>
      </c>
      <c r="M85" s="51" t="s">
        <v>512</v>
      </c>
      <c r="N85" s="51" t="s">
        <v>334</v>
      </c>
      <c r="O85" s="138" t="s">
        <v>297</v>
      </c>
      <c r="P85" s="51" t="s">
        <v>146</v>
      </c>
      <c r="Q85" s="51" t="s">
        <v>147</v>
      </c>
      <c r="R85" s="51" t="s">
        <v>148</v>
      </c>
      <c r="S85" s="74">
        <v>1053.19</v>
      </c>
      <c r="T85" s="74">
        <v>12427642</v>
      </c>
      <c r="U85" s="74"/>
      <c r="V85" s="74">
        <v>12427642</v>
      </c>
    </row>
    <row r="86" spans="1:22" ht="15" customHeight="1">
      <c r="A86" s="51">
        <f t="shared" ref="A86:D92" si="5">A85</f>
        <v>17</v>
      </c>
      <c r="B86" s="51" t="str">
        <f t="shared" si="5"/>
        <v>AT11002925</v>
      </c>
      <c r="C86" s="51" t="str">
        <f t="shared" si="5"/>
        <v>KOPERASI PRODUSEN SUAK PAYONG TIGA</v>
      </c>
      <c r="D86" s="51" t="str">
        <f t="shared" si="5"/>
        <v>KOPERASI</v>
      </c>
      <c r="E86" s="51" t="s">
        <v>510</v>
      </c>
      <c r="F86" s="51" t="s">
        <v>140</v>
      </c>
      <c r="G86" s="51" t="s">
        <v>141</v>
      </c>
      <c r="H86" s="51">
        <v>1005002208</v>
      </c>
      <c r="I86" s="51" t="s">
        <v>89</v>
      </c>
      <c r="J86" s="51">
        <v>44</v>
      </c>
      <c r="K86" s="51" t="s">
        <v>142</v>
      </c>
      <c r="L86" s="51">
        <v>1001025798</v>
      </c>
      <c r="M86" s="51" t="s">
        <v>512</v>
      </c>
      <c r="N86" s="51" t="s">
        <v>334</v>
      </c>
      <c r="O86" s="138" t="s">
        <v>297</v>
      </c>
      <c r="P86" s="51" t="s">
        <v>146</v>
      </c>
      <c r="Q86" s="51" t="s">
        <v>147</v>
      </c>
      <c r="R86" s="51" t="s">
        <v>148</v>
      </c>
      <c r="S86" s="74">
        <v>0.82</v>
      </c>
      <c r="T86" s="74">
        <v>9676</v>
      </c>
      <c r="U86" s="74"/>
      <c r="V86" s="74">
        <v>9676</v>
      </c>
    </row>
    <row r="87" spans="1:22" ht="15" customHeight="1">
      <c r="A87" s="51">
        <f t="shared" si="5"/>
        <v>17</v>
      </c>
      <c r="B87" s="51" t="str">
        <f t="shared" si="5"/>
        <v>AT11002925</v>
      </c>
      <c r="C87" s="51" t="str">
        <f t="shared" si="5"/>
        <v>KOPERASI PRODUSEN SUAK PAYONG TIGA</v>
      </c>
      <c r="D87" s="51" t="str">
        <f t="shared" si="5"/>
        <v>KOPERASI</v>
      </c>
      <c r="E87" s="51" t="s">
        <v>510</v>
      </c>
      <c r="F87" s="51" t="s">
        <v>140</v>
      </c>
      <c r="G87" s="51" t="s">
        <v>141</v>
      </c>
      <c r="H87" s="51">
        <v>1005002279</v>
      </c>
      <c r="I87" s="51" t="s">
        <v>43</v>
      </c>
      <c r="J87" s="51">
        <v>38</v>
      </c>
      <c r="K87" s="51" t="s">
        <v>142</v>
      </c>
      <c r="L87" s="51">
        <v>1001026010</v>
      </c>
      <c r="M87" s="51" t="s">
        <v>513</v>
      </c>
      <c r="N87" s="51" t="s">
        <v>334</v>
      </c>
      <c r="O87" s="138" t="s">
        <v>297</v>
      </c>
      <c r="P87" s="51" t="s">
        <v>146</v>
      </c>
      <c r="Q87" s="51" t="s">
        <v>147</v>
      </c>
      <c r="R87" s="51" t="s">
        <v>148</v>
      </c>
      <c r="S87" s="74">
        <v>18237.63</v>
      </c>
      <c r="T87" s="74">
        <v>213380271</v>
      </c>
      <c r="U87" s="74"/>
      <c r="V87" s="74">
        <v>213380271</v>
      </c>
    </row>
    <row r="88" spans="1:22" ht="15" customHeight="1">
      <c r="A88" s="51">
        <f t="shared" si="5"/>
        <v>17</v>
      </c>
      <c r="B88" s="51" t="str">
        <f t="shared" si="5"/>
        <v>AT11002925</v>
      </c>
      <c r="C88" s="51" t="str">
        <f t="shared" si="5"/>
        <v>KOPERASI PRODUSEN SUAK PAYONG TIGA</v>
      </c>
      <c r="D88" s="51" t="str">
        <f t="shared" si="5"/>
        <v>KOPERASI</v>
      </c>
      <c r="E88" s="51" t="s">
        <v>510</v>
      </c>
      <c r="F88" s="51" t="s">
        <v>140</v>
      </c>
      <c r="G88" s="51" t="s">
        <v>141</v>
      </c>
      <c r="H88" s="51">
        <v>1005002280</v>
      </c>
      <c r="I88" s="51" t="s">
        <v>43</v>
      </c>
      <c r="J88" s="51">
        <v>38</v>
      </c>
      <c r="K88" s="51" t="s">
        <v>142</v>
      </c>
      <c r="L88" s="51">
        <v>1001026010</v>
      </c>
      <c r="M88" s="51" t="s">
        <v>513</v>
      </c>
      <c r="N88" s="51" t="s">
        <v>334</v>
      </c>
      <c r="O88" s="138" t="s">
        <v>297</v>
      </c>
      <c r="P88" s="51" t="s">
        <v>146</v>
      </c>
      <c r="Q88" s="51" t="s">
        <v>147</v>
      </c>
      <c r="R88" s="51" t="s">
        <v>148</v>
      </c>
      <c r="S88" s="74">
        <v>348.65</v>
      </c>
      <c r="T88" s="74">
        <v>4079205</v>
      </c>
      <c r="U88" s="74"/>
      <c r="V88" s="74">
        <v>4079205</v>
      </c>
    </row>
    <row r="89" spans="1:22" ht="15" customHeight="1">
      <c r="A89" s="51">
        <f t="shared" si="5"/>
        <v>17</v>
      </c>
      <c r="B89" s="51" t="str">
        <f t="shared" si="5"/>
        <v>AT11002925</v>
      </c>
      <c r="C89" s="51" t="str">
        <f t="shared" si="5"/>
        <v>KOPERASI PRODUSEN SUAK PAYONG TIGA</v>
      </c>
      <c r="D89" s="51" t="str">
        <f t="shared" si="5"/>
        <v>KOPERASI</v>
      </c>
      <c r="E89" s="51" t="s">
        <v>510</v>
      </c>
      <c r="F89" s="51" t="s">
        <v>140</v>
      </c>
      <c r="G89" s="51" t="s">
        <v>141</v>
      </c>
      <c r="H89" s="51">
        <v>1005002324</v>
      </c>
      <c r="I89" s="51" t="s">
        <v>10</v>
      </c>
      <c r="J89" s="51">
        <v>31</v>
      </c>
      <c r="K89" s="51" t="s">
        <v>142</v>
      </c>
      <c r="L89" s="51">
        <v>1001026976</v>
      </c>
      <c r="M89" s="51" t="s">
        <v>514</v>
      </c>
      <c r="N89" s="51" t="s">
        <v>334</v>
      </c>
      <c r="O89" s="138" t="s">
        <v>297</v>
      </c>
      <c r="P89" s="51" t="s">
        <v>146</v>
      </c>
      <c r="Q89" s="51" t="s">
        <v>147</v>
      </c>
      <c r="R89" s="51" t="s">
        <v>148</v>
      </c>
      <c r="S89" s="74">
        <v>91.57</v>
      </c>
      <c r="T89" s="74">
        <v>1069262</v>
      </c>
      <c r="U89" s="74"/>
      <c r="V89" s="74">
        <v>1069262</v>
      </c>
    </row>
    <row r="90" spans="1:22" ht="15" customHeight="1">
      <c r="A90" s="51">
        <f t="shared" si="5"/>
        <v>17</v>
      </c>
      <c r="B90" s="51" t="str">
        <f t="shared" si="5"/>
        <v>AT11002925</v>
      </c>
      <c r="C90" s="51" t="str">
        <f t="shared" si="5"/>
        <v>KOPERASI PRODUSEN SUAK PAYONG TIGA</v>
      </c>
      <c r="D90" s="51" t="str">
        <f t="shared" si="5"/>
        <v>KOPERASI</v>
      </c>
      <c r="E90" s="51" t="s">
        <v>510</v>
      </c>
      <c r="F90" s="51" t="s">
        <v>140</v>
      </c>
      <c r="G90" s="51" t="s">
        <v>141</v>
      </c>
      <c r="H90" s="51">
        <v>1005002325</v>
      </c>
      <c r="I90" s="51" t="s">
        <v>10</v>
      </c>
      <c r="J90" s="51">
        <v>31</v>
      </c>
      <c r="K90" s="51" t="s">
        <v>142</v>
      </c>
      <c r="L90" s="51">
        <v>1001026976</v>
      </c>
      <c r="M90" s="51" t="s">
        <v>514</v>
      </c>
      <c r="N90" s="51" t="s">
        <v>334</v>
      </c>
      <c r="O90" s="138" t="s">
        <v>297</v>
      </c>
      <c r="P90" s="51" t="s">
        <v>146</v>
      </c>
      <c r="Q90" s="51" t="s">
        <v>147</v>
      </c>
      <c r="R90" s="51" t="s">
        <v>148</v>
      </c>
      <c r="S90" s="74">
        <v>7487.28</v>
      </c>
      <c r="T90" s="74">
        <v>87428970</v>
      </c>
      <c r="U90" s="74"/>
      <c r="V90" s="74">
        <v>87428970</v>
      </c>
    </row>
    <row r="91" spans="1:22" ht="15" customHeight="1">
      <c r="A91" s="51">
        <f t="shared" si="5"/>
        <v>17</v>
      </c>
      <c r="B91" s="51" t="str">
        <f t="shared" si="5"/>
        <v>AT11002925</v>
      </c>
      <c r="C91" s="51" t="str">
        <f t="shared" si="5"/>
        <v>KOPERASI PRODUSEN SUAK PAYONG TIGA</v>
      </c>
      <c r="D91" s="51" t="str">
        <f t="shared" si="5"/>
        <v>KOPERASI</v>
      </c>
      <c r="E91" s="51" t="s">
        <v>510</v>
      </c>
      <c r="F91" s="51" t="s">
        <v>140</v>
      </c>
      <c r="G91" s="51" t="s">
        <v>141</v>
      </c>
      <c r="H91" s="51">
        <v>1005002472</v>
      </c>
      <c r="I91" s="51" t="s">
        <v>28</v>
      </c>
      <c r="J91" s="51">
        <v>8</v>
      </c>
      <c r="K91" s="51" t="s">
        <v>142</v>
      </c>
      <c r="L91" s="51">
        <v>1001027520</v>
      </c>
      <c r="M91" s="51" t="s">
        <v>515</v>
      </c>
      <c r="N91" s="51" t="s">
        <v>351</v>
      </c>
      <c r="O91" s="138" t="s">
        <v>352</v>
      </c>
      <c r="P91" s="51" t="s">
        <v>146</v>
      </c>
      <c r="Q91" s="51" t="s">
        <v>147</v>
      </c>
      <c r="R91" s="51" t="s">
        <v>148</v>
      </c>
      <c r="S91" s="74">
        <v>909.09</v>
      </c>
      <c r="T91" s="74">
        <v>10727262</v>
      </c>
      <c r="U91" s="74"/>
      <c r="V91" s="74">
        <v>10727262</v>
      </c>
    </row>
    <row r="92" spans="1:22" ht="15" customHeight="1">
      <c r="A92" s="51">
        <f t="shared" si="5"/>
        <v>17</v>
      </c>
      <c r="B92" s="51" t="str">
        <f t="shared" si="5"/>
        <v>AT11002925</v>
      </c>
      <c r="C92" s="51" t="str">
        <f t="shared" si="5"/>
        <v>KOPERASI PRODUSEN SUAK PAYONG TIGA</v>
      </c>
      <c r="D92" s="51" t="str">
        <f t="shared" si="5"/>
        <v>KOPERASI</v>
      </c>
      <c r="E92" s="51" t="s">
        <v>510</v>
      </c>
      <c r="F92" s="51" t="s">
        <v>140</v>
      </c>
      <c r="G92" s="51" t="s">
        <v>141</v>
      </c>
      <c r="H92" s="51">
        <v>1005002474</v>
      </c>
      <c r="I92" s="51" t="s">
        <v>28</v>
      </c>
      <c r="J92" s="51">
        <v>8</v>
      </c>
      <c r="K92" s="51" t="s">
        <v>142</v>
      </c>
      <c r="L92" s="51">
        <v>1001027520</v>
      </c>
      <c r="M92" s="51" t="s">
        <v>515</v>
      </c>
      <c r="N92" s="51" t="s">
        <v>351</v>
      </c>
      <c r="O92" s="138" t="s">
        <v>352</v>
      </c>
      <c r="P92" s="51" t="s">
        <v>146</v>
      </c>
      <c r="Q92" s="51" t="s">
        <v>147</v>
      </c>
      <c r="R92" s="51" t="s">
        <v>148</v>
      </c>
      <c r="S92" s="74">
        <v>238.75</v>
      </c>
      <c r="T92" s="74">
        <v>2817250</v>
      </c>
      <c r="U92" s="74"/>
      <c r="V92" s="74">
        <v>2817250</v>
      </c>
    </row>
    <row r="93" spans="1:22" ht="15" customHeight="1">
      <c r="A93" s="56"/>
      <c r="B93" s="56" t="s">
        <v>149</v>
      </c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139"/>
      <c r="P93" s="56" t="s">
        <v>146</v>
      </c>
      <c r="Q93" s="56"/>
      <c r="R93" s="56"/>
      <c r="S93" s="58">
        <v>28366.98</v>
      </c>
      <c r="T93" s="58">
        <v>331939538</v>
      </c>
      <c r="U93" s="58"/>
      <c r="V93" s="58">
        <v>331939538</v>
      </c>
    </row>
    <row r="94" spans="1:22" ht="15" customHeight="1">
      <c r="A94" s="51">
        <v>18</v>
      </c>
      <c r="B94" s="51" t="s">
        <v>516</v>
      </c>
      <c r="C94" s="51" t="s">
        <v>517</v>
      </c>
      <c r="D94" s="51" t="s">
        <v>252</v>
      </c>
      <c r="E94" s="51" t="s">
        <v>517</v>
      </c>
      <c r="F94" s="51" t="s">
        <v>140</v>
      </c>
      <c r="G94" s="51" t="s">
        <v>141</v>
      </c>
      <c r="H94" s="51">
        <v>1005002228</v>
      </c>
      <c r="I94" s="51" t="s">
        <v>51</v>
      </c>
      <c r="J94" s="51">
        <v>43</v>
      </c>
      <c r="K94" s="51" t="s">
        <v>142</v>
      </c>
      <c r="L94" s="51">
        <v>1001027200</v>
      </c>
      <c r="M94" s="51" t="s">
        <v>518</v>
      </c>
      <c r="N94" s="51" t="s">
        <v>144</v>
      </c>
      <c r="O94" s="138" t="s">
        <v>145</v>
      </c>
      <c r="P94" s="51" t="s">
        <v>146</v>
      </c>
      <c r="Q94" s="51" t="s">
        <v>147</v>
      </c>
      <c r="R94" s="51" t="s">
        <v>148</v>
      </c>
      <c r="S94" s="74">
        <v>30030</v>
      </c>
      <c r="T94" s="74">
        <v>1245000</v>
      </c>
      <c r="U94" s="74"/>
      <c r="V94" s="74">
        <v>1245000</v>
      </c>
    </row>
    <row r="95" spans="1:22" ht="15" customHeight="1">
      <c r="A95" s="51">
        <f t="shared" ref="A95:D101" si="6">A94</f>
        <v>18</v>
      </c>
      <c r="B95" s="51" t="str">
        <f t="shared" si="6"/>
        <v>AT11002939</v>
      </c>
      <c r="C95" s="51" t="str">
        <f t="shared" si="6"/>
        <v>KALIMANTAN SUBUR SAWIT PT.</v>
      </c>
      <c r="D95" s="51" t="str">
        <f t="shared" si="6"/>
        <v>ANUGERAH</v>
      </c>
      <c r="E95" s="51" t="s">
        <v>517</v>
      </c>
      <c r="F95" s="51" t="s">
        <v>140</v>
      </c>
      <c r="G95" s="51" t="s">
        <v>141</v>
      </c>
      <c r="H95" s="51">
        <v>1005002229</v>
      </c>
      <c r="I95" s="51" t="s">
        <v>51</v>
      </c>
      <c r="J95" s="51">
        <v>43</v>
      </c>
      <c r="K95" s="51" t="s">
        <v>142</v>
      </c>
      <c r="L95" s="51">
        <v>1001027173</v>
      </c>
      <c r="M95" s="51" t="s">
        <v>519</v>
      </c>
      <c r="N95" s="51" t="s">
        <v>144</v>
      </c>
      <c r="O95" s="138" t="s">
        <v>145</v>
      </c>
      <c r="P95" s="51" t="s">
        <v>146</v>
      </c>
      <c r="Q95" s="51" t="s">
        <v>147</v>
      </c>
      <c r="R95" s="51" t="s">
        <v>148</v>
      </c>
      <c r="S95" s="74">
        <v>17970</v>
      </c>
      <c r="T95" s="74">
        <v>449250</v>
      </c>
      <c r="U95" s="74"/>
      <c r="V95" s="74">
        <v>449250</v>
      </c>
    </row>
    <row r="96" spans="1:22" ht="15" customHeight="1">
      <c r="A96" s="51">
        <f t="shared" si="6"/>
        <v>18</v>
      </c>
      <c r="B96" s="51" t="str">
        <f t="shared" si="6"/>
        <v>AT11002939</v>
      </c>
      <c r="C96" s="51" t="str">
        <f t="shared" si="6"/>
        <v>KALIMANTAN SUBUR SAWIT PT.</v>
      </c>
      <c r="D96" s="51" t="str">
        <f t="shared" si="6"/>
        <v>ANUGERAH</v>
      </c>
      <c r="E96" s="51" t="s">
        <v>517</v>
      </c>
      <c r="F96" s="51" t="s">
        <v>140</v>
      </c>
      <c r="G96" s="51" t="s">
        <v>141</v>
      </c>
      <c r="H96" s="51">
        <v>1005002298</v>
      </c>
      <c r="I96" s="51" t="s">
        <v>65</v>
      </c>
      <c r="J96" s="51">
        <v>35</v>
      </c>
      <c r="K96" s="51" t="s">
        <v>142</v>
      </c>
      <c r="L96" s="51">
        <v>1001027405</v>
      </c>
      <c r="M96" s="51" t="s">
        <v>520</v>
      </c>
      <c r="N96" s="51" t="s">
        <v>144</v>
      </c>
      <c r="O96" s="138" t="s">
        <v>145</v>
      </c>
      <c r="P96" s="51" t="s">
        <v>146</v>
      </c>
      <c r="Q96" s="51" t="s">
        <v>147</v>
      </c>
      <c r="R96" s="51" t="s">
        <v>148</v>
      </c>
      <c r="S96" s="74">
        <v>58052</v>
      </c>
      <c r="T96" s="74">
        <v>1753350</v>
      </c>
      <c r="U96" s="74"/>
      <c r="V96" s="74">
        <v>1753350</v>
      </c>
    </row>
    <row r="97" spans="1:22" ht="15" customHeight="1">
      <c r="A97" s="51">
        <f t="shared" si="6"/>
        <v>18</v>
      </c>
      <c r="B97" s="51" t="str">
        <f t="shared" si="6"/>
        <v>AT11002939</v>
      </c>
      <c r="C97" s="51" t="str">
        <f t="shared" si="6"/>
        <v>KALIMANTAN SUBUR SAWIT PT.</v>
      </c>
      <c r="D97" s="51" t="str">
        <f t="shared" si="6"/>
        <v>ANUGERAH</v>
      </c>
      <c r="E97" s="51" t="s">
        <v>517</v>
      </c>
      <c r="F97" s="51" t="s">
        <v>140</v>
      </c>
      <c r="G97" s="51" t="s">
        <v>141</v>
      </c>
      <c r="H97" s="51">
        <v>1005002299</v>
      </c>
      <c r="I97" s="51" t="s">
        <v>65</v>
      </c>
      <c r="J97" s="51">
        <v>35</v>
      </c>
      <c r="K97" s="51" t="s">
        <v>142</v>
      </c>
      <c r="L97" s="51">
        <v>1001027291</v>
      </c>
      <c r="M97" s="51" t="s">
        <v>521</v>
      </c>
      <c r="N97" s="51" t="s">
        <v>144</v>
      </c>
      <c r="O97" s="138" t="s">
        <v>145</v>
      </c>
      <c r="P97" s="51" t="s">
        <v>146</v>
      </c>
      <c r="Q97" s="51" t="s">
        <v>147</v>
      </c>
      <c r="R97" s="51" t="s">
        <v>148</v>
      </c>
      <c r="S97" s="74">
        <v>502408</v>
      </c>
      <c r="T97" s="74">
        <v>16772650</v>
      </c>
      <c r="U97" s="74"/>
      <c r="V97" s="74">
        <v>16772650</v>
      </c>
    </row>
    <row r="98" spans="1:22" ht="15" customHeight="1">
      <c r="A98" s="51">
        <f t="shared" si="6"/>
        <v>18</v>
      </c>
      <c r="B98" s="51" t="str">
        <f t="shared" si="6"/>
        <v>AT11002939</v>
      </c>
      <c r="C98" s="51" t="str">
        <f t="shared" si="6"/>
        <v>KALIMANTAN SUBUR SAWIT PT.</v>
      </c>
      <c r="D98" s="51" t="str">
        <f t="shared" si="6"/>
        <v>ANUGERAH</v>
      </c>
      <c r="E98" s="51" t="s">
        <v>517</v>
      </c>
      <c r="F98" s="51" t="s">
        <v>153</v>
      </c>
      <c r="G98" s="51" t="s">
        <v>141</v>
      </c>
      <c r="H98" s="51">
        <v>1005002306</v>
      </c>
      <c r="I98" s="51" t="s">
        <v>66</v>
      </c>
      <c r="J98" s="51">
        <v>32</v>
      </c>
      <c r="K98" s="51" t="s">
        <v>142</v>
      </c>
      <c r="L98" s="51">
        <v>1001027252</v>
      </c>
      <c r="M98" s="51" t="s">
        <v>522</v>
      </c>
      <c r="N98" s="51" t="s">
        <v>144</v>
      </c>
      <c r="O98" s="138" t="s">
        <v>145</v>
      </c>
      <c r="P98" s="51" t="s">
        <v>146</v>
      </c>
      <c r="Q98" s="51" t="s">
        <v>147</v>
      </c>
      <c r="R98" s="51" t="s">
        <v>148</v>
      </c>
      <c r="S98" s="74">
        <v>16240</v>
      </c>
      <c r="T98" s="74">
        <v>812000</v>
      </c>
      <c r="U98" s="74"/>
      <c r="V98" s="74">
        <v>812000</v>
      </c>
    </row>
    <row r="99" spans="1:22" ht="15" customHeight="1">
      <c r="A99" s="51">
        <f t="shared" si="6"/>
        <v>18</v>
      </c>
      <c r="B99" s="51" t="str">
        <f t="shared" si="6"/>
        <v>AT11002939</v>
      </c>
      <c r="C99" s="51" t="str">
        <f t="shared" si="6"/>
        <v>KALIMANTAN SUBUR SAWIT PT.</v>
      </c>
      <c r="D99" s="51" t="str">
        <f t="shared" si="6"/>
        <v>ANUGERAH</v>
      </c>
      <c r="E99" s="51" t="s">
        <v>517</v>
      </c>
      <c r="F99" s="51" t="s">
        <v>153</v>
      </c>
      <c r="G99" s="51" t="s">
        <v>141</v>
      </c>
      <c r="H99" s="51">
        <v>1005002307</v>
      </c>
      <c r="I99" s="51" t="s">
        <v>66</v>
      </c>
      <c r="J99" s="51">
        <v>32</v>
      </c>
      <c r="K99" s="51" t="s">
        <v>142</v>
      </c>
      <c r="L99" s="51">
        <v>1001027469</v>
      </c>
      <c r="M99" s="51" t="s">
        <v>523</v>
      </c>
      <c r="N99" s="51" t="s">
        <v>144</v>
      </c>
      <c r="O99" s="138" t="s">
        <v>145</v>
      </c>
      <c r="P99" s="51" t="s">
        <v>146</v>
      </c>
      <c r="Q99" s="51" t="s">
        <v>147</v>
      </c>
      <c r="R99" s="51" t="s">
        <v>148</v>
      </c>
      <c r="S99" s="74">
        <v>36090</v>
      </c>
      <c r="T99" s="74">
        <v>902250</v>
      </c>
      <c r="U99" s="74"/>
      <c r="V99" s="74">
        <v>902250</v>
      </c>
    </row>
    <row r="100" spans="1:22" ht="15" customHeight="1">
      <c r="A100" s="51">
        <f t="shared" si="6"/>
        <v>18</v>
      </c>
      <c r="B100" s="51" t="str">
        <f t="shared" si="6"/>
        <v>AT11002939</v>
      </c>
      <c r="C100" s="51" t="str">
        <f t="shared" si="6"/>
        <v>KALIMANTAN SUBUR SAWIT PT.</v>
      </c>
      <c r="D100" s="51" t="str">
        <f t="shared" si="6"/>
        <v>ANUGERAH</v>
      </c>
      <c r="E100" s="51" t="s">
        <v>517</v>
      </c>
      <c r="F100" s="51" t="s">
        <v>140</v>
      </c>
      <c r="G100" s="51" t="s">
        <v>141</v>
      </c>
      <c r="H100" s="51">
        <v>1005002454</v>
      </c>
      <c r="I100" s="51" t="s">
        <v>9</v>
      </c>
      <c r="J100" s="51">
        <v>9</v>
      </c>
      <c r="K100" s="51" t="s">
        <v>142</v>
      </c>
      <c r="L100" s="51">
        <v>1001027748</v>
      </c>
      <c r="M100" s="51" t="s">
        <v>524</v>
      </c>
      <c r="N100" s="51" t="s">
        <v>144</v>
      </c>
      <c r="O100" s="138" t="s">
        <v>145</v>
      </c>
      <c r="P100" s="51" t="s">
        <v>146</v>
      </c>
      <c r="Q100" s="51" t="s">
        <v>147</v>
      </c>
      <c r="R100" s="51" t="s">
        <v>148</v>
      </c>
      <c r="S100" s="74">
        <v>27.18</v>
      </c>
      <c r="T100" s="74">
        <v>401585</v>
      </c>
      <c r="U100" s="74"/>
      <c r="V100" s="74">
        <v>401585</v>
      </c>
    </row>
    <row r="101" spans="1:22" ht="15" customHeight="1">
      <c r="A101" s="51">
        <f t="shared" si="6"/>
        <v>18</v>
      </c>
      <c r="B101" s="51" t="str">
        <f t="shared" si="6"/>
        <v>AT11002939</v>
      </c>
      <c r="C101" s="51" t="str">
        <f t="shared" si="6"/>
        <v>KALIMANTAN SUBUR SAWIT PT.</v>
      </c>
      <c r="D101" s="51" t="str">
        <f t="shared" si="6"/>
        <v>ANUGERAH</v>
      </c>
      <c r="E101" s="51" t="s">
        <v>517</v>
      </c>
      <c r="F101" s="51" t="s">
        <v>140</v>
      </c>
      <c r="G101" s="51" t="s">
        <v>141</v>
      </c>
      <c r="H101" s="51">
        <v>1005002455</v>
      </c>
      <c r="I101" s="51" t="s">
        <v>9</v>
      </c>
      <c r="J101" s="51">
        <v>9</v>
      </c>
      <c r="K101" s="51" t="s">
        <v>142</v>
      </c>
      <c r="L101" s="51">
        <v>1001027843</v>
      </c>
      <c r="M101" s="51" t="s">
        <v>525</v>
      </c>
      <c r="N101" s="51" t="s">
        <v>144</v>
      </c>
      <c r="O101" s="138" t="s">
        <v>145</v>
      </c>
      <c r="P101" s="51" t="s">
        <v>146</v>
      </c>
      <c r="Q101" s="51" t="s">
        <v>147</v>
      </c>
      <c r="R101" s="51" t="s">
        <v>148</v>
      </c>
      <c r="S101" s="74">
        <v>11.2</v>
      </c>
      <c r="T101" s="74">
        <v>163240</v>
      </c>
      <c r="U101" s="74"/>
      <c r="V101" s="74">
        <v>163240</v>
      </c>
    </row>
    <row r="102" spans="1:22" ht="15" customHeight="1">
      <c r="A102" s="56"/>
      <c r="B102" s="56" t="s">
        <v>149</v>
      </c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139"/>
      <c r="P102" s="56" t="s">
        <v>146</v>
      </c>
      <c r="Q102" s="56"/>
      <c r="R102" s="56"/>
      <c r="S102" s="58">
        <v>660828.38</v>
      </c>
      <c r="T102" s="58">
        <v>22499325</v>
      </c>
      <c r="U102" s="58"/>
      <c r="V102" s="58">
        <v>22499325</v>
      </c>
    </row>
    <row r="103" spans="1:22" ht="15" customHeight="1">
      <c r="A103" s="51">
        <v>19</v>
      </c>
      <c r="B103" s="51" t="s">
        <v>533</v>
      </c>
      <c r="C103" s="51" t="s">
        <v>534</v>
      </c>
      <c r="D103" s="51" t="s">
        <v>535</v>
      </c>
      <c r="E103" s="51" t="s">
        <v>534</v>
      </c>
      <c r="F103" s="51" t="s">
        <v>140</v>
      </c>
      <c r="G103" s="51" t="s">
        <v>141</v>
      </c>
      <c r="H103" s="51">
        <v>1005001937</v>
      </c>
      <c r="I103" s="51" t="s">
        <v>96</v>
      </c>
      <c r="J103" s="51">
        <v>87</v>
      </c>
      <c r="K103" s="51" t="s">
        <v>142</v>
      </c>
      <c r="L103" s="51">
        <v>1001022187</v>
      </c>
      <c r="M103" s="51">
        <v>1242000000618</v>
      </c>
      <c r="N103" s="51" t="s">
        <v>334</v>
      </c>
      <c r="O103" s="138" t="s">
        <v>297</v>
      </c>
      <c r="P103" s="51" t="s">
        <v>146</v>
      </c>
      <c r="Q103" s="51" t="s">
        <v>147</v>
      </c>
      <c r="R103" s="51" t="s">
        <v>148</v>
      </c>
      <c r="S103" s="74">
        <v>17758</v>
      </c>
      <c r="T103" s="74">
        <v>913300</v>
      </c>
      <c r="U103" s="74"/>
      <c r="V103" s="74">
        <v>913300</v>
      </c>
    </row>
    <row r="104" spans="1:22" ht="15" customHeight="1">
      <c r="A104" s="51">
        <f t="shared" ref="A104:D112" si="7">A103</f>
        <v>19</v>
      </c>
      <c r="B104" s="51" t="str">
        <f t="shared" si="7"/>
        <v>AT21000001</v>
      </c>
      <c r="C104" s="51" t="str">
        <f t="shared" si="7"/>
        <v>WAWASAN KEBUN NUSANTARA PT.</v>
      </c>
      <c r="D104" s="51" t="str">
        <f t="shared" si="7"/>
        <v>INTERCO</v>
      </c>
      <c r="E104" s="51" t="s">
        <v>534</v>
      </c>
      <c r="F104" s="51" t="s">
        <v>140</v>
      </c>
      <c r="G104" s="51" t="s">
        <v>141</v>
      </c>
      <c r="H104" s="51">
        <v>1005001938</v>
      </c>
      <c r="I104" s="51" t="s">
        <v>96</v>
      </c>
      <c r="J104" s="51">
        <v>87</v>
      </c>
      <c r="K104" s="51" t="s">
        <v>142</v>
      </c>
      <c r="L104" s="51">
        <v>1001022187</v>
      </c>
      <c r="M104" s="51">
        <v>1242000000618</v>
      </c>
      <c r="N104" s="51" t="s">
        <v>334</v>
      </c>
      <c r="O104" s="138" t="s">
        <v>297</v>
      </c>
      <c r="P104" s="51" t="s">
        <v>146</v>
      </c>
      <c r="Q104" s="51" t="s">
        <v>147</v>
      </c>
      <c r="R104" s="51" t="s">
        <v>148</v>
      </c>
      <c r="S104" s="74">
        <v>79.209999999999994</v>
      </c>
      <c r="T104" s="74">
        <v>1073296</v>
      </c>
      <c r="U104" s="74"/>
      <c r="V104" s="74">
        <v>1073296</v>
      </c>
    </row>
    <row r="105" spans="1:22" ht="15" customHeight="1">
      <c r="A105" s="51">
        <f t="shared" si="7"/>
        <v>19</v>
      </c>
      <c r="B105" s="51" t="str">
        <f t="shared" si="7"/>
        <v>AT21000001</v>
      </c>
      <c r="C105" s="51" t="str">
        <f t="shared" si="7"/>
        <v>WAWASAN KEBUN NUSANTARA PT.</v>
      </c>
      <c r="D105" s="51" t="str">
        <f t="shared" si="7"/>
        <v>INTERCO</v>
      </c>
      <c r="E105" s="51" t="s">
        <v>534</v>
      </c>
      <c r="F105" s="51" t="s">
        <v>153</v>
      </c>
      <c r="G105" s="51" t="s">
        <v>141</v>
      </c>
      <c r="H105" s="51">
        <v>9145000186</v>
      </c>
      <c r="I105" s="51" t="s">
        <v>80</v>
      </c>
      <c r="J105" s="51">
        <v>30</v>
      </c>
      <c r="K105" s="51" t="s">
        <v>142</v>
      </c>
      <c r="L105" s="51">
        <v>9141001758</v>
      </c>
      <c r="M105" s="51">
        <v>1242000000705</v>
      </c>
      <c r="N105" s="51" t="s">
        <v>144</v>
      </c>
      <c r="O105" s="138" t="s">
        <v>145</v>
      </c>
      <c r="P105" s="51" t="s">
        <v>146</v>
      </c>
      <c r="Q105" s="51" t="s">
        <v>147</v>
      </c>
      <c r="R105" s="51" t="s">
        <v>162</v>
      </c>
      <c r="S105" s="74">
        <v>500000</v>
      </c>
      <c r="T105" s="74">
        <v>99126000</v>
      </c>
      <c r="U105" s="74"/>
      <c r="V105" s="74">
        <v>99126000</v>
      </c>
    </row>
    <row r="106" spans="1:22" ht="15" customHeight="1">
      <c r="A106" s="51">
        <f t="shared" si="7"/>
        <v>19</v>
      </c>
      <c r="B106" s="51" t="str">
        <f t="shared" si="7"/>
        <v>AT21000001</v>
      </c>
      <c r="C106" s="51" t="str">
        <f t="shared" si="7"/>
        <v>WAWASAN KEBUN NUSANTARA PT.</v>
      </c>
      <c r="D106" s="51" t="str">
        <f t="shared" si="7"/>
        <v>INTERCO</v>
      </c>
      <c r="E106" s="51" t="s">
        <v>534</v>
      </c>
      <c r="F106" s="51" t="s">
        <v>153</v>
      </c>
      <c r="G106" s="51" t="s">
        <v>141</v>
      </c>
      <c r="H106" s="51">
        <v>9145000188</v>
      </c>
      <c r="I106" s="51" t="s">
        <v>42</v>
      </c>
      <c r="J106" s="51">
        <v>29</v>
      </c>
      <c r="K106" s="51" t="s">
        <v>142</v>
      </c>
      <c r="L106" s="51">
        <v>9141001763</v>
      </c>
      <c r="M106" s="51">
        <v>1242000000706</v>
      </c>
      <c r="N106" s="51" t="s">
        <v>144</v>
      </c>
      <c r="O106" s="138" t="s">
        <v>145</v>
      </c>
      <c r="P106" s="51" t="s">
        <v>146</v>
      </c>
      <c r="Q106" s="51" t="s">
        <v>147</v>
      </c>
      <c r="R106" s="51" t="s">
        <v>162</v>
      </c>
      <c r="S106" s="74">
        <v>600000</v>
      </c>
      <c r="T106" s="74">
        <v>138880000</v>
      </c>
      <c r="U106" s="74"/>
      <c r="V106" s="74">
        <v>138880000</v>
      </c>
    </row>
    <row r="107" spans="1:22" ht="15" customHeight="1">
      <c r="A107" s="51">
        <f t="shared" si="7"/>
        <v>19</v>
      </c>
      <c r="B107" s="51" t="str">
        <f t="shared" si="7"/>
        <v>AT21000001</v>
      </c>
      <c r="C107" s="51" t="str">
        <f t="shared" si="7"/>
        <v>WAWASAN KEBUN NUSANTARA PT.</v>
      </c>
      <c r="D107" s="51" t="str">
        <f t="shared" si="7"/>
        <v>INTERCO</v>
      </c>
      <c r="E107" s="51" t="s">
        <v>534</v>
      </c>
      <c r="F107" s="51" t="s">
        <v>140</v>
      </c>
      <c r="G107" s="51" t="s">
        <v>141</v>
      </c>
      <c r="H107" s="51">
        <v>9145000200</v>
      </c>
      <c r="I107" s="51" t="s">
        <v>90</v>
      </c>
      <c r="J107" s="51">
        <v>15</v>
      </c>
      <c r="K107" s="51" t="s">
        <v>142</v>
      </c>
      <c r="L107" s="51">
        <v>9141001752</v>
      </c>
      <c r="M107" s="51">
        <v>1242000000703</v>
      </c>
      <c r="N107" s="51" t="s">
        <v>144</v>
      </c>
      <c r="O107" s="138" t="s">
        <v>145</v>
      </c>
      <c r="P107" s="51" t="s">
        <v>146</v>
      </c>
      <c r="Q107" s="51" t="s">
        <v>147</v>
      </c>
      <c r="R107" s="51" t="s">
        <v>162</v>
      </c>
      <c r="S107" s="74">
        <v>400000</v>
      </c>
      <c r="T107" s="74">
        <v>84781000</v>
      </c>
      <c r="U107" s="74"/>
      <c r="V107" s="74">
        <v>84781000</v>
      </c>
    </row>
    <row r="108" spans="1:22" ht="15" customHeight="1">
      <c r="A108" s="51">
        <f t="shared" si="7"/>
        <v>19</v>
      </c>
      <c r="B108" s="51" t="str">
        <f t="shared" si="7"/>
        <v>AT21000001</v>
      </c>
      <c r="C108" s="51" t="str">
        <f t="shared" si="7"/>
        <v>WAWASAN KEBUN NUSANTARA PT.</v>
      </c>
      <c r="D108" s="51" t="str">
        <f t="shared" si="7"/>
        <v>INTERCO</v>
      </c>
      <c r="E108" s="51" t="s">
        <v>534</v>
      </c>
      <c r="F108" s="51" t="s">
        <v>140</v>
      </c>
      <c r="G108" s="51" t="s">
        <v>141</v>
      </c>
      <c r="H108" s="51">
        <v>9145000201</v>
      </c>
      <c r="I108" s="51" t="s">
        <v>11</v>
      </c>
      <c r="J108" s="51">
        <v>14</v>
      </c>
      <c r="K108" s="51" t="s">
        <v>142</v>
      </c>
      <c r="L108" s="51">
        <v>9141001776</v>
      </c>
      <c r="M108" s="51">
        <v>1242000000709</v>
      </c>
      <c r="N108" s="51" t="s">
        <v>144</v>
      </c>
      <c r="O108" s="138" t="s">
        <v>145</v>
      </c>
      <c r="P108" s="51" t="s">
        <v>146</v>
      </c>
      <c r="Q108" s="51" t="s">
        <v>147</v>
      </c>
      <c r="R108" s="51" t="s">
        <v>162</v>
      </c>
      <c r="S108" s="74">
        <v>500000</v>
      </c>
      <c r="T108" s="74">
        <v>133814000</v>
      </c>
      <c r="U108" s="74"/>
      <c r="V108" s="74">
        <v>133814000</v>
      </c>
    </row>
    <row r="109" spans="1:22" ht="15" customHeight="1">
      <c r="A109" s="51">
        <f t="shared" si="7"/>
        <v>19</v>
      </c>
      <c r="B109" s="51" t="str">
        <f t="shared" si="7"/>
        <v>AT21000001</v>
      </c>
      <c r="C109" s="51" t="str">
        <f t="shared" si="7"/>
        <v>WAWASAN KEBUN NUSANTARA PT.</v>
      </c>
      <c r="D109" s="51" t="str">
        <f t="shared" si="7"/>
        <v>INTERCO</v>
      </c>
      <c r="E109" s="51" t="s">
        <v>534</v>
      </c>
      <c r="F109" s="51" t="s">
        <v>140</v>
      </c>
      <c r="G109" s="51" t="s">
        <v>141</v>
      </c>
      <c r="H109" s="51">
        <v>1005002376</v>
      </c>
      <c r="I109" s="51" t="s">
        <v>31</v>
      </c>
      <c r="J109" s="51">
        <v>18</v>
      </c>
      <c r="K109" s="51" t="s">
        <v>142</v>
      </c>
      <c r="L109" s="51">
        <v>1001023659</v>
      </c>
      <c r="M109" s="51">
        <v>1242000000642</v>
      </c>
      <c r="N109" s="51" t="s">
        <v>144</v>
      </c>
      <c r="O109" s="138" t="s">
        <v>145</v>
      </c>
      <c r="P109" s="51" t="s">
        <v>146</v>
      </c>
      <c r="Q109" s="51" t="s">
        <v>147</v>
      </c>
      <c r="R109" s="51" t="s">
        <v>148</v>
      </c>
      <c r="S109" s="74">
        <v>376590</v>
      </c>
      <c r="T109" s="74">
        <v>64851000</v>
      </c>
      <c r="U109" s="74"/>
      <c r="V109" s="74">
        <v>64851000</v>
      </c>
    </row>
    <row r="110" spans="1:22" ht="15" customHeight="1">
      <c r="A110" s="51">
        <f t="shared" si="7"/>
        <v>19</v>
      </c>
      <c r="B110" s="51" t="str">
        <f t="shared" si="7"/>
        <v>AT21000001</v>
      </c>
      <c r="C110" s="51" t="str">
        <f t="shared" si="7"/>
        <v>WAWASAN KEBUN NUSANTARA PT.</v>
      </c>
      <c r="D110" s="51" t="str">
        <f t="shared" si="7"/>
        <v>INTERCO</v>
      </c>
      <c r="E110" s="51" t="s">
        <v>534</v>
      </c>
      <c r="F110" s="51" t="s">
        <v>140</v>
      </c>
      <c r="G110" s="51" t="s">
        <v>141</v>
      </c>
      <c r="H110" s="51">
        <v>1005002377</v>
      </c>
      <c r="I110" s="51" t="s">
        <v>31</v>
      </c>
      <c r="J110" s="51">
        <v>18</v>
      </c>
      <c r="K110" s="51" t="s">
        <v>142</v>
      </c>
      <c r="L110" s="51">
        <v>1001026498</v>
      </c>
      <c r="M110" s="51">
        <v>1242000000699</v>
      </c>
      <c r="N110" s="51" t="s">
        <v>144</v>
      </c>
      <c r="O110" s="138" t="s">
        <v>145</v>
      </c>
      <c r="P110" s="51" t="s">
        <v>146</v>
      </c>
      <c r="Q110" s="51" t="s">
        <v>147</v>
      </c>
      <c r="R110" s="51" t="s">
        <v>148</v>
      </c>
      <c r="S110" s="74">
        <v>500000</v>
      </c>
      <c r="T110" s="74">
        <v>86626000</v>
      </c>
      <c r="U110" s="74"/>
      <c r="V110" s="74">
        <v>86626000</v>
      </c>
    </row>
    <row r="111" spans="1:22" ht="15" customHeight="1">
      <c r="A111" s="51">
        <f t="shared" si="7"/>
        <v>19</v>
      </c>
      <c r="B111" s="51" t="str">
        <f t="shared" si="7"/>
        <v>AT21000001</v>
      </c>
      <c r="C111" s="51" t="str">
        <f t="shared" si="7"/>
        <v>WAWASAN KEBUN NUSANTARA PT.</v>
      </c>
      <c r="D111" s="51" t="str">
        <f t="shared" si="7"/>
        <v>INTERCO</v>
      </c>
      <c r="E111" s="51" t="s">
        <v>534</v>
      </c>
      <c r="F111" s="51" t="s">
        <v>153</v>
      </c>
      <c r="G111" s="51" t="s">
        <v>141</v>
      </c>
      <c r="H111" s="51">
        <v>1005002364</v>
      </c>
      <c r="I111" s="51" t="s">
        <v>97</v>
      </c>
      <c r="J111" s="51">
        <v>24</v>
      </c>
      <c r="K111" s="51" t="s">
        <v>142</v>
      </c>
      <c r="L111" s="51">
        <v>1001026592</v>
      </c>
      <c r="M111" s="51">
        <v>1242000000701</v>
      </c>
      <c r="N111" s="51" t="s">
        <v>351</v>
      </c>
      <c r="O111" s="138" t="s">
        <v>352</v>
      </c>
      <c r="P111" s="51" t="s">
        <v>146</v>
      </c>
      <c r="Q111" s="51" t="s">
        <v>147</v>
      </c>
      <c r="R111" s="51" t="s">
        <v>148</v>
      </c>
      <c r="S111" s="74">
        <v>679.07</v>
      </c>
      <c r="T111" s="74">
        <v>7289819</v>
      </c>
      <c r="U111" s="74"/>
      <c r="V111" s="74">
        <v>7289819</v>
      </c>
    </row>
    <row r="112" spans="1:22" ht="15" customHeight="1">
      <c r="A112" s="51">
        <f t="shared" si="7"/>
        <v>19</v>
      </c>
      <c r="B112" s="51" t="str">
        <f t="shared" si="7"/>
        <v>AT21000001</v>
      </c>
      <c r="C112" s="51" t="str">
        <f t="shared" si="7"/>
        <v>WAWASAN KEBUN NUSANTARA PT.</v>
      </c>
      <c r="D112" s="51" t="str">
        <f t="shared" si="7"/>
        <v>INTERCO</v>
      </c>
      <c r="E112" s="51" t="s">
        <v>534</v>
      </c>
      <c r="F112" s="51" t="s">
        <v>153</v>
      </c>
      <c r="G112" s="51" t="s">
        <v>141</v>
      </c>
      <c r="H112" s="51">
        <v>1005002365</v>
      </c>
      <c r="I112" s="51" t="s">
        <v>97</v>
      </c>
      <c r="J112" s="51">
        <v>24</v>
      </c>
      <c r="K112" s="51" t="s">
        <v>142</v>
      </c>
      <c r="L112" s="51">
        <v>1001026787</v>
      </c>
      <c r="M112" s="51">
        <v>1242000000704</v>
      </c>
      <c r="N112" s="51" t="s">
        <v>351</v>
      </c>
      <c r="O112" s="138" t="s">
        <v>352</v>
      </c>
      <c r="P112" s="51" t="s">
        <v>146</v>
      </c>
      <c r="Q112" s="51" t="s">
        <v>147</v>
      </c>
      <c r="R112" s="51" t="s">
        <v>148</v>
      </c>
      <c r="S112" s="74">
        <v>241.75</v>
      </c>
      <c r="T112" s="74">
        <v>2630240</v>
      </c>
      <c r="U112" s="74"/>
      <c r="V112" s="74">
        <v>2630240</v>
      </c>
    </row>
    <row r="113" spans="1:22" ht="15" customHeight="1">
      <c r="A113" s="56"/>
      <c r="B113" s="56" t="s">
        <v>149</v>
      </c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139"/>
      <c r="P113" s="56" t="s">
        <v>146</v>
      </c>
      <c r="Q113" s="56"/>
      <c r="R113" s="56"/>
      <c r="S113" s="58">
        <v>2895348.03</v>
      </c>
      <c r="T113" s="58">
        <v>619984655</v>
      </c>
      <c r="U113" s="58"/>
      <c r="V113" s="58">
        <v>619984655</v>
      </c>
    </row>
    <row r="114" spans="1:22" ht="15" customHeight="1">
      <c r="A114" s="51">
        <v>20</v>
      </c>
      <c r="B114" s="51" t="s">
        <v>536</v>
      </c>
      <c r="C114" s="51" t="s">
        <v>537</v>
      </c>
      <c r="D114" s="51" t="s">
        <v>535</v>
      </c>
      <c r="E114" s="51" t="s">
        <v>538</v>
      </c>
      <c r="F114" s="51" t="s">
        <v>140</v>
      </c>
      <c r="G114" s="51" t="s">
        <v>141</v>
      </c>
      <c r="H114" s="51">
        <v>1005000008</v>
      </c>
      <c r="I114" s="51" t="s">
        <v>98</v>
      </c>
      <c r="J114" s="51">
        <v>396</v>
      </c>
      <c r="K114" s="51" t="s">
        <v>142</v>
      </c>
      <c r="L114" s="51">
        <v>1001020342</v>
      </c>
      <c r="M114" s="51">
        <v>1232000000571</v>
      </c>
      <c r="N114" s="51" t="s">
        <v>144</v>
      </c>
      <c r="O114" s="138" t="s">
        <v>145</v>
      </c>
      <c r="P114" s="51" t="s">
        <v>146</v>
      </c>
      <c r="Q114" s="51" t="s">
        <v>147</v>
      </c>
      <c r="R114" s="51" t="s">
        <v>148</v>
      </c>
      <c r="S114" s="74">
        <v>14.92</v>
      </c>
      <c r="T114" s="74">
        <v>211222</v>
      </c>
      <c r="U114" s="74"/>
      <c r="V114" s="74">
        <v>211222</v>
      </c>
    </row>
    <row r="115" spans="1:22" ht="15" customHeight="1">
      <c r="A115" s="51">
        <f t="shared" ref="A115:D119" si="8">A114</f>
        <v>20</v>
      </c>
      <c r="B115" s="51" t="str">
        <f t="shared" si="8"/>
        <v>AT21000003</v>
      </c>
      <c r="C115" s="51" t="str">
        <f t="shared" si="8"/>
        <v>PATIWARE PT.</v>
      </c>
      <c r="D115" s="51" t="str">
        <f t="shared" si="8"/>
        <v>INTERCO</v>
      </c>
      <c r="E115" s="51" t="s">
        <v>538</v>
      </c>
      <c r="F115" s="51" t="s">
        <v>153</v>
      </c>
      <c r="G115" s="51" t="s">
        <v>141</v>
      </c>
      <c r="H115" s="51">
        <v>1005001085</v>
      </c>
      <c r="I115" s="51" t="s">
        <v>99</v>
      </c>
      <c r="J115" s="51">
        <v>226</v>
      </c>
      <c r="K115" s="51" t="s">
        <v>142</v>
      </c>
      <c r="L115" s="51">
        <v>1001023133</v>
      </c>
      <c r="M115" s="51">
        <v>1232000000621</v>
      </c>
      <c r="N115" s="51" t="s">
        <v>351</v>
      </c>
      <c r="O115" s="138" t="s">
        <v>352</v>
      </c>
      <c r="P115" s="51" t="s">
        <v>146</v>
      </c>
      <c r="Q115" s="51" t="s">
        <v>147</v>
      </c>
      <c r="R115" s="51" t="s">
        <v>148</v>
      </c>
      <c r="S115" s="74">
        <v>718.24</v>
      </c>
      <c r="T115" s="74">
        <v>7099802</v>
      </c>
      <c r="U115" s="74"/>
      <c r="V115" s="74">
        <v>7099802</v>
      </c>
    </row>
    <row r="116" spans="1:22" ht="15" customHeight="1">
      <c r="A116" s="51">
        <f t="shared" si="8"/>
        <v>20</v>
      </c>
      <c r="B116" s="51" t="str">
        <f t="shared" si="8"/>
        <v>AT21000003</v>
      </c>
      <c r="C116" s="51" t="str">
        <f t="shared" si="8"/>
        <v>PATIWARE PT.</v>
      </c>
      <c r="D116" s="51" t="str">
        <f t="shared" si="8"/>
        <v>INTERCO</v>
      </c>
      <c r="E116" s="51" t="s">
        <v>539</v>
      </c>
      <c r="F116" s="51" t="s">
        <v>140</v>
      </c>
      <c r="G116" s="51" t="s">
        <v>141</v>
      </c>
      <c r="H116" s="51">
        <v>1005001939</v>
      </c>
      <c r="I116" s="51" t="s">
        <v>96</v>
      </c>
      <c r="J116" s="51">
        <v>87</v>
      </c>
      <c r="K116" s="51" t="s">
        <v>142</v>
      </c>
      <c r="L116" s="51">
        <v>1001025419</v>
      </c>
      <c r="M116" s="51">
        <v>1232000000689</v>
      </c>
      <c r="N116" s="51" t="s">
        <v>334</v>
      </c>
      <c r="O116" s="138" t="s">
        <v>297</v>
      </c>
      <c r="P116" s="51" t="s">
        <v>146</v>
      </c>
      <c r="Q116" s="51" t="s">
        <v>147</v>
      </c>
      <c r="R116" s="51" t="s">
        <v>148</v>
      </c>
      <c r="S116" s="74">
        <v>48000</v>
      </c>
      <c r="T116" s="74">
        <v>2400000</v>
      </c>
      <c r="U116" s="74"/>
      <c r="V116" s="74">
        <v>2400000</v>
      </c>
    </row>
    <row r="117" spans="1:22" ht="15" customHeight="1">
      <c r="A117" s="51">
        <f t="shared" si="8"/>
        <v>20</v>
      </c>
      <c r="B117" s="51" t="str">
        <f t="shared" si="8"/>
        <v>AT21000003</v>
      </c>
      <c r="C117" s="51" t="str">
        <f t="shared" si="8"/>
        <v>PATIWARE PT.</v>
      </c>
      <c r="D117" s="51" t="str">
        <f t="shared" si="8"/>
        <v>INTERCO</v>
      </c>
      <c r="E117" s="51" t="s">
        <v>539</v>
      </c>
      <c r="F117" s="51" t="s">
        <v>140</v>
      </c>
      <c r="G117" s="51" t="s">
        <v>141</v>
      </c>
      <c r="H117" s="51">
        <v>1005001941</v>
      </c>
      <c r="I117" s="51" t="s">
        <v>100</v>
      </c>
      <c r="J117" s="51">
        <v>86</v>
      </c>
      <c r="K117" s="51" t="s">
        <v>142</v>
      </c>
      <c r="L117" s="51">
        <v>1001025479</v>
      </c>
      <c r="M117" s="51">
        <v>1232000000692</v>
      </c>
      <c r="N117" s="51" t="s">
        <v>334</v>
      </c>
      <c r="O117" s="138" t="s">
        <v>297</v>
      </c>
      <c r="P117" s="51" t="s">
        <v>146</v>
      </c>
      <c r="Q117" s="51" t="s">
        <v>147</v>
      </c>
      <c r="R117" s="51" t="s">
        <v>148</v>
      </c>
      <c r="S117" s="74">
        <v>5020</v>
      </c>
      <c r="T117" s="74">
        <v>251000</v>
      </c>
      <c r="U117" s="74"/>
      <c r="V117" s="74">
        <v>251000</v>
      </c>
    </row>
    <row r="118" spans="1:22" ht="15" customHeight="1">
      <c r="A118" s="51">
        <f t="shared" si="8"/>
        <v>20</v>
      </c>
      <c r="B118" s="51" t="str">
        <f t="shared" si="8"/>
        <v>AT21000003</v>
      </c>
      <c r="C118" s="51" t="str">
        <f t="shared" si="8"/>
        <v>PATIWARE PT.</v>
      </c>
      <c r="D118" s="51" t="str">
        <f t="shared" si="8"/>
        <v>INTERCO</v>
      </c>
      <c r="E118" s="51" t="s">
        <v>537</v>
      </c>
      <c r="F118" s="51" t="s">
        <v>153</v>
      </c>
      <c r="G118" s="51" t="s">
        <v>141</v>
      </c>
      <c r="H118" s="51">
        <v>1005002362</v>
      </c>
      <c r="I118" s="51" t="s">
        <v>97</v>
      </c>
      <c r="J118" s="51">
        <v>24</v>
      </c>
      <c r="K118" s="51" t="s">
        <v>142</v>
      </c>
      <c r="L118" s="51">
        <v>1001027221</v>
      </c>
      <c r="M118" s="51">
        <v>1232000000731</v>
      </c>
      <c r="N118" s="51" t="s">
        <v>351</v>
      </c>
      <c r="O118" s="138" t="s">
        <v>352</v>
      </c>
      <c r="P118" s="51" t="s">
        <v>146</v>
      </c>
      <c r="Q118" s="51" t="s">
        <v>147</v>
      </c>
      <c r="R118" s="51" t="s">
        <v>148</v>
      </c>
      <c r="S118" s="74">
        <v>1540.27</v>
      </c>
      <c r="T118" s="74">
        <v>17763933</v>
      </c>
      <c r="U118" s="74"/>
      <c r="V118" s="74">
        <v>17763933</v>
      </c>
    </row>
    <row r="119" spans="1:22" ht="15" customHeight="1">
      <c r="A119" s="51">
        <f t="shared" si="8"/>
        <v>20</v>
      </c>
      <c r="B119" s="51" t="str">
        <f t="shared" si="8"/>
        <v>AT21000003</v>
      </c>
      <c r="C119" s="51" t="str">
        <f t="shared" si="8"/>
        <v>PATIWARE PT.</v>
      </c>
      <c r="D119" s="51" t="str">
        <f t="shared" si="8"/>
        <v>INTERCO</v>
      </c>
      <c r="E119" s="51" t="s">
        <v>537</v>
      </c>
      <c r="F119" s="51" t="s">
        <v>153</v>
      </c>
      <c r="G119" s="51" t="s">
        <v>141</v>
      </c>
      <c r="H119" s="51">
        <v>1005002363</v>
      </c>
      <c r="I119" s="51" t="s">
        <v>97</v>
      </c>
      <c r="J119" s="51">
        <v>24</v>
      </c>
      <c r="K119" s="51" t="s">
        <v>142</v>
      </c>
      <c r="L119" s="51">
        <v>1001027372</v>
      </c>
      <c r="M119" s="51">
        <v>1232000000733</v>
      </c>
      <c r="N119" s="51" t="s">
        <v>351</v>
      </c>
      <c r="O119" s="138" t="s">
        <v>352</v>
      </c>
      <c r="P119" s="51" t="s">
        <v>146</v>
      </c>
      <c r="Q119" s="51" t="s">
        <v>147</v>
      </c>
      <c r="R119" s="51" t="s">
        <v>148</v>
      </c>
      <c r="S119" s="74">
        <v>1426.26</v>
      </c>
      <c r="T119" s="74">
        <v>16808473</v>
      </c>
      <c r="U119" s="74"/>
      <c r="V119" s="74">
        <v>16808473</v>
      </c>
    </row>
    <row r="120" spans="1:22" ht="15" customHeight="1">
      <c r="A120" s="56"/>
      <c r="B120" s="56" t="s">
        <v>149</v>
      </c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139"/>
      <c r="P120" s="56" t="s">
        <v>146</v>
      </c>
      <c r="Q120" s="56"/>
      <c r="R120" s="56"/>
      <c r="S120" s="58">
        <v>56719.69</v>
      </c>
      <c r="T120" s="58">
        <v>44534430</v>
      </c>
      <c r="U120" s="58"/>
      <c r="V120" s="58">
        <v>44534430</v>
      </c>
    </row>
    <row r="121" spans="1:22" ht="15" customHeight="1">
      <c r="A121" s="51">
        <v>21</v>
      </c>
      <c r="B121" s="51" t="s">
        <v>543</v>
      </c>
      <c r="C121" s="51" t="s">
        <v>544</v>
      </c>
      <c r="D121" s="51" t="s">
        <v>535</v>
      </c>
      <c r="E121" s="51" t="s">
        <v>544</v>
      </c>
      <c r="F121" s="51" t="s">
        <v>140</v>
      </c>
      <c r="G121" s="51" t="s">
        <v>141</v>
      </c>
      <c r="H121" s="51">
        <v>1005001731</v>
      </c>
      <c r="I121" s="51" t="s">
        <v>101</v>
      </c>
      <c r="J121" s="51">
        <v>116</v>
      </c>
      <c r="K121" s="51" t="s">
        <v>142</v>
      </c>
      <c r="L121" s="51">
        <v>1001025420</v>
      </c>
      <c r="M121" s="51">
        <v>1332000000430</v>
      </c>
      <c r="N121" s="51" t="s">
        <v>334</v>
      </c>
      <c r="O121" s="138" t="s">
        <v>297</v>
      </c>
      <c r="P121" s="51" t="s">
        <v>146</v>
      </c>
      <c r="Q121" s="51" t="s">
        <v>147</v>
      </c>
      <c r="R121" s="51" t="s">
        <v>148</v>
      </c>
      <c r="S121" s="74">
        <v>115.91</v>
      </c>
      <c r="T121" s="74">
        <v>1692634</v>
      </c>
      <c r="U121" s="74"/>
      <c r="V121" s="74">
        <v>1692634</v>
      </c>
    </row>
    <row r="122" spans="1:22" ht="15" customHeight="1">
      <c r="A122" s="51">
        <f t="shared" ref="A122:D124" si="9">A121</f>
        <v>21</v>
      </c>
      <c r="B122" s="51" t="str">
        <f t="shared" si="9"/>
        <v>AT21000005</v>
      </c>
      <c r="C122" s="51" t="str">
        <f t="shared" si="9"/>
        <v>CITRA MAHKOTA PT.</v>
      </c>
      <c r="D122" s="51" t="str">
        <f t="shared" si="9"/>
        <v>INTERCO</v>
      </c>
      <c r="E122" s="51" t="s">
        <v>544</v>
      </c>
      <c r="F122" s="51" t="s">
        <v>153</v>
      </c>
      <c r="G122" s="51" t="s">
        <v>141</v>
      </c>
      <c r="H122" s="51">
        <v>1005002424</v>
      </c>
      <c r="I122" s="51" t="s">
        <v>11</v>
      </c>
      <c r="J122" s="51">
        <v>14</v>
      </c>
      <c r="K122" s="51" t="s">
        <v>142</v>
      </c>
      <c r="L122" s="51">
        <v>1001026788</v>
      </c>
      <c r="M122" s="51">
        <v>1332000000446</v>
      </c>
      <c r="N122" s="51" t="s">
        <v>351</v>
      </c>
      <c r="O122" s="138" t="s">
        <v>352</v>
      </c>
      <c r="P122" s="51" t="s">
        <v>146</v>
      </c>
      <c r="Q122" s="51" t="s">
        <v>147</v>
      </c>
      <c r="R122" s="51" t="s">
        <v>148</v>
      </c>
      <c r="S122" s="74">
        <v>305.39</v>
      </c>
      <c r="T122" s="74">
        <v>3203889</v>
      </c>
      <c r="U122" s="74"/>
      <c r="V122" s="74">
        <v>3203889</v>
      </c>
    </row>
    <row r="123" spans="1:22" ht="15" customHeight="1">
      <c r="A123" s="51">
        <f t="shared" si="9"/>
        <v>21</v>
      </c>
      <c r="B123" s="51" t="str">
        <f t="shared" si="9"/>
        <v>AT21000005</v>
      </c>
      <c r="C123" s="51" t="str">
        <f t="shared" si="9"/>
        <v>CITRA MAHKOTA PT.</v>
      </c>
      <c r="D123" s="51" t="str">
        <f t="shared" si="9"/>
        <v>INTERCO</v>
      </c>
      <c r="E123" s="51" t="s">
        <v>544</v>
      </c>
      <c r="F123" s="51" t="s">
        <v>153</v>
      </c>
      <c r="G123" s="51" t="s">
        <v>141</v>
      </c>
      <c r="H123" s="51">
        <v>1005002420</v>
      </c>
      <c r="I123" s="51" t="s">
        <v>11</v>
      </c>
      <c r="J123" s="51">
        <v>14</v>
      </c>
      <c r="K123" s="51" t="s">
        <v>142</v>
      </c>
      <c r="L123" s="51">
        <v>1001026897</v>
      </c>
      <c r="M123" s="51">
        <v>1332000000448</v>
      </c>
      <c r="N123" s="51" t="s">
        <v>351</v>
      </c>
      <c r="O123" s="138" t="s">
        <v>352</v>
      </c>
      <c r="P123" s="51" t="s">
        <v>146</v>
      </c>
      <c r="Q123" s="51" t="s">
        <v>147</v>
      </c>
      <c r="R123" s="51" t="s">
        <v>148</v>
      </c>
      <c r="S123" s="74">
        <v>464.95</v>
      </c>
      <c r="T123" s="74">
        <v>4987032</v>
      </c>
      <c r="U123" s="74"/>
      <c r="V123" s="74">
        <v>4987032</v>
      </c>
    </row>
    <row r="124" spans="1:22" ht="15" customHeight="1">
      <c r="A124" s="51">
        <f t="shared" si="9"/>
        <v>21</v>
      </c>
      <c r="B124" s="51" t="str">
        <f t="shared" si="9"/>
        <v>AT21000005</v>
      </c>
      <c r="C124" s="51" t="str">
        <f t="shared" si="9"/>
        <v>CITRA MAHKOTA PT.</v>
      </c>
      <c r="D124" s="51" t="str">
        <f t="shared" si="9"/>
        <v>INTERCO</v>
      </c>
      <c r="E124" s="51" t="s">
        <v>544</v>
      </c>
      <c r="F124" s="51" t="s">
        <v>153</v>
      </c>
      <c r="G124" s="51" t="s">
        <v>141</v>
      </c>
      <c r="H124" s="51">
        <v>1005002425</v>
      </c>
      <c r="I124" s="51" t="s">
        <v>11</v>
      </c>
      <c r="J124" s="51">
        <v>14</v>
      </c>
      <c r="K124" s="51" t="s">
        <v>142</v>
      </c>
      <c r="L124" s="51">
        <v>1001026897</v>
      </c>
      <c r="M124" s="51">
        <v>1332000000448</v>
      </c>
      <c r="N124" s="51" t="s">
        <v>351</v>
      </c>
      <c r="O124" s="138" t="s">
        <v>352</v>
      </c>
      <c r="P124" s="51" t="s">
        <v>146</v>
      </c>
      <c r="Q124" s="51" t="s">
        <v>147</v>
      </c>
      <c r="R124" s="51" t="s">
        <v>148</v>
      </c>
      <c r="S124" s="74">
        <v>76.34</v>
      </c>
      <c r="T124" s="74">
        <v>818823</v>
      </c>
      <c r="U124" s="74"/>
      <c r="V124" s="74">
        <v>818823</v>
      </c>
    </row>
    <row r="125" spans="1:22" ht="15" customHeight="1">
      <c r="A125" s="56"/>
      <c r="B125" s="56" t="s">
        <v>149</v>
      </c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139"/>
      <c r="P125" s="56" t="s">
        <v>146</v>
      </c>
      <c r="Q125" s="56"/>
      <c r="R125" s="56"/>
      <c r="S125" s="58">
        <v>962.59</v>
      </c>
      <c r="T125" s="58">
        <v>10702378</v>
      </c>
      <c r="U125" s="58"/>
      <c r="V125" s="58">
        <v>10702378</v>
      </c>
    </row>
    <row r="126" spans="1:22" ht="15" customHeight="1">
      <c r="A126" s="51">
        <v>22</v>
      </c>
      <c r="B126" s="51" t="s">
        <v>545</v>
      </c>
      <c r="C126" s="51" t="s">
        <v>546</v>
      </c>
      <c r="D126" s="51" t="s">
        <v>535</v>
      </c>
      <c r="E126" s="51" t="s">
        <v>538</v>
      </c>
      <c r="F126" s="51" t="s">
        <v>140</v>
      </c>
      <c r="G126" s="51" t="s">
        <v>141</v>
      </c>
      <c r="H126" s="51">
        <v>1624</v>
      </c>
      <c r="I126" s="51" t="s">
        <v>78</v>
      </c>
      <c r="J126" s="51">
        <v>512</v>
      </c>
      <c r="K126" s="51" t="s">
        <v>142</v>
      </c>
      <c r="L126" s="51">
        <v>1001018447</v>
      </c>
      <c r="M126" s="51">
        <v>1082000001833</v>
      </c>
      <c r="N126" s="51" t="s">
        <v>144</v>
      </c>
      <c r="O126" s="138" t="s">
        <v>145</v>
      </c>
      <c r="P126" s="51" t="s">
        <v>146</v>
      </c>
      <c r="Q126" s="51" t="s">
        <v>147</v>
      </c>
      <c r="R126" s="51" t="s">
        <v>148</v>
      </c>
      <c r="S126" s="74">
        <v>6.92</v>
      </c>
      <c r="T126" s="74">
        <v>91752</v>
      </c>
      <c r="U126" s="74"/>
      <c r="V126" s="74">
        <v>91752</v>
      </c>
    </row>
    <row r="127" spans="1:22" ht="15" customHeight="1">
      <c r="A127" s="51">
        <f t="shared" ref="A127:D151" si="10">A126</f>
        <v>22</v>
      </c>
      <c r="B127" s="51" t="str">
        <f t="shared" si="10"/>
        <v>AT21000006</v>
      </c>
      <c r="C127" s="51" t="str">
        <f t="shared" si="10"/>
        <v>JATIMJAYA PERKASA PT.</v>
      </c>
      <c r="D127" s="51" t="str">
        <f t="shared" si="10"/>
        <v>INTERCO</v>
      </c>
      <c r="E127" s="51" t="s">
        <v>293</v>
      </c>
      <c r="F127" s="51" t="s">
        <v>153</v>
      </c>
      <c r="G127" s="51" t="s">
        <v>141</v>
      </c>
      <c r="H127" s="51">
        <v>1005000582</v>
      </c>
      <c r="I127" s="51" t="s">
        <v>59</v>
      </c>
      <c r="J127" s="51">
        <v>310</v>
      </c>
      <c r="K127" s="51" t="s">
        <v>142</v>
      </c>
      <c r="L127" s="51">
        <v>1001019570</v>
      </c>
      <c r="M127" s="51">
        <v>1082000001934</v>
      </c>
      <c r="N127" s="51" t="s">
        <v>296</v>
      </c>
      <c r="O127" s="138" t="s">
        <v>297</v>
      </c>
      <c r="P127" s="51" t="s">
        <v>146</v>
      </c>
      <c r="Q127" s="51" t="s">
        <v>147</v>
      </c>
      <c r="R127" s="51" t="s">
        <v>148</v>
      </c>
      <c r="S127" s="74">
        <v>1678.99</v>
      </c>
      <c r="T127" s="74">
        <v>19325164</v>
      </c>
      <c r="U127" s="74"/>
      <c r="V127" s="74">
        <v>19325164</v>
      </c>
    </row>
    <row r="128" spans="1:22" ht="15" customHeight="1">
      <c r="A128" s="51">
        <f t="shared" si="10"/>
        <v>22</v>
      </c>
      <c r="B128" s="51" t="str">
        <f t="shared" si="10"/>
        <v>AT21000006</v>
      </c>
      <c r="C128" s="51" t="str">
        <f t="shared" si="10"/>
        <v>JATIMJAYA PERKASA PT.</v>
      </c>
      <c r="D128" s="51" t="str">
        <f t="shared" si="10"/>
        <v>INTERCO</v>
      </c>
      <c r="E128" s="51" t="s">
        <v>190</v>
      </c>
      <c r="F128" s="51" t="s">
        <v>153</v>
      </c>
      <c r="G128" s="51" t="s">
        <v>141</v>
      </c>
      <c r="H128" s="51">
        <v>1005001104</v>
      </c>
      <c r="I128" s="51" t="s">
        <v>16</v>
      </c>
      <c r="J128" s="51">
        <v>221</v>
      </c>
      <c r="K128" s="51" t="s">
        <v>142</v>
      </c>
      <c r="L128" s="51">
        <v>1001023126</v>
      </c>
      <c r="M128" s="51">
        <v>1082000002293</v>
      </c>
      <c r="N128" s="51" t="s">
        <v>192</v>
      </c>
      <c r="O128" s="138" t="s">
        <v>145</v>
      </c>
      <c r="P128" s="51" t="s">
        <v>146</v>
      </c>
      <c r="Q128" s="51" t="s">
        <v>147</v>
      </c>
      <c r="R128" s="51" t="s">
        <v>148</v>
      </c>
      <c r="S128" s="74">
        <v>483670</v>
      </c>
      <c r="T128" s="74">
        <v>86556000</v>
      </c>
      <c r="U128" s="74"/>
      <c r="V128" s="74">
        <v>86556000</v>
      </c>
    </row>
    <row r="129" spans="1:22" ht="15" customHeight="1">
      <c r="A129" s="51">
        <f t="shared" si="10"/>
        <v>22</v>
      </c>
      <c r="B129" s="51" t="str">
        <f t="shared" si="10"/>
        <v>AT21000006</v>
      </c>
      <c r="C129" s="51" t="str">
        <f t="shared" si="10"/>
        <v>JATIMJAYA PERKASA PT.</v>
      </c>
      <c r="D129" s="51" t="str">
        <f t="shared" si="10"/>
        <v>INTERCO</v>
      </c>
      <c r="E129" s="51" t="s">
        <v>190</v>
      </c>
      <c r="F129" s="51" t="s">
        <v>153</v>
      </c>
      <c r="G129" s="51" t="s">
        <v>141</v>
      </c>
      <c r="H129" s="51">
        <v>1005001105</v>
      </c>
      <c r="I129" s="51" t="s">
        <v>16</v>
      </c>
      <c r="J129" s="51">
        <v>221</v>
      </c>
      <c r="K129" s="51" t="s">
        <v>142</v>
      </c>
      <c r="L129" s="51">
        <v>1001023126</v>
      </c>
      <c r="M129" s="51">
        <v>1082000002293</v>
      </c>
      <c r="N129" s="51" t="s">
        <v>192</v>
      </c>
      <c r="O129" s="138" t="s">
        <v>145</v>
      </c>
      <c r="P129" s="51" t="s">
        <v>146</v>
      </c>
      <c r="Q129" s="51" t="s">
        <v>147</v>
      </c>
      <c r="R129" s="51" t="s">
        <v>148</v>
      </c>
      <c r="S129" s="74">
        <v>27.81</v>
      </c>
      <c r="T129" s="74">
        <v>348738</v>
      </c>
      <c r="U129" s="74"/>
      <c r="V129" s="74">
        <v>348738</v>
      </c>
    </row>
    <row r="130" spans="1:22" ht="15" customHeight="1">
      <c r="A130" s="51">
        <f t="shared" si="10"/>
        <v>22</v>
      </c>
      <c r="B130" s="51" t="str">
        <f t="shared" si="10"/>
        <v>AT21000006</v>
      </c>
      <c r="C130" s="51" t="str">
        <f t="shared" si="10"/>
        <v>JATIMJAYA PERKASA PT.</v>
      </c>
      <c r="D130" s="51" t="str">
        <f t="shared" si="10"/>
        <v>INTERCO</v>
      </c>
      <c r="E130" s="51" t="s">
        <v>190</v>
      </c>
      <c r="F130" s="51" t="s">
        <v>153</v>
      </c>
      <c r="G130" s="51" t="s">
        <v>141</v>
      </c>
      <c r="H130" s="51">
        <v>1005001169</v>
      </c>
      <c r="I130" s="51" t="s">
        <v>17</v>
      </c>
      <c r="J130" s="51">
        <v>212</v>
      </c>
      <c r="K130" s="51" t="s">
        <v>142</v>
      </c>
      <c r="L130" s="51">
        <v>1001022778</v>
      </c>
      <c r="M130" s="51">
        <v>1082000002256</v>
      </c>
      <c r="N130" s="51" t="s">
        <v>144</v>
      </c>
      <c r="O130" s="138" t="s">
        <v>145</v>
      </c>
      <c r="P130" s="51" t="s">
        <v>146</v>
      </c>
      <c r="Q130" s="51" t="s">
        <v>147</v>
      </c>
      <c r="R130" s="51" t="s">
        <v>148</v>
      </c>
      <c r="S130" s="74">
        <v>1001200</v>
      </c>
      <c r="T130" s="74">
        <v>260547000</v>
      </c>
      <c r="U130" s="74"/>
      <c r="V130" s="74">
        <v>260547000</v>
      </c>
    </row>
    <row r="131" spans="1:22" ht="15" customHeight="1">
      <c r="A131" s="51">
        <f t="shared" si="10"/>
        <v>22</v>
      </c>
      <c r="B131" s="51" t="str">
        <f t="shared" si="10"/>
        <v>AT21000006</v>
      </c>
      <c r="C131" s="51" t="str">
        <f t="shared" si="10"/>
        <v>JATIMJAYA PERKASA PT.</v>
      </c>
      <c r="D131" s="51" t="str">
        <f t="shared" si="10"/>
        <v>INTERCO</v>
      </c>
      <c r="E131" s="51" t="s">
        <v>190</v>
      </c>
      <c r="F131" s="51" t="s">
        <v>153</v>
      </c>
      <c r="G131" s="51" t="s">
        <v>141</v>
      </c>
      <c r="H131" s="51">
        <v>1005001170</v>
      </c>
      <c r="I131" s="51" t="s">
        <v>17</v>
      </c>
      <c r="J131" s="51">
        <v>212</v>
      </c>
      <c r="K131" s="51" t="s">
        <v>142</v>
      </c>
      <c r="L131" s="51">
        <v>1001022778</v>
      </c>
      <c r="M131" s="51">
        <v>1082000002256</v>
      </c>
      <c r="N131" s="51" t="s">
        <v>144</v>
      </c>
      <c r="O131" s="138" t="s">
        <v>145</v>
      </c>
      <c r="P131" s="51" t="s">
        <v>146</v>
      </c>
      <c r="Q131" s="51" t="s">
        <v>147</v>
      </c>
      <c r="R131" s="51" t="s">
        <v>148</v>
      </c>
      <c r="S131" s="74">
        <v>52.33</v>
      </c>
      <c r="T131" s="74">
        <v>704154</v>
      </c>
      <c r="U131" s="74"/>
      <c r="V131" s="74">
        <v>704154</v>
      </c>
    </row>
    <row r="132" spans="1:22" ht="15" customHeight="1">
      <c r="A132" s="51">
        <f t="shared" si="10"/>
        <v>22</v>
      </c>
      <c r="B132" s="51" t="str">
        <f t="shared" si="10"/>
        <v>AT21000006</v>
      </c>
      <c r="C132" s="51" t="str">
        <f t="shared" si="10"/>
        <v>JATIMJAYA PERKASA PT.</v>
      </c>
      <c r="D132" s="51" t="str">
        <f t="shared" si="10"/>
        <v>INTERCO</v>
      </c>
      <c r="E132" s="51" t="s">
        <v>190</v>
      </c>
      <c r="F132" s="51" t="s">
        <v>140</v>
      </c>
      <c r="G132" s="51" t="s">
        <v>141</v>
      </c>
      <c r="H132" s="51">
        <v>1005001200</v>
      </c>
      <c r="I132" s="51" t="s">
        <v>18</v>
      </c>
      <c r="J132" s="51">
        <v>206</v>
      </c>
      <c r="K132" s="51" t="s">
        <v>142</v>
      </c>
      <c r="L132" s="51">
        <v>1001023014</v>
      </c>
      <c r="M132" s="51">
        <v>1082000002282</v>
      </c>
      <c r="N132" s="51" t="s">
        <v>144</v>
      </c>
      <c r="O132" s="138" t="s">
        <v>145</v>
      </c>
      <c r="P132" s="51" t="s">
        <v>146</v>
      </c>
      <c r="Q132" s="51" t="s">
        <v>147</v>
      </c>
      <c r="R132" s="51" t="s">
        <v>148</v>
      </c>
      <c r="S132" s="74">
        <v>1000330</v>
      </c>
      <c r="T132" s="74">
        <v>162650000</v>
      </c>
      <c r="U132" s="74"/>
      <c r="V132" s="74">
        <v>162650000</v>
      </c>
    </row>
    <row r="133" spans="1:22" ht="15" customHeight="1">
      <c r="A133" s="51">
        <f t="shared" si="10"/>
        <v>22</v>
      </c>
      <c r="B133" s="51" t="str">
        <f t="shared" si="10"/>
        <v>AT21000006</v>
      </c>
      <c r="C133" s="51" t="str">
        <f t="shared" si="10"/>
        <v>JATIMJAYA PERKASA PT.</v>
      </c>
      <c r="D133" s="51" t="str">
        <f t="shared" si="10"/>
        <v>INTERCO</v>
      </c>
      <c r="E133" s="51" t="s">
        <v>190</v>
      </c>
      <c r="F133" s="51" t="s">
        <v>153</v>
      </c>
      <c r="G133" s="51" t="s">
        <v>141</v>
      </c>
      <c r="H133" s="51">
        <v>1005001250</v>
      </c>
      <c r="I133" s="51" t="s">
        <v>7</v>
      </c>
      <c r="J133" s="51">
        <v>200</v>
      </c>
      <c r="K133" s="51" t="s">
        <v>142</v>
      </c>
      <c r="L133" s="51">
        <v>1001023212</v>
      </c>
      <c r="M133" s="51">
        <v>1082000002302</v>
      </c>
      <c r="N133" s="51" t="s">
        <v>144</v>
      </c>
      <c r="O133" s="138" t="s">
        <v>145</v>
      </c>
      <c r="P133" s="51" t="s">
        <v>146</v>
      </c>
      <c r="Q133" s="51" t="s">
        <v>147</v>
      </c>
      <c r="R133" s="51" t="s">
        <v>148</v>
      </c>
      <c r="S133" s="74">
        <v>1003400</v>
      </c>
      <c r="T133" s="74">
        <v>200680000</v>
      </c>
      <c r="U133" s="74"/>
      <c r="V133" s="74">
        <v>200680000</v>
      </c>
    </row>
    <row r="134" spans="1:22" ht="15" customHeight="1">
      <c r="A134" s="51">
        <f t="shared" si="10"/>
        <v>22</v>
      </c>
      <c r="B134" s="51" t="str">
        <f t="shared" si="10"/>
        <v>AT21000006</v>
      </c>
      <c r="C134" s="51" t="str">
        <f t="shared" si="10"/>
        <v>JATIMJAYA PERKASA PT.</v>
      </c>
      <c r="D134" s="51" t="str">
        <f t="shared" si="10"/>
        <v>INTERCO</v>
      </c>
      <c r="E134" s="51" t="s">
        <v>190</v>
      </c>
      <c r="F134" s="51" t="s">
        <v>140</v>
      </c>
      <c r="G134" s="51" t="s">
        <v>141</v>
      </c>
      <c r="H134" s="51">
        <v>1005001251</v>
      </c>
      <c r="I134" s="51" t="s">
        <v>7</v>
      </c>
      <c r="J134" s="51">
        <v>200</v>
      </c>
      <c r="K134" s="51" t="s">
        <v>142</v>
      </c>
      <c r="L134" s="51">
        <v>1001022974</v>
      </c>
      <c r="M134" s="51">
        <v>1082000002277</v>
      </c>
      <c r="N134" s="51" t="s">
        <v>144</v>
      </c>
      <c r="O134" s="138" t="s">
        <v>145</v>
      </c>
      <c r="P134" s="51" t="s">
        <v>146</v>
      </c>
      <c r="Q134" s="51" t="s">
        <v>147</v>
      </c>
      <c r="R134" s="51" t="s">
        <v>148</v>
      </c>
      <c r="S134" s="74">
        <v>998160</v>
      </c>
      <c r="T134" s="74">
        <v>99816000</v>
      </c>
      <c r="U134" s="74"/>
      <c r="V134" s="74">
        <v>99816000</v>
      </c>
    </row>
    <row r="135" spans="1:22" ht="15" customHeight="1">
      <c r="A135" s="51">
        <f t="shared" si="10"/>
        <v>22</v>
      </c>
      <c r="B135" s="51" t="str">
        <f t="shared" si="10"/>
        <v>AT21000006</v>
      </c>
      <c r="C135" s="51" t="str">
        <f t="shared" si="10"/>
        <v>JATIMJAYA PERKASA PT.</v>
      </c>
      <c r="D135" s="51" t="str">
        <f t="shared" si="10"/>
        <v>INTERCO</v>
      </c>
      <c r="E135" s="51" t="s">
        <v>190</v>
      </c>
      <c r="F135" s="51" t="s">
        <v>153</v>
      </c>
      <c r="G135" s="51" t="s">
        <v>141</v>
      </c>
      <c r="H135" s="51">
        <v>1005001335</v>
      </c>
      <c r="I135" s="51" t="s">
        <v>19</v>
      </c>
      <c r="J135" s="51">
        <v>184</v>
      </c>
      <c r="K135" s="51" t="s">
        <v>142</v>
      </c>
      <c r="L135" s="51">
        <v>1001023348</v>
      </c>
      <c r="M135" s="51">
        <v>1082000002332</v>
      </c>
      <c r="N135" s="51" t="s">
        <v>144</v>
      </c>
      <c r="O135" s="138" t="s">
        <v>145</v>
      </c>
      <c r="P135" s="51" t="s">
        <v>146</v>
      </c>
      <c r="Q135" s="51" t="s">
        <v>147</v>
      </c>
      <c r="R135" s="51" t="s">
        <v>148</v>
      </c>
      <c r="S135" s="74">
        <v>1011420</v>
      </c>
      <c r="T135" s="74">
        <v>138432000</v>
      </c>
      <c r="U135" s="74"/>
      <c r="V135" s="74">
        <v>138432000</v>
      </c>
    </row>
    <row r="136" spans="1:22" ht="15" customHeight="1">
      <c r="A136" s="51">
        <f t="shared" si="10"/>
        <v>22</v>
      </c>
      <c r="B136" s="51" t="str">
        <f t="shared" si="10"/>
        <v>AT21000006</v>
      </c>
      <c r="C136" s="51" t="str">
        <f t="shared" si="10"/>
        <v>JATIMJAYA PERKASA PT.</v>
      </c>
      <c r="D136" s="51" t="str">
        <f t="shared" si="10"/>
        <v>INTERCO</v>
      </c>
      <c r="E136" s="51" t="s">
        <v>190</v>
      </c>
      <c r="F136" s="51" t="s">
        <v>153</v>
      </c>
      <c r="G136" s="51" t="s">
        <v>141</v>
      </c>
      <c r="H136" s="51">
        <v>1005001344</v>
      </c>
      <c r="I136" s="51" t="s">
        <v>20</v>
      </c>
      <c r="J136" s="51">
        <v>179</v>
      </c>
      <c r="K136" s="51" t="s">
        <v>142</v>
      </c>
      <c r="L136" s="51">
        <v>1001023458</v>
      </c>
      <c r="M136" s="51">
        <v>1082000002354</v>
      </c>
      <c r="N136" s="51" t="s">
        <v>144</v>
      </c>
      <c r="O136" s="138" t="s">
        <v>145</v>
      </c>
      <c r="P136" s="51" t="s">
        <v>146</v>
      </c>
      <c r="Q136" s="51" t="s">
        <v>147</v>
      </c>
      <c r="R136" s="51" t="s">
        <v>148</v>
      </c>
      <c r="S136" s="74">
        <v>767710</v>
      </c>
      <c r="T136" s="74">
        <v>107248000</v>
      </c>
      <c r="U136" s="74"/>
      <c r="V136" s="74">
        <v>107248000</v>
      </c>
    </row>
    <row r="137" spans="1:22" ht="15" customHeight="1">
      <c r="A137" s="51">
        <f t="shared" si="10"/>
        <v>22</v>
      </c>
      <c r="B137" s="51" t="str">
        <f t="shared" si="10"/>
        <v>AT21000006</v>
      </c>
      <c r="C137" s="51" t="str">
        <f t="shared" si="10"/>
        <v>JATIMJAYA PERKASA PT.</v>
      </c>
      <c r="D137" s="51" t="str">
        <f t="shared" si="10"/>
        <v>INTERCO</v>
      </c>
      <c r="E137" s="51" t="s">
        <v>190</v>
      </c>
      <c r="F137" s="51" t="s">
        <v>153</v>
      </c>
      <c r="G137" s="51" t="s">
        <v>141</v>
      </c>
      <c r="H137" s="51">
        <v>1005001369</v>
      </c>
      <c r="I137" s="51" t="s">
        <v>21</v>
      </c>
      <c r="J137" s="51">
        <v>176</v>
      </c>
      <c r="K137" s="51" t="s">
        <v>142</v>
      </c>
      <c r="L137" s="51">
        <v>1001023831</v>
      </c>
      <c r="M137" s="51">
        <v>1082000002389</v>
      </c>
      <c r="N137" s="51" t="s">
        <v>144</v>
      </c>
      <c r="O137" s="138" t="s">
        <v>145</v>
      </c>
      <c r="P137" s="51" t="s">
        <v>146</v>
      </c>
      <c r="Q137" s="51" t="s">
        <v>147</v>
      </c>
      <c r="R137" s="51" t="s">
        <v>148</v>
      </c>
      <c r="S137" s="74">
        <v>999820</v>
      </c>
      <c r="T137" s="74">
        <v>197707000</v>
      </c>
      <c r="U137" s="74"/>
      <c r="V137" s="74">
        <v>197707000</v>
      </c>
    </row>
    <row r="138" spans="1:22" ht="15" customHeight="1">
      <c r="A138" s="51">
        <f t="shared" si="10"/>
        <v>22</v>
      </c>
      <c r="B138" s="51" t="str">
        <f t="shared" si="10"/>
        <v>AT21000006</v>
      </c>
      <c r="C138" s="51" t="str">
        <f t="shared" si="10"/>
        <v>JATIMJAYA PERKASA PT.</v>
      </c>
      <c r="D138" s="51" t="str">
        <f t="shared" si="10"/>
        <v>INTERCO</v>
      </c>
      <c r="E138" s="51" t="s">
        <v>190</v>
      </c>
      <c r="F138" s="51" t="s">
        <v>153</v>
      </c>
      <c r="G138" s="51" t="s">
        <v>141</v>
      </c>
      <c r="H138" s="51">
        <v>1005001370</v>
      </c>
      <c r="I138" s="51" t="s">
        <v>21</v>
      </c>
      <c r="J138" s="51">
        <v>176</v>
      </c>
      <c r="K138" s="51" t="s">
        <v>142</v>
      </c>
      <c r="L138" s="51">
        <v>1001023646</v>
      </c>
      <c r="M138" s="51">
        <v>1082000002374</v>
      </c>
      <c r="N138" s="51" t="s">
        <v>144</v>
      </c>
      <c r="O138" s="138" t="s">
        <v>145</v>
      </c>
      <c r="P138" s="51" t="s">
        <v>146</v>
      </c>
      <c r="Q138" s="51" t="s">
        <v>147</v>
      </c>
      <c r="R138" s="51" t="s">
        <v>148</v>
      </c>
      <c r="S138" s="74">
        <v>1000200</v>
      </c>
      <c r="T138" s="74">
        <v>149987000</v>
      </c>
      <c r="U138" s="74"/>
      <c r="V138" s="74">
        <v>149987000</v>
      </c>
    </row>
    <row r="139" spans="1:22" ht="15" customHeight="1">
      <c r="A139" s="51">
        <f t="shared" si="10"/>
        <v>22</v>
      </c>
      <c r="B139" s="51" t="str">
        <f t="shared" si="10"/>
        <v>AT21000006</v>
      </c>
      <c r="C139" s="51" t="str">
        <f t="shared" si="10"/>
        <v>JATIMJAYA PERKASA PT.</v>
      </c>
      <c r="D139" s="51" t="str">
        <f t="shared" si="10"/>
        <v>INTERCO</v>
      </c>
      <c r="E139" s="51" t="s">
        <v>190</v>
      </c>
      <c r="F139" s="51" t="s">
        <v>153</v>
      </c>
      <c r="G139" s="51" t="s">
        <v>141</v>
      </c>
      <c r="H139" s="51">
        <v>1005001400</v>
      </c>
      <c r="I139" s="51" t="s">
        <v>22</v>
      </c>
      <c r="J139" s="51">
        <v>170</v>
      </c>
      <c r="K139" s="51" t="s">
        <v>142</v>
      </c>
      <c r="L139" s="51">
        <v>1001024165</v>
      </c>
      <c r="M139" s="51">
        <v>1082000002451</v>
      </c>
      <c r="N139" s="51" t="s">
        <v>144</v>
      </c>
      <c r="O139" s="138" t="s">
        <v>145</v>
      </c>
      <c r="P139" s="51" t="s">
        <v>146</v>
      </c>
      <c r="Q139" s="51" t="s">
        <v>147</v>
      </c>
      <c r="R139" s="51" t="s">
        <v>148</v>
      </c>
      <c r="S139" s="74">
        <v>999060</v>
      </c>
      <c r="T139" s="74">
        <v>191069000</v>
      </c>
      <c r="U139" s="74"/>
      <c r="V139" s="74">
        <v>191069000</v>
      </c>
    </row>
    <row r="140" spans="1:22" ht="15" customHeight="1">
      <c r="A140" s="51">
        <f t="shared" si="10"/>
        <v>22</v>
      </c>
      <c r="B140" s="51" t="str">
        <f t="shared" si="10"/>
        <v>AT21000006</v>
      </c>
      <c r="C140" s="51" t="str">
        <f t="shared" si="10"/>
        <v>JATIMJAYA PERKASA PT.</v>
      </c>
      <c r="D140" s="51" t="str">
        <f t="shared" si="10"/>
        <v>INTERCO</v>
      </c>
      <c r="E140" s="51" t="s">
        <v>190</v>
      </c>
      <c r="F140" s="51" t="s">
        <v>153</v>
      </c>
      <c r="G140" s="51" t="s">
        <v>141</v>
      </c>
      <c r="H140" s="51">
        <v>1005001401</v>
      </c>
      <c r="I140" s="51" t="s">
        <v>22</v>
      </c>
      <c r="J140" s="51">
        <v>170</v>
      </c>
      <c r="K140" s="51" t="s">
        <v>142</v>
      </c>
      <c r="L140" s="51">
        <v>1001024273</v>
      </c>
      <c r="M140" s="51">
        <v>1082000002480</v>
      </c>
      <c r="N140" s="51" t="s">
        <v>144</v>
      </c>
      <c r="O140" s="138" t="s">
        <v>145</v>
      </c>
      <c r="P140" s="51" t="s">
        <v>146</v>
      </c>
      <c r="Q140" s="51" t="s">
        <v>147</v>
      </c>
      <c r="R140" s="51" t="s">
        <v>148</v>
      </c>
      <c r="S140" s="74">
        <v>995660</v>
      </c>
      <c r="T140" s="74">
        <v>223862000</v>
      </c>
      <c r="U140" s="74"/>
      <c r="V140" s="74">
        <v>223862000</v>
      </c>
    </row>
    <row r="141" spans="1:22" ht="15" customHeight="1">
      <c r="A141" s="51">
        <f t="shared" si="10"/>
        <v>22</v>
      </c>
      <c r="B141" s="51" t="str">
        <f t="shared" si="10"/>
        <v>AT21000006</v>
      </c>
      <c r="C141" s="51" t="str">
        <f t="shared" si="10"/>
        <v>JATIMJAYA PERKASA PT.</v>
      </c>
      <c r="D141" s="51" t="str">
        <f t="shared" si="10"/>
        <v>INTERCO</v>
      </c>
      <c r="E141" s="51" t="s">
        <v>190</v>
      </c>
      <c r="F141" s="51" t="s">
        <v>140</v>
      </c>
      <c r="G141" s="51" t="s">
        <v>141</v>
      </c>
      <c r="H141" s="51">
        <v>1005001450</v>
      </c>
      <c r="I141" s="51" t="s">
        <v>23</v>
      </c>
      <c r="J141" s="51">
        <v>161</v>
      </c>
      <c r="K141" s="51" t="s">
        <v>142</v>
      </c>
      <c r="L141" s="51">
        <v>1001024418</v>
      </c>
      <c r="M141" s="51">
        <v>1082000002510</v>
      </c>
      <c r="N141" s="51" t="s">
        <v>144</v>
      </c>
      <c r="O141" s="138" t="s">
        <v>145</v>
      </c>
      <c r="P141" s="51" t="s">
        <v>146</v>
      </c>
      <c r="Q141" s="51" t="s">
        <v>147</v>
      </c>
      <c r="R141" s="51" t="s">
        <v>148</v>
      </c>
      <c r="S141" s="74">
        <v>900240</v>
      </c>
      <c r="T141" s="74">
        <v>180048000</v>
      </c>
      <c r="U141" s="74"/>
      <c r="V141" s="74">
        <v>180048000</v>
      </c>
    </row>
    <row r="142" spans="1:22" ht="15" customHeight="1">
      <c r="A142" s="51">
        <f t="shared" si="10"/>
        <v>22</v>
      </c>
      <c r="B142" s="51" t="str">
        <f t="shared" si="10"/>
        <v>AT21000006</v>
      </c>
      <c r="C142" s="51" t="str">
        <f t="shared" si="10"/>
        <v>JATIMJAYA PERKASA PT.</v>
      </c>
      <c r="D142" s="51" t="str">
        <f t="shared" si="10"/>
        <v>INTERCO</v>
      </c>
      <c r="E142" s="51" t="s">
        <v>190</v>
      </c>
      <c r="F142" s="51" t="s">
        <v>140</v>
      </c>
      <c r="G142" s="51" t="s">
        <v>141</v>
      </c>
      <c r="H142" s="51">
        <v>1005001468</v>
      </c>
      <c r="I142" s="51" t="s">
        <v>24</v>
      </c>
      <c r="J142" s="51">
        <v>158</v>
      </c>
      <c r="K142" s="51" t="s">
        <v>142</v>
      </c>
      <c r="L142" s="51">
        <v>1001024523</v>
      </c>
      <c r="M142" s="51">
        <v>1082000002520</v>
      </c>
      <c r="N142" s="51" t="s">
        <v>144</v>
      </c>
      <c r="O142" s="138" t="s">
        <v>145</v>
      </c>
      <c r="P142" s="51" t="s">
        <v>146</v>
      </c>
      <c r="Q142" s="51" t="s">
        <v>147</v>
      </c>
      <c r="R142" s="51" t="s">
        <v>148</v>
      </c>
      <c r="S142" s="74">
        <v>172660</v>
      </c>
      <c r="T142" s="74">
        <v>138128000</v>
      </c>
      <c r="U142" s="74"/>
      <c r="V142" s="74">
        <v>138128000</v>
      </c>
    </row>
    <row r="143" spans="1:22" ht="15" customHeight="1">
      <c r="A143" s="51">
        <f t="shared" si="10"/>
        <v>22</v>
      </c>
      <c r="B143" s="51" t="str">
        <f t="shared" si="10"/>
        <v>AT21000006</v>
      </c>
      <c r="C143" s="51" t="str">
        <f t="shared" si="10"/>
        <v>JATIMJAYA PERKASA PT.</v>
      </c>
      <c r="D143" s="51" t="str">
        <f t="shared" si="10"/>
        <v>INTERCO</v>
      </c>
      <c r="E143" s="51" t="s">
        <v>268</v>
      </c>
      <c r="F143" s="51" t="s">
        <v>140</v>
      </c>
      <c r="G143" s="51" t="s">
        <v>141</v>
      </c>
      <c r="H143" s="51">
        <v>1005001689</v>
      </c>
      <c r="I143" s="51" t="s">
        <v>49</v>
      </c>
      <c r="J143" s="51">
        <v>126</v>
      </c>
      <c r="K143" s="51" t="s">
        <v>142</v>
      </c>
      <c r="L143" s="51">
        <v>1001025299</v>
      </c>
      <c r="M143" s="51">
        <v>1082000002632</v>
      </c>
      <c r="N143" s="51" t="s">
        <v>271</v>
      </c>
      <c r="O143" s="138" t="s">
        <v>179</v>
      </c>
      <c r="P143" s="51" t="s">
        <v>146</v>
      </c>
      <c r="Q143" s="51" t="s">
        <v>147</v>
      </c>
      <c r="R143" s="51" t="s">
        <v>148</v>
      </c>
      <c r="S143" s="74">
        <v>22.11</v>
      </c>
      <c r="T143" s="74">
        <v>19346</v>
      </c>
      <c r="U143" s="74"/>
      <c r="V143" s="74">
        <v>19346</v>
      </c>
    </row>
    <row r="144" spans="1:22" ht="15" customHeight="1">
      <c r="A144" s="51">
        <f t="shared" si="10"/>
        <v>22</v>
      </c>
      <c r="B144" s="51" t="str">
        <f t="shared" si="10"/>
        <v>AT21000006</v>
      </c>
      <c r="C144" s="51" t="str">
        <f t="shared" si="10"/>
        <v>JATIMJAYA PERKASA PT.</v>
      </c>
      <c r="D144" s="51" t="str">
        <f t="shared" si="10"/>
        <v>INTERCO</v>
      </c>
      <c r="E144" s="51" t="s">
        <v>190</v>
      </c>
      <c r="F144" s="51" t="s">
        <v>153</v>
      </c>
      <c r="G144" s="51" t="s">
        <v>141</v>
      </c>
      <c r="H144" s="51">
        <v>1005001875</v>
      </c>
      <c r="I144" s="51" t="s">
        <v>25</v>
      </c>
      <c r="J144" s="51">
        <v>95</v>
      </c>
      <c r="K144" s="51" t="s">
        <v>142</v>
      </c>
      <c r="L144" s="51">
        <v>1001025288</v>
      </c>
      <c r="M144" s="51">
        <v>1082000002629</v>
      </c>
      <c r="N144" s="51" t="s">
        <v>144</v>
      </c>
      <c r="O144" s="138" t="s">
        <v>145</v>
      </c>
      <c r="P144" s="51" t="s">
        <v>146</v>
      </c>
      <c r="Q144" s="51" t="s">
        <v>147</v>
      </c>
      <c r="R144" s="51" t="s">
        <v>148</v>
      </c>
      <c r="S144" s="74">
        <v>7.11</v>
      </c>
      <c r="T144" s="74">
        <v>106444</v>
      </c>
      <c r="U144" s="74"/>
      <c r="V144" s="74">
        <v>106444</v>
      </c>
    </row>
    <row r="145" spans="1:22" ht="15" customHeight="1">
      <c r="A145" s="51">
        <f t="shared" si="10"/>
        <v>22</v>
      </c>
      <c r="B145" s="51" t="str">
        <f t="shared" si="10"/>
        <v>AT21000006</v>
      </c>
      <c r="C145" s="51" t="str">
        <f t="shared" si="10"/>
        <v>JATIMJAYA PERKASA PT.</v>
      </c>
      <c r="D145" s="51" t="str">
        <f t="shared" si="10"/>
        <v>INTERCO</v>
      </c>
      <c r="E145" s="51" t="s">
        <v>190</v>
      </c>
      <c r="F145" s="51" t="s">
        <v>153</v>
      </c>
      <c r="G145" s="51" t="s">
        <v>141</v>
      </c>
      <c r="H145" s="51">
        <v>1005002047</v>
      </c>
      <c r="I145" s="51" t="s">
        <v>26</v>
      </c>
      <c r="J145" s="51">
        <v>67</v>
      </c>
      <c r="K145" s="51" t="s">
        <v>142</v>
      </c>
      <c r="L145" s="51">
        <v>1001026390</v>
      </c>
      <c r="M145" s="51">
        <v>1082000002790</v>
      </c>
      <c r="N145" s="51" t="s">
        <v>144</v>
      </c>
      <c r="O145" s="138" t="s">
        <v>145</v>
      </c>
      <c r="P145" s="51" t="s">
        <v>146</v>
      </c>
      <c r="Q145" s="51" t="s">
        <v>147</v>
      </c>
      <c r="R145" s="51" t="s">
        <v>148</v>
      </c>
      <c r="S145" s="74">
        <v>17300</v>
      </c>
      <c r="T145" s="74">
        <v>1730000</v>
      </c>
      <c r="U145" s="74"/>
      <c r="V145" s="74">
        <v>1730000</v>
      </c>
    </row>
    <row r="146" spans="1:22" ht="15" customHeight="1">
      <c r="A146" s="51">
        <f t="shared" si="10"/>
        <v>22</v>
      </c>
      <c r="B146" s="51" t="str">
        <f t="shared" si="10"/>
        <v>AT21000006</v>
      </c>
      <c r="C146" s="51" t="str">
        <f t="shared" si="10"/>
        <v>JATIMJAYA PERKASA PT.</v>
      </c>
      <c r="D146" s="51" t="str">
        <f t="shared" si="10"/>
        <v>INTERCO</v>
      </c>
      <c r="E146" s="51" t="s">
        <v>190</v>
      </c>
      <c r="F146" s="51" t="s">
        <v>153</v>
      </c>
      <c r="G146" s="51" t="s">
        <v>141</v>
      </c>
      <c r="H146" s="51">
        <v>1005002048</v>
      </c>
      <c r="I146" s="51" t="s">
        <v>26</v>
      </c>
      <c r="J146" s="51">
        <v>67</v>
      </c>
      <c r="K146" s="51" t="s">
        <v>142</v>
      </c>
      <c r="L146" s="51">
        <v>1001025504</v>
      </c>
      <c r="M146" s="51">
        <v>1082000002653</v>
      </c>
      <c r="N146" s="51" t="s">
        <v>144</v>
      </c>
      <c r="O146" s="138" t="s">
        <v>145</v>
      </c>
      <c r="P146" s="51" t="s">
        <v>146</v>
      </c>
      <c r="Q146" s="51" t="s">
        <v>147</v>
      </c>
      <c r="R146" s="51" t="s">
        <v>148</v>
      </c>
      <c r="S146" s="74">
        <v>130.79</v>
      </c>
      <c r="T146" s="74">
        <v>1918951</v>
      </c>
      <c r="U146" s="74"/>
      <c r="V146" s="74">
        <v>1918951</v>
      </c>
    </row>
    <row r="147" spans="1:22" ht="15" customHeight="1">
      <c r="A147" s="51">
        <f t="shared" si="10"/>
        <v>22</v>
      </c>
      <c r="B147" s="51" t="str">
        <f t="shared" si="10"/>
        <v>AT21000006</v>
      </c>
      <c r="C147" s="51" t="str">
        <f t="shared" si="10"/>
        <v>JATIMJAYA PERKASA PT.</v>
      </c>
      <c r="D147" s="51" t="str">
        <f t="shared" si="10"/>
        <v>INTERCO</v>
      </c>
      <c r="E147" s="51" t="s">
        <v>190</v>
      </c>
      <c r="F147" s="51" t="s">
        <v>153</v>
      </c>
      <c r="G147" s="51" t="s">
        <v>141</v>
      </c>
      <c r="H147" s="51">
        <v>1005002119</v>
      </c>
      <c r="I147" s="51" t="s">
        <v>27</v>
      </c>
      <c r="J147" s="51">
        <v>60</v>
      </c>
      <c r="K147" s="51" t="s">
        <v>142</v>
      </c>
      <c r="L147" s="51">
        <v>1001026516</v>
      </c>
      <c r="M147" s="51">
        <v>1082000002804</v>
      </c>
      <c r="N147" s="51" t="s">
        <v>144</v>
      </c>
      <c r="O147" s="138" t="s">
        <v>145</v>
      </c>
      <c r="P147" s="51" t="s">
        <v>146</v>
      </c>
      <c r="Q147" s="51" t="s">
        <v>147</v>
      </c>
      <c r="R147" s="51" t="s">
        <v>148</v>
      </c>
      <c r="S147" s="74">
        <v>99830</v>
      </c>
      <c r="T147" s="74">
        <v>9983000</v>
      </c>
      <c r="U147" s="74"/>
      <c r="V147" s="74">
        <v>9983000</v>
      </c>
    </row>
    <row r="148" spans="1:22" ht="15" customHeight="1">
      <c r="A148" s="51">
        <f t="shared" si="10"/>
        <v>22</v>
      </c>
      <c r="B148" s="51" t="str">
        <f t="shared" si="10"/>
        <v>AT21000006</v>
      </c>
      <c r="C148" s="51" t="str">
        <f t="shared" si="10"/>
        <v>JATIMJAYA PERKASA PT.</v>
      </c>
      <c r="D148" s="51" t="str">
        <f t="shared" si="10"/>
        <v>INTERCO</v>
      </c>
      <c r="E148" s="51" t="s">
        <v>190</v>
      </c>
      <c r="F148" s="51" t="s">
        <v>153</v>
      </c>
      <c r="G148" s="51" t="s">
        <v>141</v>
      </c>
      <c r="H148" s="51">
        <v>1005002120</v>
      </c>
      <c r="I148" s="51" t="s">
        <v>27</v>
      </c>
      <c r="J148" s="51">
        <v>60</v>
      </c>
      <c r="K148" s="51" t="s">
        <v>142</v>
      </c>
      <c r="L148" s="51">
        <v>1001026516</v>
      </c>
      <c r="M148" s="51">
        <v>1082000002804</v>
      </c>
      <c r="N148" s="51" t="s">
        <v>144</v>
      </c>
      <c r="O148" s="138" t="s">
        <v>145</v>
      </c>
      <c r="P148" s="51" t="s">
        <v>146</v>
      </c>
      <c r="Q148" s="51" t="s">
        <v>147</v>
      </c>
      <c r="R148" s="51" t="s">
        <v>148</v>
      </c>
      <c r="S148" s="74">
        <v>25.76</v>
      </c>
      <c r="T148" s="74">
        <v>373391</v>
      </c>
      <c r="U148" s="74"/>
      <c r="V148" s="74">
        <v>373391</v>
      </c>
    </row>
    <row r="149" spans="1:22" ht="15" customHeight="1">
      <c r="A149" s="51">
        <f t="shared" si="10"/>
        <v>22</v>
      </c>
      <c r="B149" s="51" t="str">
        <f t="shared" si="10"/>
        <v>AT21000006</v>
      </c>
      <c r="C149" s="51" t="str">
        <f t="shared" si="10"/>
        <v>JATIMJAYA PERKASA PT.</v>
      </c>
      <c r="D149" s="51" t="str">
        <f t="shared" si="10"/>
        <v>INTERCO</v>
      </c>
      <c r="E149" s="51" t="s">
        <v>151</v>
      </c>
      <c r="F149" s="51" t="s">
        <v>153</v>
      </c>
      <c r="G149" s="51" t="s">
        <v>141</v>
      </c>
      <c r="H149" s="51">
        <v>1005002458</v>
      </c>
      <c r="I149" s="51" t="s">
        <v>9</v>
      </c>
      <c r="J149" s="51">
        <v>9</v>
      </c>
      <c r="K149" s="51" t="s">
        <v>142</v>
      </c>
      <c r="L149" s="51">
        <v>1001026945</v>
      </c>
      <c r="M149" s="51">
        <v>1082000002869</v>
      </c>
      <c r="N149" s="51" t="s">
        <v>144</v>
      </c>
      <c r="O149" s="138" t="s">
        <v>145</v>
      </c>
      <c r="P149" s="51" t="s">
        <v>146</v>
      </c>
      <c r="Q149" s="51" t="s">
        <v>147</v>
      </c>
      <c r="R149" s="51" t="s">
        <v>148</v>
      </c>
      <c r="S149" s="74">
        <v>2000451</v>
      </c>
      <c r="T149" s="74">
        <v>400090200</v>
      </c>
      <c r="U149" s="74"/>
      <c r="V149" s="74">
        <v>400090200</v>
      </c>
    </row>
    <row r="150" spans="1:22" ht="15" customHeight="1">
      <c r="A150" s="51">
        <f t="shared" si="10"/>
        <v>22</v>
      </c>
      <c r="B150" s="51" t="str">
        <f t="shared" si="10"/>
        <v>AT21000006</v>
      </c>
      <c r="C150" s="51" t="str">
        <f t="shared" si="10"/>
        <v>JATIMJAYA PERKASA PT.</v>
      </c>
      <c r="D150" s="51" t="str">
        <f t="shared" si="10"/>
        <v>INTERCO</v>
      </c>
      <c r="E150" s="51" t="s">
        <v>151</v>
      </c>
      <c r="F150" s="51" t="s">
        <v>153</v>
      </c>
      <c r="G150" s="51" t="s">
        <v>141</v>
      </c>
      <c r="H150" s="51">
        <v>1005002459</v>
      </c>
      <c r="I150" s="51" t="s">
        <v>9</v>
      </c>
      <c r="J150" s="51">
        <v>9</v>
      </c>
      <c r="K150" s="51" t="s">
        <v>142</v>
      </c>
      <c r="L150" s="51">
        <v>1001026945</v>
      </c>
      <c r="M150" s="51">
        <v>1082000002869</v>
      </c>
      <c r="N150" s="51" t="s">
        <v>144</v>
      </c>
      <c r="O150" s="138" t="s">
        <v>145</v>
      </c>
      <c r="P150" s="51" t="s">
        <v>146</v>
      </c>
      <c r="Q150" s="51" t="s">
        <v>147</v>
      </c>
      <c r="R150" s="51" t="s">
        <v>148</v>
      </c>
      <c r="S150" s="74">
        <v>2000000</v>
      </c>
      <c r="T150" s="74">
        <v>400000000</v>
      </c>
      <c r="U150" s="74"/>
      <c r="V150" s="74">
        <v>400000000</v>
      </c>
    </row>
    <row r="151" spans="1:22" ht="15" customHeight="1">
      <c r="A151" s="51">
        <f t="shared" si="10"/>
        <v>22</v>
      </c>
      <c r="B151" s="51" t="str">
        <f t="shared" si="10"/>
        <v>AT21000006</v>
      </c>
      <c r="C151" s="51" t="str">
        <f t="shared" si="10"/>
        <v>JATIMJAYA PERKASA PT.</v>
      </c>
      <c r="D151" s="51" t="str">
        <f t="shared" si="10"/>
        <v>INTERCO</v>
      </c>
      <c r="E151" s="51" t="s">
        <v>190</v>
      </c>
      <c r="F151" s="51" t="s">
        <v>153</v>
      </c>
      <c r="G151" s="51" t="s">
        <v>141</v>
      </c>
      <c r="H151" s="51">
        <v>1005001365</v>
      </c>
      <c r="I151" s="51" t="s">
        <v>21</v>
      </c>
      <c r="J151" s="51">
        <v>176</v>
      </c>
      <c r="K151" s="51" t="s">
        <v>142</v>
      </c>
      <c r="L151" s="51">
        <v>1001023947</v>
      </c>
      <c r="M151" s="51">
        <v>1082000002406</v>
      </c>
      <c r="N151" s="51" t="s">
        <v>144</v>
      </c>
      <c r="O151" s="138" t="s">
        <v>145</v>
      </c>
      <c r="P151" s="51" t="s">
        <v>146</v>
      </c>
      <c r="Q151" s="51" t="s">
        <v>147</v>
      </c>
      <c r="R151" s="51" t="s">
        <v>148</v>
      </c>
      <c r="S151" s="74">
        <v>999870</v>
      </c>
      <c r="T151" s="74">
        <v>105125000</v>
      </c>
      <c r="U151" s="74"/>
      <c r="V151" s="74">
        <v>105125000</v>
      </c>
    </row>
    <row r="152" spans="1:22" ht="15" customHeight="1">
      <c r="A152" s="56"/>
      <c r="B152" s="56" t="s">
        <v>149</v>
      </c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139"/>
      <c r="P152" s="56" t="s">
        <v>146</v>
      </c>
      <c r="Q152" s="56"/>
      <c r="R152" s="56"/>
      <c r="S152" s="58">
        <v>16452932.82</v>
      </c>
      <c r="T152" s="58">
        <v>3076546140</v>
      </c>
      <c r="U152" s="58"/>
      <c r="V152" s="58">
        <v>3076546140</v>
      </c>
    </row>
    <row r="153" spans="1:22" ht="15" customHeight="1">
      <c r="A153" s="51">
        <v>23</v>
      </c>
      <c r="B153" s="51" t="s">
        <v>554</v>
      </c>
      <c r="C153" s="51" t="s">
        <v>555</v>
      </c>
      <c r="D153" s="51" t="s">
        <v>535</v>
      </c>
      <c r="E153" s="51" t="s">
        <v>538</v>
      </c>
      <c r="F153" s="51" t="s">
        <v>140</v>
      </c>
      <c r="G153" s="51" t="s">
        <v>141</v>
      </c>
      <c r="H153" s="51">
        <v>1675</v>
      </c>
      <c r="I153" s="51" t="s">
        <v>103</v>
      </c>
      <c r="J153" s="51">
        <v>493</v>
      </c>
      <c r="K153" s="51" t="s">
        <v>142</v>
      </c>
      <c r="L153" s="51">
        <v>1001018058</v>
      </c>
      <c r="M153" s="51">
        <v>1142000002102</v>
      </c>
      <c r="N153" s="51" t="s">
        <v>144</v>
      </c>
      <c r="O153" s="138" t="s">
        <v>145</v>
      </c>
      <c r="P153" s="51" t="s">
        <v>146</v>
      </c>
      <c r="Q153" s="51" t="s">
        <v>147</v>
      </c>
      <c r="R153" s="51" t="s">
        <v>148</v>
      </c>
      <c r="S153" s="74">
        <v>87.78</v>
      </c>
      <c r="T153" s="74">
        <v>1171161</v>
      </c>
      <c r="U153" s="74"/>
      <c r="V153" s="74">
        <v>1171161</v>
      </c>
    </row>
    <row r="154" spans="1:22" ht="15" customHeight="1">
      <c r="A154" s="51">
        <f t="shared" ref="A154:D159" si="11">A153</f>
        <v>23</v>
      </c>
      <c r="B154" s="51" t="str">
        <f t="shared" si="11"/>
        <v>AT21000011</v>
      </c>
      <c r="C154" s="51" t="str">
        <f t="shared" si="11"/>
        <v>TRITUNGGAL SENTRA BUANA PT.</v>
      </c>
      <c r="D154" s="51" t="str">
        <f t="shared" si="11"/>
        <v>INTERCO</v>
      </c>
      <c r="E154" s="51" t="s">
        <v>151</v>
      </c>
      <c r="F154" s="51" t="s">
        <v>153</v>
      </c>
      <c r="G154" s="51" t="s">
        <v>141</v>
      </c>
      <c r="H154" s="51">
        <v>1005002461</v>
      </c>
      <c r="I154" s="51" t="s">
        <v>9</v>
      </c>
      <c r="J154" s="51">
        <v>9</v>
      </c>
      <c r="K154" s="51" t="s">
        <v>142</v>
      </c>
      <c r="L154" s="51">
        <v>1001027496</v>
      </c>
      <c r="M154" s="51">
        <v>1142000003086</v>
      </c>
      <c r="N154" s="51" t="s">
        <v>144</v>
      </c>
      <c r="O154" s="138" t="s">
        <v>145</v>
      </c>
      <c r="P154" s="51" t="s">
        <v>146</v>
      </c>
      <c r="Q154" s="51" t="s">
        <v>147</v>
      </c>
      <c r="R154" s="51" t="s">
        <v>148</v>
      </c>
      <c r="S154" s="74">
        <v>4000008</v>
      </c>
      <c r="T154" s="74">
        <v>800001600</v>
      </c>
      <c r="U154" s="74"/>
      <c r="V154" s="74">
        <v>800001600</v>
      </c>
    </row>
    <row r="155" spans="1:22" ht="15" customHeight="1">
      <c r="A155" s="51">
        <f t="shared" si="11"/>
        <v>23</v>
      </c>
      <c r="B155" s="51" t="str">
        <f t="shared" si="11"/>
        <v>AT21000011</v>
      </c>
      <c r="C155" s="51" t="str">
        <f t="shared" si="11"/>
        <v>TRITUNGGAL SENTRA BUANA PT.</v>
      </c>
      <c r="D155" s="51" t="str">
        <f t="shared" si="11"/>
        <v>INTERCO</v>
      </c>
      <c r="E155" s="51" t="s">
        <v>348</v>
      </c>
      <c r="F155" s="51" t="s">
        <v>140</v>
      </c>
      <c r="G155" s="51" t="s">
        <v>141</v>
      </c>
      <c r="H155" s="51">
        <v>1005002468</v>
      </c>
      <c r="I155" s="51" t="s">
        <v>28</v>
      </c>
      <c r="J155" s="51">
        <v>8</v>
      </c>
      <c r="K155" s="51" t="s">
        <v>142</v>
      </c>
      <c r="L155" s="51">
        <v>1001027262</v>
      </c>
      <c r="M155" s="51">
        <v>1142000003039</v>
      </c>
      <c r="N155" s="51" t="s">
        <v>351</v>
      </c>
      <c r="O155" s="138" t="s">
        <v>352</v>
      </c>
      <c r="P155" s="51" t="s">
        <v>146</v>
      </c>
      <c r="Q155" s="51" t="s">
        <v>147</v>
      </c>
      <c r="R155" s="51" t="s">
        <v>148</v>
      </c>
      <c r="S155" s="74">
        <v>88.74</v>
      </c>
      <c r="T155" s="74">
        <v>1051569</v>
      </c>
      <c r="U155" s="74"/>
      <c r="V155" s="74">
        <v>1051569</v>
      </c>
    </row>
    <row r="156" spans="1:22" ht="15" customHeight="1">
      <c r="A156" s="51">
        <f t="shared" si="11"/>
        <v>23</v>
      </c>
      <c r="B156" s="51" t="str">
        <f t="shared" si="11"/>
        <v>AT21000011</v>
      </c>
      <c r="C156" s="51" t="str">
        <f t="shared" si="11"/>
        <v>TRITUNGGAL SENTRA BUANA PT.</v>
      </c>
      <c r="D156" s="51" t="str">
        <f t="shared" si="11"/>
        <v>INTERCO</v>
      </c>
      <c r="E156" s="51" t="s">
        <v>362</v>
      </c>
      <c r="F156" s="51" t="s">
        <v>140</v>
      </c>
      <c r="G156" s="51" t="s">
        <v>141</v>
      </c>
      <c r="H156" s="51">
        <v>1005002477</v>
      </c>
      <c r="I156" s="51" t="s">
        <v>48</v>
      </c>
      <c r="J156" s="51">
        <v>7</v>
      </c>
      <c r="K156" s="51" t="s">
        <v>142</v>
      </c>
      <c r="L156" s="51">
        <v>1001027205</v>
      </c>
      <c r="M156" s="51">
        <v>1142000003033</v>
      </c>
      <c r="N156" s="51" t="s">
        <v>351</v>
      </c>
      <c r="O156" s="138" t="s">
        <v>352</v>
      </c>
      <c r="P156" s="51" t="s">
        <v>146</v>
      </c>
      <c r="Q156" s="51" t="s">
        <v>147</v>
      </c>
      <c r="R156" s="51" t="s">
        <v>148</v>
      </c>
      <c r="S156" s="74">
        <v>297.29000000000002</v>
      </c>
      <c r="T156" s="74">
        <v>3436674</v>
      </c>
      <c r="U156" s="74"/>
      <c r="V156" s="74">
        <v>3436674</v>
      </c>
    </row>
    <row r="157" spans="1:22" ht="15" customHeight="1">
      <c r="A157" s="51">
        <f t="shared" si="11"/>
        <v>23</v>
      </c>
      <c r="B157" s="51" t="str">
        <f t="shared" si="11"/>
        <v>AT21000011</v>
      </c>
      <c r="C157" s="51" t="str">
        <f t="shared" si="11"/>
        <v>TRITUNGGAL SENTRA BUANA PT.</v>
      </c>
      <c r="D157" s="51" t="str">
        <f t="shared" si="11"/>
        <v>INTERCO</v>
      </c>
      <c r="E157" s="51" t="s">
        <v>534</v>
      </c>
      <c r="F157" s="51" t="s">
        <v>140</v>
      </c>
      <c r="G157" s="51" t="s">
        <v>141</v>
      </c>
      <c r="H157" s="51">
        <v>1005002387</v>
      </c>
      <c r="I157" s="51" t="s">
        <v>90</v>
      </c>
      <c r="J157" s="51">
        <v>15</v>
      </c>
      <c r="K157" s="51" t="s">
        <v>142</v>
      </c>
      <c r="L157" s="51">
        <v>1001026779</v>
      </c>
      <c r="M157" s="51">
        <v>1142000002954</v>
      </c>
      <c r="N157" s="51" t="s">
        <v>144</v>
      </c>
      <c r="O157" s="138" t="s">
        <v>145</v>
      </c>
      <c r="P157" s="51" t="s">
        <v>146</v>
      </c>
      <c r="Q157" s="51" t="s">
        <v>147</v>
      </c>
      <c r="R157" s="51" t="s">
        <v>148</v>
      </c>
      <c r="S157" s="74">
        <v>400000</v>
      </c>
      <c r="T157" s="74">
        <v>84781000</v>
      </c>
      <c r="U157" s="74"/>
      <c r="V157" s="74">
        <v>84781000</v>
      </c>
    </row>
    <row r="158" spans="1:22" ht="15" customHeight="1">
      <c r="A158" s="51">
        <f t="shared" si="11"/>
        <v>23</v>
      </c>
      <c r="B158" s="51" t="str">
        <f t="shared" si="11"/>
        <v>AT21000011</v>
      </c>
      <c r="C158" s="51" t="str">
        <f t="shared" si="11"/>
        <v>TRITUNGGAL SENTRA BUANA PT.</v>
      </c>
      <c r="D158" s="51" t="str">
        <f t="shared" si="11"/>
        <v>INTERCO</v>
      </c>
      <c r="E158" s="51" t="s">
        <v>534</v>
      </c>
      <c r="F158" s="51" t="s">
        <v>140</v>
      </c>
      <c r="G158" s="51" t="s">
        <v>141</v>
      </c>
      <c r="H158" s="51">
        <v>1005002410</v>
      </c>
      <c r="I158" s="51" t="s">
        <v>11</v>
      </c>
      <c r="J158" s="51">
        <v>14</v>
      </c>
      <c r="K158" s="51" t="s">
        <v>142</v>
      </c>
      <c r="L158" s="51">
        <v>1001027040</v>
      </c>
      <c r="M158" s="51">
        <v>1142000002993</v>
      </c>
      <c r="N158" s="51" t="s">
        <v>144</v>
      </c>
      <c r="O158" s="138" t="s">
        <v>145</v>
      </c>
      <c r="P158" s="51" t="s">
        <v>146</v>
      </c>
      <c r="Q158" s="51" t="s">
        <v>147</v>
      </c>
      <c r="R158" s="51" t="s">
        <v>148</v>
      </c>
      <c r="S158" s="74">
        <v>500000</v>
      </c>
      <c r="T158" s="74">
        <v>133814000</v>
      </c>
      <c r="U158" s="74"/>
      <c r="V158" s="74">
        <v>133814000</v>
      </c>
    </row>
    <row r="159" spans="1:22" ht="15" customHeight="1">
      <c r="A159" s="51">
        <f t="shared" si="11"/>
        <v>23</v>
      </c>
      <c r="B159" s="51" t="str">
        <f t="shared" si="11"/>
        <v>AT21000011</v>
      </c>
      <c r="C159" s="51" t="str">
        <f t="shared" si="11"/>
        <v>TRITUNGGAL SENTRA BUANA PT.</v>
      </c>
      <c r="D159" s="51" t="str">
        <f t="shared" si="11"/>
        <v>INTERCO</v>
      </c>
      <c r="E159" s="51" t="s">
        <v>558</v>
      </c>
      <c r="F159" s="51" t="s">
        <v>140</v>
      </c>
      <c r="G159" s="51" t="s">
        <v>141</v>
      </c>
      <c r="H159" s="51">
        <v>1005002426</v>
      </c>
      <c r="I159" s="51" t="s">
        <v>11</v>
      </c>
      <c r="J159" s="51">
        <v>14</v>
      </c>
      <c r="K159" s="51" t="s">
        <v>142</v>
      </c>
      <c r="L159" s="51">
        <v>1001027005</v>
      </c>
      <c r="M159" s="51">
        <v>1142000002986</v>
      </c>
      <c r="N159" s="51" t="s">
        <v>351</v>
      </c>
      <c r="O159" s="138" t="s">
        <v>352</v>
      </c>
      <c r="P159" s="51" t="s">
        <v>146</v>
      </c>
      <c r="Q159" s="51" t="s">
        <v>147</v>
      </c>
      <c r="R159" s="51" t="s">
        <v>148</v>
      </c>
      <c r="S159" s="74">
        <v>36.75</v>
      </c>
      <c r="T159" s="74">
        <v>414724</v>
      </c>
      <c r="U159" s="74"/>
      <c r="V159" s="74">
        <v>414724</v>
      </c>
    </row>
    <row r="160" spans="1:22" ht="15" customHeight="1">
      <c r="A160" s="56"/>
      <c r="B160" s="56" t="s">
        <v>149</v>
      </c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139"/>
      <c r="P160" s="56" t="s">
        <v>146</v>
      </c>
      <c r="Q160" s="56"/>
      <c r="R160" s="56"/>
      <c r="S160" s="58">
        <v>4900518.5599999996</v>
      </c>
      <c r="T160" s="58">
        <v>1024670728</v>
      </c>
      <c r="U160" s="58"/>
      <c r="V160" s="58">
        <v>1024670728</v>
      </c>
    </row>
    <row r="161" spans="1:22" ht="15" customHeight="1">
      <c r="A161" s="51">
        <v>24</v>
      </c>
      <c r="B161" s="51" t="s">
        <v>559</v>
      </c>
      <c r="C161" s="51" t="s">
        <v>560</v>
      </c>
      <c r="D161" s="51" t="s">
        <v>535</v>
      </c>
      <c r="E161" s="51" t="s">
        <v>538</v>
      </c>
      <c r="F161" s="51" t="s">
        <v>140</v>
      </c>
      <c r="G161" s="51" t="s">
        <v>141</v>
      </c>
      <c r="H161" s="51">
        <v>1969</v>
      </c>
      <c r="I161" s="51" t="s">
        <v>105</v>
      </c>
      <c r="J161" s="51">
        <v>430</v>
      </c>
      <c r="K161" s="51" t="s">
        <v>142</v>
      </c>
      <c r="L161" s="51">
        <v>1001018893</v>
      </c>
      <c r="M161" s="51">
        <v>1252000001150</v>
      </c>
      <c r="N161" s="51" t="s">
        <v>144</v>
      </c>
      <c r="O161" s="138" t="s">
        <v>145</v>
      </c>
      <c r="P161" s="51" t="s">
        <v>146</v>
      </c>
      <c r="Q161" s="51" t="s">
        <v>147</v>
      </c>
      <c r="R161" s="51" t="s">
        <v>148</v>
      </c>
      <c r="S161" s="74">
        <v>41.26</v>
      </c>
      <c r="T161" s="74">
        <v>481752</v>
      </c>
      <c r="U161" s="74"/>
      <c r="V161" s="74">
        <v>481752</v>
      </c>
    </row>
    <row r="162" spans="1:22" ht="15" customHeight="1">
      <c r="A162" s="51">
        <f t="shared" ref="A162:D172" si="12">A161</f>
        <v>24</v>
      </c>
      <c r="B162" s="51" t="str">
        <f t="shared" si="12"/>
        <v>AT21000012</v>
      </c>
      <c r="C162" s="51" t="str">
        <f t="shared" si="12"/>
        <v>GRAHA AGRO NUSANTARA PT.</v>
      </c>
      <c r="D162" s="51" t="str">
        <f t="shared" si="12"/>
        <v>INTERCO</v>
      </c>
      <c r="E162" s="51" t="s">
        <v>538</v>
      </c>
      <c r="F162" s="51" t="s">
        <v>140</v>
      </c>
      <c r="G162" s="51" t="s">
        <v>141</v>
      </c>
      <c r="H162" s="51">
        <v>1005000012</v>
      </c>
      <c r="I162" s="51" t="s">
        <v>106</v>
      </c>
      <c r="J162" s="51">
        <v>395</v>
      </c>
      <c r="K162" s="51" t="s">
        <v>142</v>
      </c>
      <c r="L162" s="51">
        <v>1001020613</v>
      </c>
      <c r="M162" s="51">
        <v>1252000001173</v>
      </c>
      <c r="N162" s="51" t="s">
        <v>144</v>
      </c>
      <c r="O162" s="138" t="s">
        <v>145</v>
      </c>
      <c r="P162" s="51" t="s">
        <v>146</v>
      </c>
      <c r="Q162" s="51" t="s">
        <v>147</v>
      </c>
      <c r="R162" s="51" t="s">
        <v>148</v>
      </c>
      <c r="S162" s="74">
        <v>9.44</v>
      </c>
      <c r="T162" s="74">
        <v>130423</v>
      </c>
      <c r="U162" s="74"/>
      <c r="V162" s="74">
        <v>130423</v>
      </c>
    </row>
    <row r="163" spans="1:22" ht="15" customHeight="1">
      <c r="A163" s="51">
        <f t="shared" si="12"/>
        <v>24</v>
      </c>
      <c r="B163" s="51" t="str">
        <f t="shared" si="12"/>
        <v>AT21000012</v>
      </c>
      <c r="C163" s="51" t="str">
        <f t="shared" si="12"/>
        <v>GRAHA AGRO NUSANTARA PT.</v>
      </c>
      <c r="D163" s="51" t="str">
        <f t="shared" si="12"/>
        <v>INTERCO</v>
      </c>
      <c r="E163" s="51" t="s">
        <v>538</v>
      </c>
      <c r="F163" s="51" t="s">
        <v>140</v>
      </c>
      <c r="G163" s="51" t="s">
        <v>141</v>
      </c>
      <c r="H163" s="51">
        <v>9081000129</v>
      </c>
      <c r="I163" s="51" t="s">
        <v>78</v>
      </c>
      <c r="J163" s="51">
        <v>512</v>
      </c>
      <c r="K163" s="51" t="s">
        <v>142</v>
      </c>
      <c r="L163" s="51">
        <v>9081000766</v>
      </c>
      <c r="M163" s="51"/>
      <c r="N163" s="51" t="s">
        <v>144</v>
      </c>
      <c r="O163" s="138" t="s">
        <v>145</v>
      </c>
      <c r="P163" s="51" t="s">
        <v>146</v>
      </c>
      <c r="Q163" s="51" t="s">
        <v>147</v>
      </c>
      <c r="R163" s="51" t="s">
        <v>160</v>
      </c>
      <c r="S163" s="74">
        <v>6.92</v>
      </c>
      <c r="T163" s="74">
        <v>91683</v>
      </c>
      <c r="U163" s="74"/>
      <c r="V163" s="74">
        <v>91683</v>
      </c>
    </row>
    <row r="164" spans="1:22" ht="15" customHeight="1">
      <c r="A164" s="51">
        <f t="shared" si="12"/>
        <v>24</v>
      </c>
      <c r="B164" s="51" t="str">
        <f t="shared" si="12"/>
        <v>AT21000012</v>
      </c>
      <c r="C164" s="51" t="str">
        <f t="shared" si="12"/>
        <v>GRAHA AGRO NUSANTARA PT.</v>
      </c>
      <c r="D164" s="51" t="str">
        <f t="shared" si="12"/>
        <v>INTERCO</v>
      </c>
      <c r="E164" s="51" t="s">
        <v>560</v>
      </c>
      <c r="F164" s="51" t="s">
        <v>153</v>
      </c>
      <c r="G164" s="51" t="s">
        <v>141</v>
      </c>
      <c r="H164" s="51">
        <v>1005002368</v>
      </c>
      <c r="I164" s="51" t="s">
        <v>70</v>
      </c>
      <c r="J164" s="51">
        <v>23</v>
      </c>
      <c r="K164" s="51" t="s">
        <v>142</v>
      </c>
      <c r="L164" s="51">
        <v>1001026789</v>
      </c>
      <c r="M164" s="51">
        <v>1252000001298</v>
      </c>
      <c r="N164" s="51" t="s">
        <v>351</v>
      </c>
      <c r="O164" s="138" t="s">
        <v>352</v>
      </c>
      <c r="P164" s="51" t="s">
        <v>146</v>
      </c>
      <c r="Q164" s="51" t="s">
        <v>147</v>
      </c>
      <c r="R164" s="51" t="s">
        <v>148</v>
      </c>
      <c r="S164" s="74">
        <v>37.96</v>
      </c>
      <c r="T164" s="74">
        <v>416194</v>
      </c>
      <c r="U164" s="74"/>
      <c r="V164" s="74">
        <v>416194</v>
      </c>
    </row>
    <row r="165" spans="1:22" ht="15" customHeight="1">
      <c r="A165" s="51">
        <f t="shared" si="12"/>
        <v>24</v>
      </c>
      <c r="B165" s="51" t="str">
        <f t="shared" si="12"/>
        <v>AT21000012</v>
      </c>
      <c r="C165" s="51" t="str">
        <f t="shared" si="12"/>
        <v>GRAHA AGRO NUSANTARA PT.</v>
      </c>
      <c r="D165" s="51" t="str">
        <f t="shared" si="12"/>
        <v>INTERCO</v>
      </c>
      <c r="E165" s="51" t="s">
        <v>560</v>
      </c>
      <c r="F165" s="51" t="s">
        <v>153</v>
      </c>
      <c r="G165" s="51" t="s">
        <v>141</v>
      </c>
      <c r="H165" s="51">
        <v>1005002369</v>
      </c>
      <c r="I165" s="51" t="s">
        <v>70</v>
      </c>
      <c r="J165" s="51">
        <v>23</v>
      </c>
      <c r="K165" s="51" t="s">
        <v>142</v>
      </c>
      <c r="L165" s="51">
        <v>1001026789</v>
      </c>
      <c r="M165" s="51">
        <v>1252000001298</v>
      </c>
      <c r="N165" s="51" t="s">
        <v>351</v>
      </c>
      <c r="O165" s="138" t="s">
        <v>352</v>
      </c>
      <c r="P165" s="51" t="s">
        <v>146</v>
      </c>
      <c r="Q165" s="51" t="s">
        <v>147</v>
      </c>
      <c r="R165" s="51" t="s">
        <v>148</v>
      </c>
      <c r="S165" s="74">
        <v>959.89</v>
      </c>
      <c r="T165" s="74">
        <v>10524234</v>
      </c>
      <c r="U165" s="74"/>
      <c r="V165" s="74">
        <v>10524234</v>
      </c>
    </row>
    <row r="166" spans="1:22" ht="15" customHeight="1">
      <c r="A166" s="51">
        <f t="shared" si="12"/>
        <v>24</v>
      </c>
      <c r="B166" s="51" t="str">
        <f t="shared" si="12"/>
        <v>AT21000012</v>
      </c>
      <c r="C166" s="51" t="str">
        <f t="shared" si="12"/>
        <v>GRAHA AGRO NUSANTARA PT.</v>
      </c>
      <c r="D166" s="51" t="str">
        <f t="shared" si="12"/>
        <v>INTERCO</v>
      </c>
      <c r="E166" s="51" t="s">
        <v>560</v>
      </c>
      <c r="F166" s="51" t="s">
        <v>153</v>
      </c>
      <c r="G166" s="51" t="s">
        <v>141</v>
      </c>
      <c r="H166" s="51">
        <v>1005002360</v>
      </c>
      <c r="I166" s="51" t="s">
        <v>97</v>
      </c>
      <c r="J166" s="51">
        <v>24</v>
      </c>
      <c r="K166" s="51" t="s">
        <v>142</v>
      </c>
      <c r="L166" s="51">
        <v>1001026834</v>
      </c>
      <c r="M166" s="51">
        <v>1252000001299</v>
      </c>
      <c r="N166" s="51" t="s">
        <v>144</v>
      </c>
      <c r="O166" s="138" t="s">
        <v>145</v>
      </c>
      <c r="P166" s="51" t="s">
        <v>146</v>
      </c>
      <c r="Q166" s="51" t="s">
        <v>147</v>
      </c>
      <c r="R166" s="51" t="s">
        <v>148</v>
      </c>
      <c r="S166" s="74">
        <v>35170</v>
      </c>
      <c r="T166" s="74">
        <v>3517000</v>
      </c>
      <c r="U166" s="74"/>
      <c r="V166" s="74">
        <v>3517000</v>
      </c>
    </row>
    <row r="167" spans="1:22" ht="15" customHeight="1">
      <c r="A167" s="51">
        <f t="shared" si="12"/>
        <v>24</v>
      </c>
      <c r="B167" s="51" t="str">
        <f t="shared" si="12"/>
        <v>AT21000012</v>
      </c>
      <c r="C167" s="51" t="str">
        <f t="shared" si="12"/>
        <v>GRAHA AGRO NUSANTARA PT.</v>
      </c>
      <c r="D167" s="51" t="str">
        <f t="shared" si="12"/>
        <v>INTERCO</v>
      </c>
      <c r="E167" s="51" t="s">
        <v>560</v>
      </c>
      <c r="F167" s="51" t="s">
        <v>153</v>
      </c>
      <c r="G167" s="51" t="s">
        <v>141</v>
      </c>
      <c r="H167" s="51">
        <v>1005002381</v>
      </c>
      <c r="I167" s="51" t="s">
        <v>31</v>
      </c>
      <c r="J167" s="51">
        <v>18</v>
      </c>
      <c r="K167" s="51" t="s">
        <v>142</v>
      </c>
      <c r="L167" s="51">
        <v>1001026899</v>
      </c>
      <c r="M167" s="51">
        <v>1252000001301</v>
      </c>
      <c r="N167" s="51" t="s">
        <v>351</v>
      </c>
      <c r="O167" s="138" t="s">
        <v>352</v>
      </c>
      <c r="P167" s="51" t="s">
        <v>146</v>
      </c>
      <c r="Q167" s="51" t="s">
        <v>147</v>
      </c>
      <c r="R167" s="51" t="s">
        <v>148</v>
      </c>
      <c r="S167" s="74">
        <v>2022.57</v>
      </c>
      <c r="T167" s="74">
        <v>22650762</v>
      </c>
      <c r="U167" s="74"/>
      <c r="V167" s="74">
        <v>22650762</v>
      </c>
    </row>
    <row r="168" spans="1:22" ht="15" customHeight="1">
      <c r="A168" s="51">
        <f t="shared" si="12"/>
        <v>24</v>
      </c>
      <c r="B168" s="51" t="str">
        <f t="shared" si="12"/>
        <v>AT21000012</v>
      </c>
      <c r="C168" s="51" t="str">
        <f t="shared" si="12"/>
        <v>GRAHA AGRO NUSANTARA PT.</v>
      </c>
      <c r="D168" s="51" t="str">
        <f t="shared" si="12"/>
        <v>INTERCO</v>
      </c>
      <c r="E168" s="51" t="s">
        <v>560</v>
      </c>
      <c r="F168" s="51" t="s">
        <v>153</v>
      </c>
      <c r="G168" s="51" t="s">
        <v>141</v>
      </c>
      <c r="H168" s="51">
        <v>1005002389</v>
      </c>
      <c r="I168" s="51" t="s">
        <v>90</v>
      </c>
      <c r="J168" s="51">
        <v>15</v>
      </c>
      <c r="K168" s="51" t="s">
        <v>142</v>
      </c>
      <c r="L168" s="51">
        <v>1001026899</v>
      </c>
      <c r="M168" s="51">
        <v>1252000001301</v>
      </c>
      <c r="N168" s="51" t="s">
        <v>351</v>
      </c>
      <c r="O168" s="138" t="s">
        <v>352</v>
      </c>
      <c r="P168" s="51" t="s">
        <v>146</v>
      </c>
      <c r="Q168" s="51" t="s">
        <v>147</v>
      </c>
      <c r="R168" s="51" t="s">
        <v>148</v>
      </c>
      <c r="S168" s="74">
        <v>169.17</v>
      </c>
      <c r="T168" s="74">
        <v>1894535</v>
      </c>
      <c r="U168" s="74"/>
      <c r="V168" s="74">
        <v>1894535</v>
      </c>
    </row>
    <row r="169" spans="1:22" ht="15" customHeight="1">
      <c r="A169" s="51">
        <f t="shared" si="12"/>
        <v>24</v>
      </c>
      <c r="B169" s="51" t="str">
        <f t="shared" si="12"/>
        <v>AT21000012</v>
      </c>
      <c r="C169" s="51" t="str">
        <f t="shared" si="12"/>
        <v>GRAHA AGRO NUSANTARA PT.</v>
      </c>
      <c r="D169" s="51" t="str">
        <f t="shared" si="12"/>
        <v>INTERCO</v>
      </c>
      <c r="E169" s="51" t="s">
        <v>560</v>
      </c>
      <c r="F169" s="51" t="s">
        <v>153</v>
      </c>
      <c r="G169" s="51" t="s">
        <v>141</v>
      </c>
      <c r="H169" s="51">
        <v>1005002388</v>
      </c>
      <c r="I169" s="51" t="s">
        <v>90</v>
      </c>
      <c r="J169" s="51">
        <v>15</v>
      </c>
      <c r="K169" s="51" t="s">
        <v>142</v>
      </c>
      <c r="L169" s="51">
        <v>1001027006</v>
      </c>
      <c r="M169" s="51">
        <v>1252000001303</v>
      </c>
      <c r="N169" s="51" t="s">
        <v>351</v>
      </c>
      <c r="O169" s="138" t="s">
        <v>352</v>
      </c>
      <c r="P169" s="51" t="s">
        <v>146</v>
      </c>
      <c r="Q169" s="51" t="s">
        <v>147</v>
      </c>
      <c r="R169" s="51" t="s">
        <v>148</v>
      </c>
      <c r="S169" s="74">
        <v>546.41</v>
      </c>
      <c r="T169" s="74">
        <v>6182083</v>
      </c>
      <c r="U169" s="74"/>
      <c r="V169" s="74">
        <v>6182083</v>
      </c>
    </row>
    <row r="170" spans="1:22" ht="15" customHeight="1">
      <c r="A170" s="51">
        <f t="shared" si="12"/>
        <v>24</v>
      </c>
      <c r="B170" s="51" t="str">
        <f t="shared" si="12"/>
        <v>AT21000012</v>
      </c>
      <c r="C170" s="51" t="str">
        <f t="shared" si="12"/>
        <v>GRAHA AGRO NUSANTARA PT.</v>
      </c>
      <c r="D170" s="51" t="str">
        <f t="shared" si="12"/>
        <v>INTERCO</v>
      </c>
      <c r="E170" s="51" t="s">
        <v>560</v>
      </c>
      <c r="F170" s="51" t="s">
        <v>153</v>
      </c>
      <c r="G170" s="51" t="s">
        <v>141</v>
      </c>
      <c r="H170" s="51">
        <v>1005002399</v>
      </c>
      <c r="I170" s="51" t="s">
        <v>90</v>
      </c>
      <c r="J170" s="51">
        <v>15</v>
      </c>
      <c r="K170" s="51" t="s">
        <v>142</v>
      </c>
      <c r="L170" s="51">
        <v>1001027006</v>
      </c>
      <c r="M170" s="51">
        <v>1252000001303</v>
      </c>
      <c r="N170" s="51" t="s">
        <v>351</v>
      </c>
      <c r="O170" s="138" t="s">
        <v>352</v>
      </c>
      <c r="P170" s="51" t="s">
        <v>146</v>
      </c>
      <c r="Q170" s="51" t="s">
        <v>147</v>
      </c>
      <c r="R170" s="51" t="s">
        <v>148</v>
      </c>
      <c r="S170" s="74">
        <v>3932.63</v>
      </c>
      <c r="T170" s="74">
        <v>44493776</v>
      </c>
      <c r="U170" s="74"/>
      <c r="V170" s="74">
        <v>44493776</v>
      </c>
    </row>
    <row r="171" spans="1:22" ht="15" customHeight="1">
      <c r="A171" s="51">
        <f t="shared" si="12"/>
        <v>24</v>
      </c>
      <c r="B171" s="51" t="str">
        <f t="shared" si="12"/>
        <v>AT21000012</v>
      </c>
      <c r="C171" s="51" t="str">
        <f t="shared" si="12"/>
        <v>GRAHA AGRO NUSANTARA PT.</v>
      </c>
      <c r="D171" s="51" t="str">
        <f t="shared" si="12"/>
        <v>INTERCO</v>
      </c>
      <c r="E171" s="51" t="s">
        <v>560</v>
      </c>
      <c r="F171" s="51" t="s">
        <v>153</v>
      </c>
      <c r="G171" s="51" t="s">
        <v>141</v>
      </c>
      <c r="H171" s="51">
        <v>1005002361</v>
      </c>
      <c r="I171" s="51" t="s">
        <v>97</v>
      </c>
      <c r="J171" s="51">
        <v>24</v>
      </c>
      <c r="K171" s="51" t="s">
        <v>142</v>
      </c>
      <c r="L171" s="51">
        <v>1001027041</v>
      </c>
      <c r="M171" s="51">
        <v>1252000001304</v>
      </c>
      <c r="N171" s="51" t="s">
        <v>144</v>
      </c>
      <c r="O171" s="138" t="s">
        <v>145</v>
      </c>
      <c r="P171" s="51" t="s">
        <v>146</v>
      </c>
      <c r="Q171" s="51" t="s">
        <v>147</v>
      </c>
      <c r="R171" s="51" t="s">
        <v>148</v>
      </c>
      <c r="S171" s="74">
        <v>256700</v>
      </c>
      <c r="T171" s="74">
        <v>25670000</v>
      </c>
      <c r="U171" s="74"/>
      <c r="V171" s="74">
        <v>25670000</v>
      </c>
    </row>
    <row r="172" spans="1:22" ht="15" customHeight="1">
      <c r="A172" s="51">
        <f t="shared" si="12"/>
        <v>24</v>
      </c>
      <c r="B172" s="51" t="str">
        <f t="shared" si="12"/>
        <v>AT21000012</v>
      </c>
      <c r="C172" s="51" t="str">
        <f t="shared" si="12"/>
        <v>GRAHA AGRO NUSANTARA PT.</v>
      </c>
      <c r="D172" s="51" t="str">
        <f t="shared" si="12"/>
        <v>INTERCO</v>
      </c>
      <c r="E172" s="51" t="s">
        <v>560</v>
      </c>
      <c r="F172" s="51" t="s">
        <v>153</v>
      </c>
      <c r="G172" s="51" t="s">
        <v>141</v>
      </c>
      <c r="H172" s="51">
        <v>1005002378</v>
      </c>
      <c r="I172" s="51" t="s">
        <v>31</v>
      </c>
      <c r="J172" s="51">
        <v>18</v>
      </c>
      <c r="K172" s="51" t="s">
        <v>142</v>
      </c>
      <c r="L172" s="51">
        <v>1001027109</v>
      </c>
      <c r="M172" s="51">
        <v>1252000001305</v>
      </c>
      <c r="N172" s="51" t="s">
        <v>144</v>
      </c>
      <c r="O172" s="138" t="s">
        <v>145</v>
      </c>
      <c r="P172" s="51" t="s">
        <v>146</v>
      </c>
      <c r="Q172" s="51" t="s">
        <v>147</v>
      </c>
      <c r="R172" s="51" t="s">
        <v>148</v>
      </c>
      <c r="S172" s="74">
        <v>18170</v>
      </c>
      <c r="T172" s="74">
        <v>1817000</v>
      </c>
      <c r="U172" s="74"/>
      <c r="V172" s="74">
        <v>1817000</v>
      </c>
    </row>
    <row r="173" spans="1:22" ht="15" customHeight="1">
      <c r="A173" s="56"/>
      <c r="B173" s="56" t="s">
        <v>149</v>
      </c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139"/>
      <c r="P173" s="56" t="s">
        <v>146</v>
      </c>
      <c r="Q173" s="56"/>
      <c r="R173" s="56"/>
      <c r="S173" s="58">
        <v>317766.25</v>
      </c>
      <c r="T173" s="58">
        <v>117869442</v>
      </c>
      <c r="U173" s="58"/>
      <c r="V173" s="58">
        <v>117869442</v>
      </c>
    </row>
    <row r="174" spans="1:22" ht="15" customHeight="1">
      <c r="A174" s="51">
        <v>25</v>
      </c>
      <c r="B174" s="51" t="s">
        <v>574</v>
      </c>
      <c r="C174" s="51" t="s">
        <v>558</v>
      </c>
      <c r="D174" s="51" t="s">
        <v>535</v>
      </c>
      <c r="E174" s="51" t="s">
        <v>538</v>
      </c>
      <c r="F174" s="51" t="s">
        <v>140</v>
      </c>
      <c r="G174" s="51" t="s">
        <v>141</v>
      </c>
      <c r="H174" s="51">
        <v>9141000214</v>
      </c>
      <c r="I174" s="51" t="s">
        <v>103</v>
      </c>
      <c r="J174" s="51">
        <v>493</v>
      </c>
      <c r="K174" s="51" t="s">
        <v>142</v>
      </c>
      <c r="L174" s="51">
        <v>9141001077</v>
      </c>
      <c r="M174" s="51">
        <v>1312000000227</v>
      </c>
      <c r="N174" s="51" t="s">
        <v>144</v>
      </c>
      <c r="O174" s="138" t="s">
        <v>145</v>
      </c>
      <c r="P174" s="51" t="s">
        <v>146</v>
      </c>
      <c r="Q174" s="51" t="s">
        <v>147</v>
      </c>
      <c r="R174" s="51" t="s">
        <v>162</v>
      </c>
      <c r="S174" s="74">
        <v>87.78</v>
      </c>
      <c r="T174" s="74">
        <v>1171161</v>
      </c>
      <c r="U174" s="74"/>
      <c r="V174" s="74">
        <v>1171161</v>
      </c>
    </row>
    <row r="175" spans="1:22" ht="15" customHeight="1">
      <c r="A175" s="51">
        <f t="shared" ref="A175:D188" si="13">A174</f>
        <v>25</v>
      </c>
      <c r="B175" s="51" t="str">
        <f t="shared" si="13"/>
        <v>AT21000032</v>
      </c>
      <c r="C175" s="51" t="str">
        <f t="shared" si="13"/>
        <v>SENTOSA ASIH MAKMUR PT.</v>
      </c>
      <c r="D175" s="51" t="str">
        <f t="shared" si="13"/>
        <v>INTERCO</v>
      </c>
      <c r="E175" s="51" t="s">
        <v>558</v>
      </c>
      <c r="F175" s="51" t="s">
        <v>140</v>
      </c>
      <c r="G175" s="51" t="s">
        <v>141</v>
      </c>
      <c r="H175" s="51">
        <v>9145000153</v>
      </c>
      <c r="I175" s="51" t="s">
        <v>102</v>
      </c>
      <c r="J175" s="51">
        <v>88</v>
      </c>
      <c r="K175" s="51" t="s">
        <v>142</v>
      </c>
      <c r="L175" s="51">
        <v>9141001580</v>
      </c>
      <c r="M175" s="51">
        <v>1312000000342</v>
      </c>
      <c r="N175" s="51" t="s">
        <v>351</v>
      </c>
      <c r="O175" s="138" t="s">
        <v>352</v>
      </c>
      <c r="P175" s="51" t="s">
        <v>146</v>
      </c>
      <c r="Q175" s="51" t="s">
        <v>147</v>
      </c>
      <c r="R175" s="51" t="s">
        <v>162</v>
      </c>
      <c r="S175" s="74">
        <v>57.25</v>
      </c>
      <c r="T175" s="74">
        <v>770871</v>
      </c>
      <c r="U175" s="74"/>
      <c r="V175" s="74">
        <v>770871</v>
      </c>
    </row>
    <row r="176" spans="1:22" ht="15" customHeight="1">
      <c r="A176" s="51">
        <f t="shared" si="13"/>
        <v>25</v>
      </c>
      <c r="B176" s="51" t="str">
        <f t="shared" si="13"/>
        <v>AT21000032</v>
      </c>
      <c r="C176" s="51" t="str">
        <f t="shared" si="13"/>
        <v>SENTOSA ASIH MAKMUR PT.</v>
      </c>
      <c r="D176" s="51" t="str">
        <f t="shared" si="13"/>
        <v>INTERCO</v>
      </c>
      <c r="E176" s="51" t="s">
        <v>558</v>
      </c>
      <c r="F176" s="51" t="s">
        <v>140</v>
      </c>
      <c r="G176" s="51" t="s">
        <v>141</v>
      </c>
      <c r="H176" s="51">
        <v>9145000154</v>
      </c>
      <c r="I176" s="51" t="s">
        <v>102</v>
      </c>
      <c r="J176" s="51">
        <v>88</v>
      </c>
      <c r="K176" s="51" t="s">
        <v>142</v>
      </c>
      <c r="L176" s="51">
        <v>9141001667</v>
      </c>
      <c r="M176" s="51">
        <v>1312000000371</v>
      </c>
      <c r="N176" s="51" t="s">
        <v>351</v>
      </c>
      <c r="O176" s="138" t="s">
        <v>352</v>
      </c>
      <c r="P176" s="51" t="s">
        <v>146</v>
      </c>
      <c r="Q176" s="51" t="s">
        <v>147</v>
      </c>
      <c r="R176" s="51" t="s">
        <v>162</v>
      </c>
      <c r="S176" s="74">
        <v>34.29</v>
      </c>
      <c r="T176" s="74">
        <v>392106</v>
      </c>
      <c r="U176" s="74"/>
      <c r="V176" s="74">
        <v>392106</v>
      </c>
    </row>
    <row r="177" spans="1:22" ht="15" customHeight="1">
      <c r="A177" s="51">
        <f t="shared" si="13"/>
        <v>25</v>
      </c>
      <c r="B177" s="51" t="str">
        <f t="shared" si="13"/>
        <v>AT21000032</v>
      </c>
      <c r="C177" s="51" t="str">
        <f t="shared" si="13"/>
        <v>SENTOSA ASIH MAKMUR PT.</v>
      </c>
      <c r="D177" s="51" t="str">
        <f t="shared" si="13"/>
        <v>INTERCO</v>
      </c>
      <c r="E177" s="51" t="s">
        <v>558</v>
      </c>
      <c r="F177" s="51" t="s">
        <v>140</v>
      </c>
      <c r="G177" s="51" t="s">
        <v>141</v>
      </c>
      <c r="H177" s="51">
        <v>9145000160</v>
      </c>
      <c r="I177" s="51" t="s">
        <v>39</v>
      </c>
      <c r="J177" s="51">
        <v>65</v>
      </c>
      <c r="K177" s="51" t="s">
        <v>142</v>
      </c>
      <c r="L177" s="51">
        <v>9141001738</v>
      </c>
      <c r="M177" s="51">
        <v>1312000000384</v>
      </c>
      <c r="N177" s="51" t="s">
        <v>144</v>
      </c>
      <c r="O177" s="138" t="s">
        <v>145</v>
      </c>
      <c r="P177" s="51" t="s">
        <v>146</v>
      </c>
      <c r="Q177" s="51" t="s">
        <v>147</v>
      </c>
      <c r="R177" s="51" t="s">
        <v>162</v>
      </c>
      <c r="S177" s="74">
        <v>23449</v>
      </c>
      <c r="T177" s="74">
        <v>23449000</v>
      </c>
      <c r="U177" s="74"/>
      <c r="V177" s="74">
        <v>23449000</v>
      </c>
    </row>
    <row r="178" spans="1:22" ht="15" customHeight="1">
      <c r="A178" s="51">
        <f t="shared" si="13"/>
        <v>25</v>
      </c>
      <c r="B178" s="51" t="str">
        <f t="shared" si="13"/>
        <v>AT21000032</v>
      </c>
      <c r="C178" s="51" t="str">
        <f t="shared" si="13"/>
        <v>SENTOSA ASIH MAKMUR PT.</v>
      </c>
      <c r="D178" s="51" t="str">
        <f t="shared" si="13"/>
        <v>INTERCO</v>
      </c>
      <c r="E178" s="51" t="s">
        <v>558</v>
      </c>
      <c r="F178" s="51" t="s">
        <v>140</v>
      </c>
      <c r="G178" s="51" t="s">
        <v>141</v>
      </c>
      <c r="H178" s="51">
        <v>9145000161</v>
      </c>
      <c r="I178" s="51" t="s">
        <v>39</v>
      </c>
      <c r="J178" s="51">
        <v>65</v>
      </c>
      <c r="K178" s="51" t="s">
        <v>142</v>
      </c>
      <c r="L178" s="51">
        <v>9141001727</v>
      </c>
      <c r="M178" s="51">
        <v>1312000000380</v>
      </c>
      <c r="N178" s="51" t="s">
        <v>144</v>
      </c>
      <c r="O178" s="138" t="s">
        <v>145</v>
      </c>
      <c r="P178" s="51" t="s">
        <v>146</v>
      </c>
      <c r="Q178" s="51" t="s">
        <v>147</v>
      </c>
      <c r="R178" s="51" t="s">
        <v>162</v>
      </c>
      <c r="S178" s="74">
        <v>102430</v>
      </c>
      <c r="T178" s="74">
        <v>10243000</v>
      </c>
      <c r="U178" s="74"/>
      <c r="V178" s="74">
        <v>10243000</v>
      </c>
    </row>
    <row r="179" spans="1:22" ht="15" customHeight="1">
      <c r="A179" s="51">
        <f t="shared" si="13"/>
        <v>25</v>
      </c>
      <c r="B179" s="51" t="str">
        <f t="shared" si="13"/>
        <v>AT21000032</v>
      </c>
      <c r="C179" s="51" t="str">
        <f t="shared" si="13"/>
        <v>SENTOSA ASIH MAKMUR PT.</v>
      </c>
      <c r="D179" s="51" t="str">
        <f t="shared" si="13"/>
        <v>INTERCO</v>
      </c>
      <c r="E179" s="51" t="s">
        <v>558</v>
      </c>
      <c r="F179" s="51" t="s">
        <v>153</v>
      </c>
      <c r="G179" s="51" t="s">
        <v>141</v>
      </c>
      <c r="H179" s="51">
        <v>9145000176</v>
      </c>
      <c r="I179" s="51" t="s">
        <v>89</v>
      </c>
      <c r="J179" s="51">
        <v>44</v>
      </c>
      <c r="K179" s="51" t="s">
        <v>142</v>
      </c>
      <c r="L179" s="51">
        <v>9141001764</v>
      </c>
      <c r="M179" s="51">
        <v>1312000000389</v>
      </c>
      <c r="N179" s="51" t="s">
        <v>144</v>
      </c>
      <c r="O179" s="138" t="s">
        <v>145</v>
      </c>
      <c r="P179" s="51" t="s">
        <v>146</v>
      </c>
      <c r="Q179" s="51" t="s">
        <v>147</v>
      </c>
      <c r="R179" s="51" t="s">
        <v>162</v>
      </c>
      <c r="S179" s="74">
        <v>113400</v>
      </c>
      <c r="T179" s="74">
        <v>26212000</v>
      </c>
      <c r="U179" s="74"/>
      <c r="V179" s="74">
        <v>26212000</v>
      </c>
    </row>
    <row r="180" spans="1:22" ht="15" customHeight="1">
      <c r="A180" s="51">
        <f t="shared" si="13"/>
        <v>25</v>
      </c>
      <c r="B180" s="51" t="str">
        <f t="shared" si="13"/>
        <v>AT21000032</v>
      </c>
      <c r="C180" s="51" t="str">
        <f t="shared" si="13"/>
        <v>SENTOSA ASIH MAKMUR PT.</v>
      </c>
      <c r="D180" s="51" t="str">
        <f t="shared" si="13"/>
        <v>INTERCO</v>
      </c>
      <c r="E180" s="51" t="s">
        <v>558</v>
      </c>
      <c r="F180" s="51" t="s">
        <v>153</v>
      </c>
      <c r="G180" s="51" t="s">
        <v>141</v>
      </c>
      <c r="H180" s="51">
        <v>9145000177</v>
      </c>
      <c r="I180" s="51" t="s">
        <v>89</v>
      </c>
      <c r="J180" s="51">
        <v>44</v>
      </c>
      <c r="K180" s="51" t="s">
        <v>142</v>
      </c>
      <c r="L180" s="51">
        <v>9141001764</v>
      </c>
      <c r="M180" s="51">
        <v>1312000000389</v>
      </c>
      <c r="N180" s="51" t="s">
        <v>144</v>
      </c>
      <c r="O180" s="138" t="s">
        <v>145</v>
      </c>
      <c r="P180" s="51" t="s">
        <v>146</v>
      </c>
      <c r="Q180" s="51" t="s">
        <v>147</v>
      </c>
      <c r="R180" s="51" t="s">
        <v>162</v>
      </c>
      <c r="S180" s="74">
        <v>3.94</v>
      </c>
      <c r="T180" s="74">
        <v>55219</v>
      </c>
      <c r="U180" s="74"/>
      <c r="V180" s="74">
        <v>55219</v>
      </c>
    </row>
    <row r="181" spans="1:22" ht="15" customHeight="1">
      <c r="A181" s="51">
        <f t="shared" si="13"/>
        <v>25</v>
      </c>
      <c r="B181" s="51" t="str">
        <f t="shared" si="13"/>
        <v>AT21000032</v>
      </c>
      <c r="C181" s="51" t="str">
        <f t="shared" si="13"/>
        <v>SENTOSA ASIH MAKMUR PT.</v>
      </c>
      <c r="D181" s="51" t="str">
        <f t="shared" si="13"/>
        <v>INTERCO</v>
      </c>
      <c r="E181" s="51" t="s">
        <v>558</v>
      </c>
      <c r="F181" s="51" t="s">
        <v>153</v>
      </c>
      <c r="G181" s="51" t="s">
        <v>141</v>
      </c>
      <c r="H181" s="51">
        <v>9145000183</v>
      </c>
      <c r="I181" s="51" t="s">
        <v>65</v>
      </c>
      <c r="J181" s="51">
        <v>35</v>
      </c>
      <c r="K181" s="51" t="s">
        <v>142</v>
      </c>
      <c r="L181" s="51">
        <v>9141001729</v>
      </c>
      <c r="M181" s="51">
        <v>1312000000381</v>
      </c>
      <c r="N181" s="51" t="s">
        <v>144</v>
      </c>
      <c r="O181" s="138" t="s">
        <v>145</v>
      </c>
      <c r="P181" s="51" t="s">
        <v>146</v>
      </c>
      <c r="Q181" s="51" t="s">
        <v>147</v>
      </c>
      <c r="R181" s="51" t="s">
        <v>162</v>
      </c>
      <c r="S181" s="74">
        <v>254600</v>
      </c>
      <c r="T181" s="74">
        <v>27158000</v>
      </c>
      <c r="U181" s="74"/>
      <c r="V181" s="74">
        <v>27158000</v>
      </c>
    </row>
    <row r="182" spans="1:22" ht="15" customHeight="1">
      <c r="A182" s="51">
        <f t="shared" si="13"/>
        <v>25</v>
      </c>
      <c r="B182" s="51" t="str">
        <f t="shared" si="13"/>
        <v>AT21000032</v>
      </c>
      <c r="C182" s="51" t="str">
        <f t="shared" si="13"/>
        <v>SENTOSA ASIH MAKMUR PT.</v>
      </c>
      <c r="D182" s="51" t="str">
        <f t="shared" si="13"/>
        <v>INTERCO</v>
      </c>
      <c r="E182" s="51" t="s">
        <v>558</v>
      </c>
      <c r="F182" s="51" t="s">
        <v>153</v>
      </c>
      <c r="G182" s="51" t="s">
        <v>141</v>
      </c>
      <c r="H182" s="51">
        <v>9145000187</v>
      </c>
      <c r="I182" s="51" t="s">
        <v>80</v>
      </c>
      <c r="J182" s="51">
        <v>30</v>
      </c>
      <c r="K182" s="51" t="s">
        <v>142</v>
      </c>
      <c r="L182" s="51">
        <v>9141001775</v>
      </c>
      <c r="M182" s="51">
        <v>1312000000393</v>
      </c>
      <c r="N182" s="51" t="s">
        <v>144</v>
      </c>
      <c r="O182" s="138" t="s">
        <v>145</v>
      </c>
      <c r="P182" s="51" t="s">
        <v>146</v>
      </c>
      <c r="Q182" s="51" t="s">
        <v>147</v>
      </c>
      <c r="R182" s="51" t="s">
        <v>162</v>
      </c>
      <c r="S182" s="74">
        <v>582760</v>
      </c>
      <c r="T182" s="74">
        <v>94831000</v>
      </c>
      <c r="U182" s="74"/>
      <c r="V182" s="74">
        <v>94831000</v>
      </c>
    </row>
    <row r="183" spans="1:22" ht="15" customHeight="1">
      <c r="A183" s="51">
        <f t="shared" si="13"/>
        <v>25</v>
      </c>
      <c r="B183" s="51" t="str">
        <f t="shared" si="13"/>
        <v>AT21000032</v>
      </c>
      <c r="C183" s="51" t="str">
        <f t="shared" si="13"/>
        <v>SENTOSA ASIH MAKMUR PT.</v>
      </c>
      <c r="D183" s="51" t="str">
        <f t="shared" si="13"/>
        <v>INTERCO</v>
      </c>
      <c r="E183" s="51" t="s">
        <v>558</v>
      </c>
      <c r="F183" s="51" t="s">
        <v>140</v>
      </c>
      <c r="G183" s="51" t="s">
        <v>141</v>
      </c>
      <c r="H183" s="51">
        <v>9145000202</v>
      </c>
      <c r="I183" s="51" t="s">
        <v>11</v>
      </c>
      <c r="J183" s="51">
        <v>14</v>
      </c>
      <c r="K183" s="51" t="s">
        <v>142</v>
      </c>
      <c r="L183" s="51">
        <v>9141001770</v>
      </c>
      <c r="M183" s="51">
        <v>1312000000392</v>
      </c>
      <c r="N183" s="51" t="s">
        <v>351</v>
      </c>
      <c r="O183" s="138" t="s">
        <v>352</v>
      </c>
      <c r="P183" s="51" t="s">
        <v>146</v>
      </c>
      <c r="Q183" s="51" t="s">
        <v>147</v>
      </c>
      <c r="R183" s="51" t="s">
        <v>162</v>
      </c>
      <c r="S183" s="74">
        <v>36.75</v>
      </c>
      <c r="T183" s="74">
        <v>414356</v>
      </c>
      <c r="U183" s="74"/>
      <c r="V183" s="74">
        <v>414356</v>
      </c>
    </row>
    <row r="184" spans="1:22" ht="15" customHeight="1">
      <c r="A184" s="51">
        <f t="shared" si="13"/>
        <v>25</v>
      </c>
      <c r="B184" s="51" t="str">
        <f t="shared" si="13"/>
        <v>AT21000032</v>
      </c>
      <c r="C184" s="51" t="str">
        <f t="shared" si="13"/>
        <v>SENTOSA ASIH MAKMUR PT.</v>
      </c>
      <c r="D184" s="51" t="str">
        <f t="shared" si="13"/>
        <v>INTERCO</v>
      </c>
      <c r="E184" s="51" t="s">
        <v>558</v>
      </c>
      <c r="F184" s="51" t="s">
        <v>140</v>
      </c>
      <c r="G184" s="51" t="s">
        <v>141</v>
      </c>
      <c r="H184" s="51">
        <v>9235000004</v>
      </c>
      <c r="I184" s="51" t="s">
        <v>110</v>
      </c>
      <c r="J184" s="51">
        <v>127</v>
      </c>
      <c r="K184" s="51" t="s">
        <v>142</v>
      </c>
      <c r="L184" s="51">
        <v>9231000045</v>
      </c>
      <c r="M184" s="51">
        <v>1312000000324</v>
      </c>
      <c r="N184" s="51" t="s">
        <v>334</v>
      </c>
      <c r="O184" s="138" t="s">
        <v>297</v>
      </c>
      <c r="P184" s="51" t="s">
        <v>146</v>
      </c>
      <c r="Q184" s="51" t="s">
        <v>147</v>
      </c>
      <c r="R184" s="51" t="s">
        <v>575</v>
      </c>
      <c r="S184" s="74">
        <v>21.6</v>
      </c>
      <c r="T184" s="74">
        <v>315144</v>
      </c>
      <c r="U184" s="74"/>
      <c r="V184" s="74">
        <v>315144</v>
      </c>
    </row>
    <row r="185" spans="1:22" ht="15" customHeight="1">
      <c r="A185" s="51">
        <f t="shared" si="13"/>
        <v>25</v>
      </c>
      <c r="B185" s="51" t="str">
        <f t="shared" si="13"/>
        <v>AT21000032</v>
      </c>
      <c r="C185" s="51" t="str">
        <f t="shared" si="13"/>
        <v>SENTOSA ASIH MAKMUR PT.</v>
      </c>
      <c r="D185" s="51" t="str">
        <f t="shared" si="13"/>
        <v>INTERCO</v>
      </c>
      <c r="E185" s="51" t="s">
        <v>558</v>
      </c>
      <c r="F185" s="51" t="s">
        <v>140</v>
      </c>
      <c r="G185" s="51" t="s">
        <v>141</v>
      </c>
      <c r="H185" s="51">
        <v>1005002411</v>
      </c>
      <c r="I185" s="51" t="s">
        <v>11</v>
      </c>
      <c r="J185" s="51">
        <v>14</v>
      </c>
      <c r="K185" s="51" t="s">
        <v>142</v>
      </c>
      <c r="L185" s="51">
        <v>1001027114</v>
      </c>
      <c r="M185" s="51">
        <v>1312000000394</v>
      </c>
      <c r="N185" s="51" t="s">
        <v>144</v>
      </c>
      <c r="O185" s="138" t="s">
        <v>145</v>
      </c>
      <c r="P185" s="51" t="s">
        <v>146</v>
      </c>
      <c r="Q185" s="51" t="s">
        <v>147</v>
      </c>
      <c r="R185" s="51" t="s">
        <v>148</v>
      </c>
      <c r="S185" s="74">
        <v>90370</v>
      </c>
      <c r="T185" s="74">
        <v>9037000</v>
      </c>
      <c r="U185" s="74"/>
      <c r="V185" s="74">
        <v>9037000</v>
      </c>
    </row>
    <row r="186" spans="1:22" ht="15" customHeight="1">
      <c r="A186" s="51">
        <f t="shared" si="13"/>
        <v>25</v>
      </c>
      <c r="B186" s="51" t="str">
        <f t="shared" si="13"/>
        <v>AT21000032</v>
      </c>
      <c r="C186" s="51" t="str">
        <f t="shared" si="13"/>
        <v>SENTOSA ASIH MAKMUR PT.</v>
      </c>
      <c r="D186" s="51" t="str">
        <f t="shared" si="13"/>
        <v>INTERCO</v>
      </c>
      <c r="E186" s="51" t="s">
        <v>558</v>
      </c>
      <c r="F186" s="51" t="s">
        <v>140</v>
      </c>
      <c r="G186" s="51" t="s">
        <v>141</v>
      </c>
      <c r="H186" s="51">
        <v>1005002407</v>
      </c>
      <c r="I186" s="51" t="s">
        <v>90</v>
      </c>
      <c r="J186" s="51">
        <v>15</v>
      </c>
      <c r="K186" s="51" t="s">
        <v>142</v>
      </c>
      <c r="L186" s="51">
        <v>1001027219</v>
      </c>
      <c r="M186" s="51">
        <v>1312000000395</v>
      </c>
      <c r="N186" s="51" t="s">
        <v>144</v>
      </c>
      <c r="O186" s="138" t="s">
        <v>145</v>
      </c>
      <c r="P186" s="51" t="s">
        <v>146</v>
      </c>
      <c r="Q186" s="51" t="s">
        <v>147</v>
      </c>
      <c r="R186" s="51" t="s">
        <v>148</v>
      </c>
      <c r="S186" s="74">
        <v>212100</v>
      </c>
      <c r="T186" s="74">
        <v>21210000</v>
      </c>
      <c r="U186" s="74"/>
      <c r="V186" s="74">
        <v>21210000</v>
      </c>
    </row>
    <row r="187" spans="1:22" ht="15" customHeight="1">
      <c r="A187" s="51">
        <f t="shared" si="13"/>
        <v>25</v>
      </c>
      <c r="B187" s="51" t="str">
        <f t="shared" si="13"/>
        <v>AT21000032</v>
      </c>
      <c r="C187" s="51" t="str">
        <f t="shared" si="13"/>
        <v>SENTOSA ASIH MAKMUR PT.</v>
      </c>
      <c r="D187" s="51" t="str">
        <f t="shared" si="13"/>
        <v>INTERCO</v>
      </c>
      <c r="E187" s="51" t="s">
        <v>558</v>
      </c>
      <c r="F187" s="51" t="s">
        <v>153</v>
      </c>
      <c r="G187" s="51" t="s">
        <v>141</v>
      </c>
      <c r="H187" s="51">
        <v>1005002409</v>
      </c>
      <c r="I187" s="51" t="s">
        <v>90</v>
      </c>
      <c r="J187" s="51">
        <v>15</v>
      </c>
      <c r="K187" s="51" t="s">
        <v>142</v>
      </c>
      <c r="L187" s="51">
        <v>1001027224</v>
      </c>
      <c r="M187" s="51">
        <v>1312000000396</v>
      </c>
      <c r="N187" s="51" t="s">
        <v>351</v>
      </c>
      <c r="O187" s="138" t="s">
        <v>352</v>
      </c>
      <c r="P187" s="51" t="s">
        <v>146</v>
      </c>
      <c r="Q187" s="51" t="s">
        <v>147</v>
      </c>
      <c r="R187" s="51" t="s">
        <v>148</v>
      </c>
      <c r="S187" s="74">
        <v>7.65</v>
      </c>
      <c r="T187" s="74">
        <v>87271</v>
      </c>
      <c r="U187" s="74"/>
      <c r="V187" s="74">
        <v>87271</v>
      </c>
    </row>
    <row r="188" spans="1:22" ht="15" customHeight="1">
      <c r="A188" s="51">
        <f t="shared" si="13"/>
        <v>25</v>
      </c>
      <c r="B188" s="51" t="str">
        <f t="shared" si="13"/>
        <v>AT21000032</v>
      </c>
      <c r="C188" s="51" t="str">
        <f t="shared" si="13"/>
        <v>SENTOSA ASIH MAKMUR PT.</v>
      </c>
      <c r="D188" s="51" t="str">
        <f t="shared" si="13"/>
        <v>INTERCO</v>
      </c>
      <c r="E188" s="51" t="s">
        <v>558</v>
      </c>
      <c r="F188" s="51" t="s">
        <v>140</v>
      </c>
      <c r="G188" s="51" t="s">
        <v>141</v>
      </c>
      <c r="H188" s="51">
        <v>1005002413</v>
      </c>
      <c r="I188" s="51" t="s">
        <v>11</v>
      </c>
      <c r="J188" s="51">
        <v>14</v>
      </c>
      <c r="K188" s="51" t="s">
        <v>142</v>
      </c>
      <c r="L188" s="51">
        <v>1001027361</v>
      </c>
      <c r="M188" s="51">
        <v>1312000000397</v>
      </c>
      <c r="N188" s="51" t="s">
        <v>144</v>
      </c>
      <c r="O188" s="138" t="s">
        <v>145</v>
      </c>
      <c r="P188" s="51" t="s">
        <v>146</v>
      </c>
      <c r="Q188" s="51" t="s">
        <v>147</v>
      </c>
      <c r="R188" s="51" t="s">
        <v>148</v>
      </c>
      <c r="S188" s="74">
        <v>329710</v>
      </c>
      <c r="T188" s="74">
        <v>47074000</v>
      </c>
      <c r="U188" s="74"/>
      <c r="V188" s="74">
        <v>47074000</v>
      </c>
    </row>
    <row r="189" spans="1:22" ht="15" customHeight="1">
      <c r="A189" s="56"/>
      <c r="B189" s="56" t="s">
        <v>149</v>
      </c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139"/>
      <c r="P189" s="56" t="s">
        <v>146</v>
      </c>
      <c r="Q189" s="56"/>
      <c r="R189" s="56"/>
      <c r="S189" s="58">
        <v>1709068.26</v>
      </c>
      <c r="T189" s="58">
        <v>262420128</v>
      </c>
      <c r="U189" s="58"/>
      <c r="V189" s="58">
        <v>262420128</v>
      </c>
    </row>
    <row r="190" spans="1:22" ht="15" customHeight="1">
      <c r="A190" s="51">
        <v>26</v>
      </c>
      <c r="B190" s="51" t="s">
        <v>576</v>
      </c>
      <c r="C190" s="51" t="s">
        <v>577</v>
      </c>
      <c r="D190" s="51" t="s">
        <v>535</v>
      </c>
      <c r="E190" s="51" t="s">
        <v>578</v>
      </c>
      <c r="F190" s="51" t="s">
        <v>153</v>
      </c>
      <c r="G190" s="51" t="s">
        <v>141</v>
      </c>
      <c r="H190" s="51">
        <v>1005001157</v>
      </c>
      <c r="I190" s="51" t="s">
        <v>111</v>
      </c>
      <c r="J190" s="51">
        <v>214</v>
      </c>
      <c r="K190" s="51" t="s">
        <v>142</v>
      </c>
      <c r="L190" s="51">
        <v>1001017368</v>
      </c>
      <c r="M190" s="51">
        <v>1012000002641</v>
      </c>
      <c r="N190" s="51" t="s">
        <v>351</v>
      </c>
      <c r="O190" s="138" t="s">
        <v>352</v>
      </c>
      <c r="P190" s="51" t="s">
        <v>146</v>
      </c>
      <c r="Q190" s="51" t="s">
        <v>147</v>
      </c>
      <c r="R190" s="51" t="s">
        <v>148</v>
      </c>
      <c r="S190" s="74">
        <v>5183.5</v>
      </c>
      <c r="T190" s="74">
        <v>43904245</v>
      </c>
      <c r="U190" s="74"/>
      <c r="V190" s="74">
        <v>43904245</v>
      </c>
    </row>
    <row r="191" spans="1:22" ht="15" customHeight="1">
      <c r="A191" s="56"/>
      <c r="B191" s="56" t="s">
        <v>149</v>
      </c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139"/>
      <c r="P191" s="56" t="s">
        <v>146</v>
      </c>
      <c r="Q191" s="56"/>
      <c r="R191" s="56"/>
      <c r="S191" s="58">
        <v>5183.5</v>
      </c>
      <c r="T191" s="58">
        <v>43904245</v>
      </c>
      <c r="U191" s="58"/>
      <c r="V191" s="58">
        <v>43904245</v>
      </c>
    </row>
    <row r="192" spans="1:22" ht="15" customHeight="1">
      <c r="A192" s="51">
        <v>27</v>
      </c>
      <c r="B192" s="51" t="s">
        <v>579</v>
      </c>
      <c r="C192" s="51" t="s">
        <v>539</v>
      </c>
      <c r="D192" s="51" t="s">
        <v>535</v>
      </c>
      <c r="E192" s="51" t="s">
        <v>539</v>
      </c>
      <c r="F192" s="51" t="s">
        <v>140</v>
      </c>
      <c r="G192" s="51" t="s">
        <v>141</v>
      </c>
      <c r="H192" s="51">
        <v>9235000005</v>
      </c>
      <c r="I192" s="51" t="s">
        <v>96</v>
      </c>
      <c r="J192" s="51">
        <v>87</v>
      </c>
      <c r="K192" s="51" t="s">
        <v>142</v>
      </c>
      <c r="L192" s="51">
        <v>9231000055</v>
      </c>
      <c r="M192" s="51" t="s">
        <v>282</v>
      </c>
      <c r="N192" s="51" t="s">
        <v>321</v>
      </c>
      <c r="O192" s="138" t="s">
        <v>297</v>
      </c>
      <c r="P192" s="51" t="s">
        <v>146</v>
      </c>
      <c r="Q192" s="51" t="s">
        <v>147</v>
      </c>
      <c r="R192" s="51" t="s">
        <v>575</v>
      </c>
      <c r="S192" s="74">
        <v>48000</v>
      </c>
      <c r="T192" s="74">
        <v>2400000</v>
      </c>
      <c r="U192" s="74"/>
      <c r="V192" s="74">
        <v>2400000</v>
      </c>
    </row>
    <row r="193" spans="1:22" ht="15" customHeight="1">
      <c r="A193" s="51">
        <f t="shared" ref="A193:D197" si="14">A192</f>
        <v>27</v>
      </c>
      <c r="B193" s="51" t="str">
        <f t="shared" si="14"/>
        <v>AT21000052</v>
      </c>
      <c r="C193" s="51" t="str">
        <f t="shared" si="14"/>
        <v>PERKEBUNAN ANAK NEGERI PASAMAN PT.</v>
      </c>
      <c r="D193" s="51" t="str">
        <f t="shared" si="14"/>
        <v>INTERCO</v>
      </c>
      <c r="E193" s="51" t="s">
        <v>539</v>
      </c>
      <c r="F193" s="51" t="s">
        <v>140</v>
      </c>
      <c r="G193" s="51" t="s">
        <v>141</v>
      </c>
      <c r="H193" s="51">
        <v>9235000006</v>
      </c>
      <c r="I193" s="51" t="s">
        <v>100</v>
      </c>
      <c r="J193" s="51">
        <v>86</v>
      </c>
      <c r="K193" s="51" t="s">
        <v>142</v>
      </c>
      <c r="L193" s="51">
        <v>9231000056</v>
      </c>
      <c r="M193" s="51" t="s">
        <v>282</v>
      </c>
      <c r="N193" s="51" t="s">
        <v>321</v>
      </c>
      <c r="O193" s="138" t="s">
        <v>297</v>
      </c>
      <c r="P193" s="51" t="s">
        <v>146</v>
      </c>
      <c r="Q193" s="51" t="s">
        <v>147</v>
      </c>
      <c r="R193" s="51" t="s">
        <v>575</v>
      </c>
      <c r="S193" s="74">
        <v>5020</v>
      </c>
      <c r="T193" s="74">
        <v>251000</v>
      </c>
      <c r="U193" s="74"/>
      <c r="V193" s="74">
        <v>251000</v>
      </c>
    </row>
    <row r="194" spans="1:22" ht="15" customHeight="1">
      <c r="A194" s="51">
        <f t="shared" si="14"/>
        <v>27</v>
      </c>
      <c r="B194" s="51" t="str">
        <f t="shared" si="14"/>
        <v>AT21000052</v>
      </c>
      <c r="C194" s="51" t="str">
        <f t="shared" si="14"/>
        <v>PERKEBUNAN ANAK NEGERI PASAMAN PT.</v>
      </c>
      <c r="D194" s="51" t="str">
        <f t="shared" si="14"/>
        <v>INTERCO</v>
      </c>
      <c r="E194" s="51" t="s">
        <v>539</v>
      </c>
      <c r="F194" s="51" t="s">
        <v>153</v>
      </c>
      <c r="G194" s="51" t="s">
        <v>141</v>
      </c>
      <c r="H194" s="51">
        <v>1005002379</v>
      </c>
      <c r="I194" s="51" t="s">
        <v>31</v>
      </c>
      <c r="J194" s="51">
        <v>18</v>
      </c>
      <c r="K194" s="51" t="s">
        <v>142</v>
      </c>
      <c r="L194" s="51">
        <v>1001026459</v>
      </c>
      <c r="M194" s="51">
        <v>1212000000647</v>
      </c>
      <c r="N194" s="51" t="s">
        <v>351</v>
      </c>
      <c r="O194" s="138" t="s">
        <v>352</v>
      </c>
      <c r="P194" s="51" t="s">
        <v>146</v>
      </c>
      <c r="Q194" s="51" t="s">
        <v>147</v>
      </c>
      <c r="R194" s="51" t="s">
        <v>148</v>
      </c>
      <c r="S194" s="74">
        <v>182.22</v>
      </c>
      <c r="T194" s="74">
        <v>1897598</v>
      </c>
      <c r="U194" s="74"/>
      <c r="V194" s="74">
        <v>1897598</v>
      </c>
    </row>
    <row r="195" spans="1:22" ht="15" customHeight="1">
      <c r="A195" s="51">
        <f t="shared" si="14"/>
        <v>27</v>
      </c>
      <c r="B195" s="51" t="str">
        <f t="shared" si="14"/>
        <v>AT21000052</v>
      </c>
      <c r="C195" s="51" t="str">
        <f t="shared" si="14"/>
        <v>PERKEBUNAN ANAK NEGERI PASAMAN PT.</v>
      </c>
      <c r="D195" s="51" t="str">
        <f t="shared" si="14"/>
        <v>INTERCO</v>
      </c>
      <c r="E195" s="51" t="s">
        <v>539</v>
      </c>
      <c r="F195" s="51" t="s">
        <v>153</v>
      </c>
      <c r="G195" s="51" t="s">
        <v>141</v>
      </c>
      <c r="H195" s="51">
        <v>1005002380</v>
      </c>
      <c r="I195" s="51" t="s">
        <v>31</v>
      </c>
      <c r="J195" s="51">
        <v>18</v>
      </c>
      <c r="K195" s="51" t="s">
        <v>142</v>
      </c>
      <c r="L195" s="51">
        <v>1001026459</v>
      </c>
      <c r="M195" s="51">
        <v>1212000000647</v>
      </c>
      <c r="N195" s="51" t="s">
        <v>351</v>
      </c>
      <c r="O195" s="138" t="s">
        <v>352</v>
      </c>
      <c r="P195" s="51" t="s">
        <v>146</v>
      </c>
      <c r="Q195" s="51" t="s">
        <v>147</v>
      </c>
      <c r="R195" s="51" t="s">
        <v>148</v>
      </c>
      <c r="S195" s="74">
        <v>188.53</v>
      </c>
      <c r="T195" s="74">
        <v>1963350</v>
      </c>
      <c r="U195" s="74"/>
      <c r="V195" s="74">
        <v>1963350</v>
      </c>
    </row>
    <row r="196" spans="1:22" ht="15" customHeight="1">
      <c r="A196" s="51">
        <f t="shared" si="14"/>
        <v>27</v>
      </c>
      <c r="B196" s="51" t="str">
        <f t="shared" si="14"/>
        <v>AT21000052</v>
      </c>
      <c r="C196" s="51" t="str">
        <f t="shared" si="14"/>
        <v>PERKEBUNAN ANAK NEGERI PASAMAN PT.</v>
      </c>
      <c r="D196" s="51" t="str">
        <f t="shared" si="14"/>
        <v>INTERCO</v>
      </c>
      <c r="E196" s="51" t="s">
        <v>539</v>
      </c>
      <c r="F196" s="51" t="s">
        <v>153</v>
      </c>
      <c r="G196" s="51" t="s">
        <v>141</v>
      </c>
      <c r="H196" s="51">
        <v>1005002318</v>
      </c>
      <c r="I196" s="51" t="s">
        <v>10</v>
      </c>
      <c r="J196" s="51">
        <v>31</v>
      </c>
      <c r="K196" s="51" t="s">
        <v>142</v>
      </c>
      <c r="L196" s="51">
        <v>1001026649</v>
      </c>
      <c r="M196" s="51">
        <v>1212000000649</v>
      </c>
      <c r="N196" s="51" t="s">
        <v>144</v>
      </c>
      <c r="O196" s="138" t="s">
        <v>145</v>
      </c>
      <c r="P196" s="51" t="s">
        <v>146</v>
      </c>
      <c r="Q196" s="51" t="s">
        <v>147</v>
      </c>
      <c r="R196" s="51" t="s">
        <v>148</v>
      </c>
      <c r="S196" s="74">
        <v>100000</v>
      </c>
      <c r="T196" s="74">
        <v>179055000</v>
      </c>
      <c r="U196" s="74"/>
      <c r="V196" s="74">
        <v>179055000</v>
      </c>
    </row>
    <row r="197" spans="1:22" ht="15" customHeight="1">
      <c r="A197" s="51">
        <f t="shared" si="14"/>
        <v>27</v>
      </c>
      <c r="B197" s="51" t="str">
        <f t="shared" si="14"/>
        <v>AT21000052</v>
      </c>
      <c r="C197" s="51" t="str">
        <f t="shared" si="14"/>
        <v>PERKEBUNAN ANAK NEGERI PASAMAN PT.</v>
      </c>
      <c r="D197" s="51" t="str">
        <f t="shared" si="14"/>
        <v>INTERCO</v>
      </c>
      <c r="E197" s="51" t="s">
        <v>539</v>
      </c>
      <c r="F197" s="51" t="s">
        <v>153</v>
      </c>
      <c r="G197" s="51" t="s">
        <v>141</v>
      </c>
      <c r="H197" s="51">
        <v>1005002319</v>
      </c>
      <c r="I197" s="51" t="s">
        <v>10</v>
      </c>
      <c r="J197" s="51">
        <v>31</v>
      </c>
      <c r="K197" s="51" t="s">
        <v>142</v>
      </c>
      <c r="L197" s="51">
        <v>1001027220</v>
      </c>
      <c r="M197" s="51">
        <v>1212000000657</v>
      </c>
      <c r="N197" s="51" t="s">
        <v>144</v>
      </c>
      <c r="O197" s="138" t="s">
        <v>145</v>
      </c>
      <c r="P197" s="51" t="s">
        <v>146</v>
      </c>
      <c r="Q197" s="51" t="s">
        <v>147</v>
      </c>
      <c r="R197" s="51" t="s">
        <v>148</v>
      </c>
      <c r="S197" s="74">
        <v>100000</v>
      </c>
      <c r="T197" s="74">
        <v>225000000</v>
      </c>
      <c r="U197" s="74"/>
      <c r="V197" s="74">
        <v>225000000</v>
      </c>
    </row>
    <row r="198" spans="1:22" ht="15" customHeight="1">
      <c r="A198" s="56"/>
      <c r="B198" s="56" t="s">
        <v>149</v>
      </c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139"/>
      <c r="P198" s="56" t="s">
        <v>146</v>
      </c>
      <c r="Q198" s="56"/>
      <c r="R198" s="56"/>
      <c r="S198" s="58">
        <v>253390.75</v>
      </c>
      <c r="T198" s="58">
        <v>410566948</v>
      </c>
      <c r="U198" s="58"/>
      <c r="V198" s="58">
        <v>410566948</v>
      </c>
    </row>
    <row r="199" spans="1:22" ht="15" customHeight="1">
      <c r="A199" s="51">
        <v>28</v>
      </c>
      <c r="B199" s="51" t="s">
        <v>582</v>
      </c>
      <c r="C199" s="51" t="s">
        <v>583</v>
      </c>
      <c r="D199" s="51" t="s">
        <v>584</v>
      </c>
      <c r="E199" s="51" t="s">
        <v>585</v>
      </c>
      <c r="F199" s="51" t="s">
        <v>140</v>
      </c>
      <c r="G199" s="51" t="s">
        <v>141</v>
      </c>
      <c r="H199" s="51">
        <v>1005000834</v>
      </c>
      <c r="I199" s="51" t="s">
        <v>112</v>
      </c>
      <c r="J199" s="51">
        <v>267</v>
      </c>
      <c r="K199" s="51" t="s">
        <v>142</v>
      </c>
      <c r="L199" s="51">
        <v>1001021552</v>
      </c>
      <c r="M199" s="51" t="s">
        <v>586</v>
      </c>
      <c r="N199" s="51" t="s">
        <v>144</v>
      </c>
      <c r="O199" s="138" t="s">
        <v>145</v>
      </c>
      <c r="P199" s="51" t="s">
        <v>146</v>
      </c>
      <c r="Q199" s="51" t="s">
        <v>147</v>
      </c>
      <c r="R199" s="51" t="s">
        <v>148</v>
      </c>
      <c r="S199" s="74">
        <v>5220</v>
      </c>
      <c r="T199" s="74">
        <v>4567500</v>
      </c>
      <c r="U199" s="74"/>
      <c r="V199" s="74">
        <v>4567500</v>
      </c>
    </row>
    <row r="200" spans="1:22" ht="15" customHeight="1">
      <c r="A200" s="56"/>
      <c r="B200" s="56" t="s">
        <v>149</v>
      </c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139"/>
      <c r="P200" s="56" t="s">
        <v>146</v>
      </c>
      <c r="Q200" s="56"/>
      <c r="R200" s="56"/>
      <c r="S200" s="58">
        <v>5220</v>
      </c>
      <c r="T200" s="58">
        <v>4567500</v>
      </c>
      <c r="U200" s="58"/>
      <c r="V200" s="58">
        <v>4567500</v>
      </c>
    </row>
    <row r="201" spans="1:22" ht="15" customHeight="1">
      <c r="A201" s="51">
        <v>29</v>
      </c>
      <c r="B201" s="51" t="s">
        <v>590</v>
      </c>
      <c r="C201" s="51" t="s">
        <v>591</v>
      </c>
      <c r="D201" s="51" t="s">
        <v>592</v>
      </c>
      <c r="E201" s="51" t="s">
        <v>591</v>
      </c>
      <c r="F201" s="51" t="s">
        <v>140</v>
      </c>
      <c r="G201" s="51" t="s">
        <v>141</v>
      </c>
      <c r="H201" s="51">
        <v>1005001781</v>
      </c>
      <c r="I201" s="51" t="s">
        <v>116</v>
      </c>
      <c r="J201" s="51">
        <v>101</v>
      </c>
      <c r="K201" s="51" t="s">
        <v>142</v>
      </c>
      <c r="L201" s="51">
        <v>1001023656</v>
      </c>
      <c r="M201" s="51">
        <v>1232000000632</v>
      </c>
      <c r="N201" s="51" t="s">
        <v>144</v>
      </c>
      <c r="O201" s="138" t="s">
        <v>145</v>
      </c>
      <c r="P201" s="51" t="s">
        <v>146</v>
      </c>
      <c r="Q201" s="51" t="s">
        <v>147</v>
      </c>
      <c r="R201" s="51" t="s">
        <v>148</v>
      </c>
      <c r="S201" s="74">
        <v>111.24</v>
      </c>
      <c r="T201" s="74">
        <v>1432549</v>
      </c>
      <c r="U201" s="74"/>
      <c r="V201" s="74">
        <v>1432549</v>
      </c>
    </row>
    <row r="202" spans="1:22" ht="15" customHeight="1">
      <c r="A202" s="56"/>
      <c r="B202" s="56" t="s">
        <v>149</v>
      </c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139"/>
      <c r="P202" s="56" t="s">
        <v>146</v>
      </c>
      <c r="Q202" s="56"/>
      <c r="R202" s="56"/>
      <c r="S202" s="58">
        <v>111.24</v>
      </c>
      <c r="T202" s="58">
        <v>1432549</v>
      </c>
      <c r="U202" s="58"/>
      <c r="V202" s="58">
        <v>1432549</v>
      </c>
    </row>
    <row r="203" spans="1:22" ht="15" customHeight="1">
      <c r="A203" s="51">
        <v>30</v>
      </c>
      <c r="B203" s="51" t="s">
        <v>603</v>
      </c>
      <c r="C203" s="51" t="s">
        <v>538</v>
      </c>
      <c r="D203" s="51" t="s">
        <v>604</v>
      </c>
      <c r="E203" s="51" t="s">
        <v>585</v>
      </c>
      <c r="F203" s="51" t="s">
        <v>140</v>
      </c>
      <c r="G203" s="51" t="s">
        <v>141</v>
      </c>
      <c r="H203" s="51">
        <v>1005000836</v>
      </c>
      <c r="I203" s="51" t="s">
        <v>112</v>
      </c>
      <c r="J203" s="51">
        <v>267</v>
      </c>
      <c r="K203" s="51" t="s">
        <v>142</v>
      </c>
      <c r="L203" s="51">
        <v>1001021552</v>
      </c>
      <c r="M203" s="51" t="s">
        <v>586</v>
      </c>
      <c r="N203" s="51" t="s">
        <v>144</v>
      </c>
      <c r="O203" s="138" t="s">
        <v>145</v>
      </c>
      <c r="P203" s="51" t="s">
        <v>146</v>
      </c>
      <c r="Q203" s="51" t="s">
        <v>147</v>
      </c>
      <c r="R203" s="51" t="s">
        <v>148</v>
      </c>
      <c r="S203" s="74">
        <v>5220</v>
      </c>
      <c r="T203" s="74">
        <v>4567500</v>
      </c>
      <c r="U203" s="74"/>
      <c r="V203" s="74">
        <v>4567500</v>
      </c>
    </row>
    <row r="204" spans="1:22" ht="15" customHeight="1">
      <c r="A204" s="51">
        <f t="shared" ref="A204:D214" si="15">A203</f>
        <v>30</v>
      </c>
      <c r="B204" s="51" t="str">
        <f t="shared" si="15"/>
        <v>LN12000124</v>
      </c>
      <c r="C204" s="51" t="str">
        <f t="shared" si="15"/>
        <v>MARGA DINAMIK PERKASA PT.</v>
      </c>
      <c r="D204" s="51" t="str">
        <f t="shared" si="15"/>
        <v>S4</v>
      </c>
      <c r="E204" s="51" t="s">
        <v>605</v>
      </c>
      <c r="F204" s="51" t="s">
        <v>140</v>
      </c>
      <c r="G204" s="51" t="s">
        <v>141</v>
      </c>
      <c r="H204" s="51">
        <v>1005001271</v>
      </c>
      <c r="I204" s="51" t="s">
        <v>119</v>
      </c>
      <c r="J204" s="51">
        <v>198</v>
      </c>
      <c r="K204" s="51" t="s">
        <v>142</v>
      </c>
      <c r="L204" s="51">
        <v>1001022362</v>
      </c>
      <c r="M204" s="51" t="s">
        <v>606</v>
      </c>
      <c r="N204" s="51" t="s">
        <v>144</v>
      </c>
      <c r="O204" s="138" t="s">
        <v>145</v>
      </c>
      <c r="P204" s="51" t="s">
        <v>146</v>
      </c>
      <c r="Q204" s="51" t="s">
        <v>147</v>
      </c>
      <c r="R204" s="51" t="s">
        <v>148</v>
      </c>
      <c r="S204" s="74">
        <v>840</v>
      </c>
      <c r="T204" s="74">
        <v>84000</v>
      </c>
      <c r="U204" s="74"/>
      <c r="V204" s="74">
        <v>84000</v>
      </c>
    </row>
    <row r="205" spans="1:22" ht="15" customHeight="1">
      <c r="A205" s="51">
        <f t="shared" si="15"/>
        <v>30</v>
      </c>
      <c r="B205" s="51" t="str">
        <f t="shared" si="15"/>
        <v>LN12000124</v>
      </c>
      <c r="C205" s="51" t="str">
        <f t="shared" si="15"/>
        <v>MARGA DINAMIK PERKASA PT.</v>
      </c>
      <c r="D205" s="51" t="str">
        <f t="shared" si="15"/>
        <v>S4</v>
      </c>
      <c r="E205" s="51" t="s">
        <v>537</v>
      </c>
      <c r="F205" s="51" t="s">
        <v>140</v>
      </c>
      <c r="G205" s="51" t="s">
        <v>141</v>
      </c>
      <c r="H205" s="51">
        <v>9235000000</v>
      </c>
      <c r="I205" s="51" t="s">
        <v>98</v>
      </c>
      <c r="J205" s="51">
        <v>396</v>
      </c>
      <c r="K205" s="51" t="s">
        <v>142</v>
      </c>
      <c r="L205" s="51">
        <v>1236000416</v>
      </c>
      <c r="M205" s="51"/>
      <c r="N205" s="51" t="s">
        <v>144</v>
      </c>
      <c r="O205" s="138" t="s">
        <v>145</v>
      </c>
      <c r="P205" s="51" t="s">
        <v>146</v>
      </c>
      <c r="Q205" s="51" t="s">
        <v>147</v>
      </c>
      <c r="R205" s="51" t="s">
        <v>575</v>
      </c>
      <c r="S205" s="74">
        <v>14.92</v>
      </c>
      <c r="T205" s="74">
        <v>211222</v>
      </c>
      <c r="U205" s="74"/>
      <c r="V205" s="74">
        <v>211222</v>
      </c>
    </row>
    <row r="206" spans="1:22" ht="15" customHeight="1">
      <c r="A206" s="51">
        <f t="shared" si="15"/>
        <v>30</v>
      </c>
      <c r="B206" s="51" t="str">
        <f t="shared" si="15"/>
        <v>LN12000124</v>
      </c>
      <c r="C206" s="51" t="str">
        <f t="shared" si="15"/>
        <v>MARGA DINAMIK PERKASA PT.</v>
      </c>
      <c r="D206" s="51" t="str">
        <f t="shared" si="15"/>
        <v>S4</v>
      </c>
      <c r="E206" s="51" t="s">
        <v>537</v>
      </c>
      <c r="F206" s="51" t="s">
        <v>153</v>
      </c>
      <c r="G206" s="51" t="s">
        <v>141</v>
      </c>
      <c r="H206" s="51">
        <v>9235000003</v>
      </c>
      <c r="I206" s="51" t="s">
        <v>99</v>
      </c>
      <c r="J206" s="51">
        <v>226</v>
      </c>
      <c r="K206" s="51" t="s">
        <v>142</v>
      </c>
      <c r="L206" s="51">
        <v>1236000551</v>
      </c>
      <c r="M206" s="51"/>
      <c r="N206" s="51" t="s">
        <v>351</v>
      </c>
      <c r="O206" s="138" t="s">
        <v>352</v>
      </c>
      <c r="P206" s="51" t="s">
        <v>146</v>
      </c>
      <c r="Q206" s="51" t="s">
        <v>147</v>
      </c>
      <c r="R206" s="51" t="s">
        <v>575</v>
      </c>
      <c r="S206" s="74">
        <v>718.24</v>
      </c>
      <c r="T206" s="74">
        <v>7099802</v>
      </c>
      <c r="U206" s="74"/>
      <c r="V206" s="74">
        <v>7099802</v>
      </c>
    </row>
    <row r="207" spans="1:22" ht="15" customHeight="1">
      <c r="A207" s="51">
        <f t="shared" si="15"/>
        <v>30</v>
      </c>
      <c r="B207" s="51" t="str">
        <f t="shared" si="15"/>
        <v>LN12000124</v>
      </c>
      <c r="C207" s="51" t="str">
        <f t="shared" si="15"/>
        <v>MARGA DINAMIK PERKASA PT.</v>
      </c>
      <c r="D207" s="51" t="str">
        <f t="shared" si="15"/>
        <v>S4</v>
      </c>
      <c r="E207" s="51" t="s">
        <v>560</v>
      </c>
      <c r="F207" s="51" t="s">
        <v>153</v>
      </c>
      <c r="G207" s="51" t="s">
        <v>141</v>
      </c>
      <c r="H207" s="51">
        <v>9251000071</v>
      </c>
      <c r="I207" s="51" t="s">
        <v>78</v>
      </c>
      <c r="J207" s="51">
        <v>512</v>
      </c>
      <c r="K207" s="51" t="s">
        <v>142</v>
      </c>
      <c r="L207" s="51">
        <v>1256000646</v>
      </c>
      <c r="M207" s="51"/>
      <c r="N207" s="51" t="s">
        <v>144</v>
      </c>
      <c r="O207" s="138" t="s">
        <v>145</v>
      </c>
      <c r="P207" s="51" t="s">
        <v>146</v>
      </c>
      <c r="Q207" s="51" t="s">
        <v>147</v>
      </c>
      <c r="R207" s="51" t="s">
        <v>607</v>
      </c>
      <c r="S207" s="74">
        <v>7</v>
      </c>
      <c r="T207" s="74">
        <v>91752</v>
      </c>
      <c r="U207" s="74"/>
      <c r="V207" s="74">
        <v>91752</v>
      </c>
    </row>
    <row r="208" spans="1:22" ht="15" customHeight="1">
      <c r="A208" s="51">
        <f t="shared" si="15"/>
        <v>30</v>
      </c>
      <c r="B208" s="51" t="str">
        <f t="shared" si="15"/>
        <v>LN12000124</v>
      </c>
      <c r="C208" s="51" t="str">
        <f t="shared" si="15"/>
        <v>MARGA DINAMIK PERKASA PT.</v>
      </c>
      <c r="D208" s="51" t="str">
        <f t="shared" si="15"/>
        <v>S4</v>
      </c>
      <c r="E208" s="51" t="s">
        <v>560</v>
      </c>
      <c r="F208" s="51" t="s">
        <v>140</v>
      </c>
      <c r="G208" s="51" t="s">
        <v>141</v>
      </c>
      <c r="H208" s="51">
        <v>9251000090</v>
      </c>
      <c r="I208" s="51" t="s">
        <v>105</v>
      </c>
      <c r="J208" s="51">
        <v>430</v>
      </c>
      <c r="K208" s="51" t="s">
        <v>142</v>
      </c>
      <c r="L208" s="51">
        <v>1256000682</v>
      </c>
      <c r="M208" s="51"/>
      <c r="N208" s="51" t="s">
        <v>144</v>
      </c>
      <c r="O208" s="138" t="s">
        <v>145</v>
      </c>
      <c r="P208" s="51" t="s">
        <v>146</v>
      </c>
      <c r="Q208" s="51" t="s">
        <v>147</v>
      </c>
      <c r="R208" s="51" t="s">
        <v>607</v>
      </c>
      <c r="S208" s="74">
        <v>41.26</v>
      </c>
      <c r="T208" s="74">
        <v>481752</v>
      </c>
      <c r="U208" s="74"/>
      <c r="V208" s="74">
        <v>481752</v>
      </c>
    </row>
    <row r="209" spans="1:22" ht="15" customHeight="1">
      <c r="A209" s="51">
        <f t="shared" si="15"/>
        <v>30</v>
      </c>
      <c r="B209" s="51" t="str">
        <f t="shared" si="15"/>
        <v>LN12000124</v>
      </c>
      <c r="C209" s="51" t="str">
        <f t="shared" si="15"/>
        <v>MARGA DINAMIK PERKASA PT.</v>
      </c>
      <c r="D209" s="51" t="str">
        <f t="shared" si="15"/>
        <v>S4</v>
      </c>
      <c r="E209" s="51" t="s">
        <v>560</v>
      </c>
      <c r="F209" s="51" t="s">
        <v>140</v>
      </c>
      <c r="G209" s="51" t="s">
        <v>141</v>
      </c>
      <c r="H209" s="51">
        <v>9255000000</v>
      </c>
      <c r="I209" s="51" t="s">
        <v>106</v>
      </c>
      <c r="J209" s="51">
        <v>395</v>
      </c>
      <c r="K209" s="51" t="s">
        <v>142</v>
      </c>
      <c r="L209" s="51">
        <v>1256000701</v>
      </c>
      <c r="M209" s="51"/>
      <c r="N209" s="51" t="s">
        <v>144</v>
      </c>
      <c r="O209" s="138" t="s">
        <v>145</v>
      </c>
      <c r="P209" s="51" t="s">
        <v>146</v>
      </c>
      <c r="Q209" s="51" t="s">
        <v>147</v>
      </c>
      <c r="R209" s="51" t="s">
        <v>607</v>
      </c>
      <c r="S209" s="74">
        <v>8.1199999999999992</v>
      </c>
      <c r="T209" s="74">
        <v>112186</v>
      </c>
      <c r="U209" s="74"/>
      <c r="V209" s="74">
        <v>112186</v>
      </c>
    </row>
    <row r="210" spans="1:22" ht="15" customHeight="1">
      <c r="A210" s="51">
        <f t="shared" si="15"/>
        <v>30</v>
      </c>
      <c r="B210" s="51" t="str">
        <f t="shared" si="15"/>
        <v>LN12000124</v>
      </c>
      <c r="C210" s="51" t="str">
        <f t="shared" si="15"/>
        <v>MARGA DINAMIK PERKASA PT.</v>
      </c>
      <c r="D210" s="51" t="str">
        <f t="shared" si="15"/>
        <v>S4</v>
      </c>
      <c r="E210" s="51" t="s">
        <v>560</v>
      </c>
      <c r="F210" s="51" t="s">
        <v>140</v>
      </c>
      <c r="G210" s="51" t="s">
        <v>141</v>
      </c>
      <c r="H210" s="51">
        <v>9255000001</v>
      </c>
      <c r="I210" s="51" t="s">
        <v>106</v>
      </c>
      <c r="J210" s="51">
        <v>395</v>
      </c>
      <c r="K210" s="51" t="s">
        <v>142</v>
      </c>
      <c r="L210" s="51">
        <v>1256000700</v>
      </c>
      <c r="M210" s="51"/>
      <c r="N210" s="51" t="s">
        <v>144</v>
      </c>
      <c r="O210" s="138" t="s">
        <v>145</v>
      </c>
      <c r="P210" s="51" t="s">
        <v>146</v>
      </c>
      <c r="Q210" s="51" t="s">
        <v>147</v>
      </c>
      <c r="R210" s="51" t="s">
        <v>607</v>
      </c>
      <c r="S210" s="74">
        <v>1.32</v>
      </c>
      <c r="T210" s="74">
        <v>18237</v>
      </c>
      <c r="U210" s="74"/>
      <c r="V210" s="74">
        <v>18237</v>
      </c>
    </row>
    <row r="211" spans="1:22" ht="15" customHeight="1">
      <c r="A211" s="51">
        <f t="shared" si="15"/>
        <v>30</v>
      </c>
      <c r="B211" s="51" t="str">
        <f t="shared" si="15"/>
        <v>LN12000124</v>
      </c>
      <c r="C211" s="51" t="str">
        <f t="shared" si="15"/>
        <v>MARGA DINAMIK PERKASA PT.</v>
      </c>
      <c r="D211" s="51" t="str">
        <f t="shared" si="15"/>
        <v>S4</v>
      </c>
      <c r="E211" s="51" t="s">
        <v>558</v>
      </c>
      <c r="F211" s="51" t="s">
        <v>140</v>
      </c>
      <c r="G211" s="51" t="s">
        <v>141</v>
      </c>
      <c r="H211" s="51">
        <v>9310000002</v>
      </c>
      <c r="I211" s="51" t="s">
        <v>103</v>
      </c>
      <c r="J211" s="51">
        <v>493</v>
      </c>
      <c r="K211" s="51" t="s">
        <v>142</v>
      </c>
      <c r="L211" s="51">
        <v>1316000090</v>
      </c>
      <c r="M211" s="51"/>
      <c r="N211" s="51" t="s">
        <v>144</v>
      </c>
      <c r="O211" s="138" t="s">
        <v>145</v>
      </c>
      <c r="P211" s="51" t="s">
        <v>146</v>
      </c>
      <c r="Q211" s="51" t="s">
        <v>147</v>
      </c>
      <c r="R211" s="51" t="s">
        <v>608</v>
      </c>
      <c r="S211" s="74">
        <v>87.78</v>
      </c>
      <c r="T211" s="74">
        <v>1171161</v>
      </c>
      <c r="U211" s="74"/>
      <c r="V211" s="74">
        <v>1171161</v>
      </c>
    </row>
    <row r="212" spans="1:22" ht="15" customHeight="1">
      <c r="A212" s="51">
        <f t="shared" si="15"/>
        <v>30</v>
      </c>
      <c r="B212" s="51" t="str">
        <f t="shared" si="15"/>
        <v>LN12000124</v>
      </c>
      <c r="C212" s="51" t="str">
        <f t="shared" si="15"/>
        <v>MARGA DINAMIK PERKASA PT.</v>
      </c>
      <c r="D212" s="51" t="str">
        <f t="shared" si="15"/>
        <v>S4</v>
      </c>
      <c r="E212" s="51" t="s">
        <v>538</v>
      </c>
      <c r="F212" s="51" t="s">
        <v>140</v>
      </c>
      <c r="G212" s="51" t="s">
        <v>141</v>
      </c>
      <c r="H212" s="51">
        <v>9335000003</v>
      </c>
      <c r="I212" s="51" t="s">
        <v>101</v>
      </c>
      <c r="J212" s="51">
        <v>116</v>
      </c>
      <c r="K212" s="51" t="s">
        <v>142</v>
      </c>
      <c r="L212" s="51">
        <v>1336000337</v>
      </c>
      <c r="M212" s="51"/>
      <c r="N212" s="51" t="s">
        <v>334</v>
      </c>
      <c r="O212" s="138" t="s">
        <v>297</v>
      </c>
      <c r="P212" s="51" t="s">
        <v>146</v>
      </c>
      <c r="Q212" s="51" t="s">
        <v>147</v>
      </c>
      <c r="R212" s="51" t="s">
        <v>609</v>
      </c>
      <c r="S212" s="74">
        <v>115.91</v>
      </c>
      <c r="T212" s="74">
        <v>1692634</v>
      </c>
      <c r="U212" s="74"/>
      <c r="V212" s="74">
        <v>1692634</v>
      </c>
    </row>
    <row r="213" spans="1:22" ht="15" customHeight="1">
      <c r="A213" s="51">
        <f t="shared" si="15"/>
        <v>30</v>
      </c>
      <c r="B213" s="51" t="str">
        <f t="shared" si="15"/>
        <v>LN12000124</v>
      </c>
      <c r="C213" s="51" t="str">
        <f t="shared" si="15"/>
        <v>MARGA DINAMIK PERKASA PT.</v>
      </c>
      <c r="D213" s="51" t="str">
        <f t="shared" si="15"/>
        <v>S4</v>
      </c>
      <c r="E213" s="51" t="s">
        <v>538</v>
      </c>
      <c r="F213" s="51" t="s">
        <v>140</v>
      </c>
      <c r="G213" s="51" t="s">
        <v>141</v>
      </c>
      <c r="H213" s="51">
        <v>1005002153</v>
      </c>
      <c r="I213" s="51" t="s">
        <v>62</v>
      </c>
      <c r="J213" s="51">
        <v>52</v>
      </c>
      <c r="K213" s="51" t="s">
        <v>142</v>
      </c>
      <c r="L213" s="51">
        <v>1001026191</v>
      </c>
      <c r="M213" s="51" t="s">
        <v>610</v>
      </c>
      <c r="N213" s="51" t="s">
        <v>144</v>
      </c>
      <c r="O213" s="138" t="s">
        <v>145</v>
      </c>
      <c r="P213" s="51" t="s">
        <v>146</v>
      </c>
      <c r="Q213" s="51" t="s">
        <v>147</v>
      </c>
      <c r="R213" s="51" t="s">
        <v>148</v>
      </c>
      <c r="S213" s="74">
        <v>2.0699999999999998</v>
      </c>
      <c r="T213" s="74">
        <v>28270</v>
      </c>
      <c r="U213" s="74"/>
      <c r="V213" s="74">
        <v>28270</v>
      </c>
    </row>
    <row r="214" spans="1:22" ht="15" customHeight="1">
      <c r="A214" s="51">
        <f t="shared" si="15"/>
        <v>30</v>
      </c>
      <c r="B214" s="51" t="str">
        <f t="shared" si="15"/>
        <v>LN12000124</v>
      </c>
      <c r="C214" s="51" t="str">
        <f t="shared" si="15"/>
        <v>MARGA DINAMIK PERKASA PT.</v>
      </c>
      <c r="D214" s="51" t="str">
        <f t="shared" si="15"/>
        <v>S4</v>
      </c>
      <c r="E214" s="51" t="s">
        <v>605</v>
      </c>
      <c r="F214" s="51" t="s">
        <v>140</v>
      </c>
      <c r="G214" s="51" t="s">
        <v>141</v>
      </c>
      <c r="H214" s="51">
        <v>1005000381</v>
      </c>
      <c r="I214" s="51" t="s">
        <v>120</v>
      </c>
      <c r="J214" s="51">
        <v>343</v>
      </c>
      <c r="K214" s="51" t="s">
        <v>142</v>
      </c>
      <c r="L214" s="51">
        <v>1001019864</v>
      </c>
      <c r="M214" s="51" t="s">
        <v>611</v>
      </c>
      <c r="N214" s="51" t="s">
        <v>144</v>
      </c>
      <c r="O214" s="138" t="s">
        <v>145</v>
      </c>
      <c r="P214" s="51" t="s">
        <v>146</v>
      </c>
      <c r="Q214" s="51" t="s">
        <v>147</v>
      </c>
      <c r="R214" s="51" t="s">
        <v>148</v>
      </c>
      <c r="S214" s="74">
        <v>17050</v>
      </c>
      <c r="T214" s="74">
        <v>1705000</v>
      </c>
      <c r="U214" s="74"/>
      <c r="V214" s="74">
        <v>1705000</v>
      </c>
    </row>
    <row r="215" spans="1:22" ht="15" customHeight="1">
      <c r="A215" s="56"/>
      <c r="B215" s="56" t="s">
        <v>149</v>
      </c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139"/>
      <c r="P215" s="56" t="s">
        <v>146</v>
      </c>
      <c r="Q215" s="56"/>
      <c r="R215" s="56"/>
      <c r="S215" s="58">
        <v>24106.62</v>
      </c>
      <c r="T215" s="58">
        <v>17263516</v>
      </c>
      <c r="U215" s="58"/>
      <c r="V215" s="58">
        <v>17263516</v>
      </c>
    </row>
    <row r="216" spans="1:22" ht="15" customHeight="1">
      <c r="A216" s="59"/>
      <c r="B216" s="59" t="s">
        <v>624</v>
      </c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140"/>
      <c r="P216" s="59" t="s">
        <v>146</v>
      </c>
      <c r="Q216" s="59"/>
      <c r="R216" s="59"/>
      <c r="S216" s="61">
        <v>68448580.400000006</v>
      </c>
      <c r="T216" s="61">
        <v>12711532886</v>
      </c>
      <c r="U216" s="61"/>
      <c r="V216" s="61">
        <v>12711532886</v>
      </c>
    </row>
  </sheetData>
  <autoFilter ref="A8:V8" xr:uid="{00000000-0009-0000-0000-000010000000}"/>
  <mergeCells count="23">
    <mergeCell ref="F5:F7"/>
    <mergeCell ref="A5:A7"/>
    <mergeCell ref="B5:B7"/>
    <mergeCell ref="C5:C7"/>
    <mergeCell ref="D5:D7"/>
    <mergeCell ref="E5:E7"/>
    <mergeCell ref="R5:R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S5:V5"/>
    <mergeCell ref="S6:S7"/>
    <mergeCell ref="T6:T7"/>
    <mergeCell ref="U6:U7"/>
    <mergeCell ref="V6:V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V112"/>
  <sheetViews>
    <sheetView workbookViewId="0">
      <pane xSplit="3" ySplit="8" topLeftCell="D107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9.1796875" defaultRowHeight="14.5"/>
  <cols>
    <col min="1" max="1" width="4.453125" style="63" customWidth="1"/>
    <col min="2" max="2" width="14.81640625" style="63" hidden="1" customWidth="1"/>
    <col min="3" max="3" width="36.54296875" style="63" bestFit="1" customWidth="1"/>
    <col min="4" max="4" width="24.81640625" style="63" customWidth="1"/>
    <col min="5" max="5" width="36.54296875" style="63" hidden="1" customWidth="1"/>
    <col min="6" max="6" width="30.26953125" style="63" hidden="1" customWidth="1"/>
    <col min="7" max="7" width="4.453125" style="63" hidden="1" customWidth="1"/>
    <col min="8" max="8" width="12.453125" style="63" hidden="1" customWidth="1"/>
    <col min="9" max="9" width="12.453125" style="63" bestFit="1" customWidth="1"/>
    <col min="10" max="10" width="9.7265625" style="137" customWidth="1"/>
    <col min="11" max="11" width="12.453125" style="63" hidden="1" customWidth="1"/>
    <col min="12" max="12" width="12.453125" style="63" bestFit="1" customWidth="1"/>
    <col min="13" max="13" width="36.54296875" style="63" hidden="1" customWidth="1"/>
    <col min="14" max="14" width="18.453125" style="63" hidden="1" customWidth="1"/>
    <col min="15" max="15" width="16.1796875" style="137" customWidth="1"/>
    <col min="16" max="16" width="4.453125" style="63" hidden="1" customWidth="1"/>
    <col min="17" max="18" width="6.7265625" style="63" hidden="1" customWidth="1"/>
    <col min="19" max="19" width="18.453125" style="65" bestFit="1" customWidth="1"/>
    <col min="20" max="21" width="30.26953125" style="65" hidden="1" customWidth="1"/>
    <col min="22" max="22" width="24.26953125" style="65" customWidth="1"/>
    <col min="23" max="16384" width="9.1796875" style="63"/>
  </cols>
  <sheetData>
    <row r="1" spans="1:22">
      <c r="A1" s="62" t="s">
        <v>625</v>
      </c>
    </row>
    <row r="2" spans="1:22">
      <c r="A2" s="62" t="s">
        <v>691</v>
      </c>
    </row>
    <row r="3" spans="1:22">
      <c r="A3" s="4" t="s">
        <v>644</v>
      </c>
    </row>
    <row r="4" spans="1:22">
      <c r="A4" s="66"/>
    </row>
    <row r="5" spans="1:22" ht="15" customHeight="1">
      <c r="A5" s="202" t="s">
        <v>124</v>
      </c>
      <c r="B5" s="202" t="s">
        <v>125</v>
      </c>
      <c r="C5" s="202" t="s">
        <v>126</v>
      </c>
      <c r="D5" s="208" t="s">
        <v>127</v>
      </c>
      <c r="E5" s="202" t="s">
        <v>128</v>
      </c>
      <c r="F5" s="202" t="s">
        <v>129</v>
      </c>
      <c r="G5" s="202" t="s">
        <v>0</v>
      </c>
      <c r="H5" s="202" t="s">
        <v>130</v>
      </c>
      <c r="I5" s="202" t="s">
        <v>131</v>
      </c>
      <c r="J5" s="202" t="s">
        <v>635</v>
      </c>
      <c r="K5" s="202" t="s">
        <v>132</v>
      </c>
      <c r="L5" s="202" t="s">
        <v>707</v>
      </c>
      <c r="M5" s="205" t="s">
        <v>133</v>
      </c>
      <c r="N5" s="202" t="s">
        <v>134</v>
      </c>
      <c r="O5" s="208" t="s">
        <v>637</v>
      </c>
      <c r="P5" s="202" t="s">
        <v>1</v>
      </c>
      <c r="Q5" s="202" t="s">
        <v>2</v>
      </c>
      <c r="R5" s="202" t="s">
        <v>638</v>
      </c>
      <c r="S5" s="193" t="s">
        <v>639</v>
      </c>
      <c r="T5" s="194"/>
      <c r="U5" s="194"/>
      <c r="V5" s="195"/>
    </row>
    <row r="6" spans="1:22" ht="15" customHeight="1">
      <c r="A6" s="203"/>
      <c r="B6" s="203"/>
      <c r="C6" s="203"/>
      <c r="D6" s="209"/>
      <c r="E6" s="203"/>
      <c r="F6" s="203"/>
      <c r="G6" s="203"/>
      <c r="H6" s="203"/>
      <c r="I6" s="203"/>
      <c r="J6" s="203"/>
      <c r="K6" s="203"/>
      <c r="L6" s="203"/>
      <c r="M6" s="206"/>
      <c r="N6" s="203"/>
      <c r="O6" s="209"/>
      <c r="P6" s="203"/>
      <c r="Q6" s="203"/>
      <c r="R6" s="203"/>
      <c r="S6" s="196" t="s">
        <v>640</v>
      </c>
      <c r="T6" s="198" t="s">
        <v>641</v>
      </c>
      <c r="U6" s="198" t="s">
        <v>642</v>
      </c>
      <c r="V6" s="200" t="s">
        <v>643</v>
      </c>
    </row>
    <row r="7" spans="1:22" ht="15" customHeight="1">
      <c r="A7" s="204"/>
      <c r="B7" s="204"/>
      <c r="C7" s="204"/>
      <c r="D7" s="210"/>
      <c r="E7" s="204"/>
      <c r="F7" s="204"/>
      <c r="G7" s="204"/>
      <c r="H7" s="204"/>
      <c r="I7" s="204"/>
      <c r="J7" s="204"/>
      <c r="K7" s="204"/>
      <c r="L7" s="204"/>
      <c r="M7" s="207"/>
      <c r="N7" s="204"/>
      <c r="O7" s="210"/>
      <c r="P7" s="204"/>
      <c r="Q7" s="204"/>
      <c r="R7" s="204"/>
      <c r="S7" s="197"/>
      <c r="T7" s="199"/>
      <c r="U7" s="199"/>
      <c r="V7" s="201"/>
    </row>
    <row r="8" spans="1:22" ht="15" customHeight="1">
      <c r="A8" s="67" t="s">
        <v>124</v>
      </c>
      <c r="B8" s="67" t="s">
        <v>627</v>
      </c>
      <c r="C8" s="67" t="s">
        <v>126</v>
      </c>
      <c r="D8" s="67" t="s">
        <v>628</v>
      </c>
      <c r="E8" s="67" t="s">
        <v>128</v>
      </c>
      <c r="F8" s="67" t="s">
        <v>633</v>
      </c>
      <c r="G8" s="67" t="s">
        <v>0</v>
      </c>
      <c r="H8" s="67" t="s">
        <v>634</v>
      </c>
      <c r="I8" s="67" t="s">
        <v>131</v>
      </c>
      <c r="J8" s="67" t="s">
        <v>635</v>
      </c>
      <c r="K8" s="67" t="s">
        <v>132</v>
      </c>
      <c r="L8" s="67" t="s">
        <v>636</v>
      </c>
      <c r="M8" s="68" t="s">
        <v>133</v>
      </c>
      <c r="N8" s="67" t="s">
        <v>134</v>
      </c>
      <c r="O8" s="67" t="s">
        <v>637</v>
      </c>
      <c r="P8" s="67" t="s">
        <v>1</v>
      </c>
      <c r="Q8" s="67" t="s">
        <v>2</v>
      </c>
      <c r="R8" s="67" t="s">
        <v>638</v>
      </c>
      <c r="S8" s="70" t="s">
        <v>640</v>
      </c>
      <c r="T8" s="70" t="s">
        <v>641</v>
      </c>
      <c r="U8" s="71" t="s">
        <v>642</v>
      </c>
      <c r="V8" s="72" t="s">
        <v>643</v>
      </c>
    </row>
    <row r="9" spans="1:22" ht="15" customHeight="1">
      <c r="A9" s="51">
        <v>1</v>
      </c>
      <c r="B9" s="51" t="s">
        <v>167</v>
      </c>
      <c r="C9" s="51" t="s">
        <v>168</v>
      </c>
      <c r="D9" s="51" t="s">
        <v>169</v>
      </c>
      <c r="E9" s="51" t="s">
        <v>168</v>
      </c>
      <c r="F9" s="51" t="s">
        <v>170</v>
      </c>
      <c r="G9" s="51" t="s">
        <v>141</v>
      </c>
      <c r="H9" s="51">
        <v>1641000005</v>
      </c>
      <c r="I9" s="51" t="s">
        <v>11</v>
      </c>
      <c r="J9" s="138">
        <v>14</v>
      </c>
      <c r="K9" s="51" t="s">
        <v>171</v>
      </c>
      <c r="L9" s="51">
        <v>1641000171</v>
      </c>
      <c r="M9" s="51" t="s">
        <v>172</v>
      </c>
      <c r="N9" s="51" t="s">
        <v>144</v>
      </c>
      <c r="O9" s="138" t="s">
        <v>145</v>
      </c>
      <c r="P9" s="51" t="s">
        <v>146</v>
      </c>
      <c r="Q9" s="51" t="s">
        <v>147</v>
      </c>
      <c r="R9" s="51" t="s">
        <v>173</v>
      </c>
      <c r="S9" s="74">
        <v>87090</v>
      </c>
      <c r="T9" s="74">
        <v>15041000</v>
      </c>
      <c r="U9" s="74"/>
      <c r="V9" s="74">
        <v>15041000</v>
      </c>
    </row>
    <row r="10" spans="1:22" ht="15" customHeight="1">
      <c r="A10" s="51">
        <v>1</v>
      </c>
      <c r="B10" s="51" t="s">
        <v>167</v>
      </c>
      <c r="C10" s="51" t="s">
        <v>168</v>
      </c>
      <c r="D10" s="51" t="s">
        <v>169</v>
      </c>
      <c r="E10" s="51" t="s">
        <v>168</v>
      </c>
      <c r="F10" s="51" t="s">
        <v>170</v>
      </c>
      <c r="G10" s="51" t="s">
        <v>141</v>
      </c>
      <c r="H10" s="51">
        <v>1641000006</v>
      </c>
      <c r="I10" s="51" t="s">
        <v>11</v>
      </c>
      <c r="J10" s="138">
        <v>14</v>
      </c>
      <c r="K10" s="51" t="s">
        <v>171</v>
      </c>
      <c r="L10" s="51">
        <v>1641000171</v>
      </c>
      <c r="M10" s="51" t="s">
        <v>172</v>
      </c>
      <c r="N10" s="51" t="s">
        <v>144</v>
      </c>
      <c r="O10" s="138" t="s">
        <v>145</v>
      </c>
      <c r="P10" s="51" t="s">
        <v>146</v>
      </c>
      <c r="Q10" s="51" t="s">
        <v>147</v>
      </c>
      <c r="R10" s="51" t="s">
        <v>173</v>
      </c>
      <c r="S10" s="74">
        <v>170140</v>
      </c>
      <c r="T10" s="74">
        <v>19379000</v>
      </c>
      <c r="U10" s="74"/>
      <c r="V10" s="74">
        <v>19379000</v>
      </c>
    </row>
    <row r="11" spans="1:22" ht="15" customHeight="1">
      <c r="A11" s="56"/>
      <c r="B11" s="56" t="s">
        <v>149</v>
      </c>
      <c r="C11" s="56"/>
      <c r="D11" s="56"/>
      <c r="E11" s="56"/>
      <c r="F11" s="56"/>
      <c r="G11" s="56"/>
      <c r="H11" s="56"/>
      <c r="I11" s="56"/>
      <c r="J11" s="139"/>
      <c r="K11" s="56"/>
      <c r="L11" s="56"/>
      <c r="M11" s="56"/>
      <c r="N11" s="56"/>
      <c r="O11" s="139"/>
      <c r="P11" s="56" t="s">
        <v>146</v>
      </c>
      <c r="Q11" s="56"/>
      <c r="R11" s="56"/>
      <c r="S11" s="58">
        <v>257230</v>
      </c>
      <c r="T11" s="58">
        <v>34420000</v>
      </c>
      <c r="U11" s="58"/>
      <c r="V11" s="58">
        <v>34420000</v>
      </c>
    </row>
    <row r="12" spans="1:22" ht="15" customHeight="1">
      <c r="A12" s="51">
        <v>2</v>
      </c>
      <c r="B12" s="51" t="s">
        <v>174</v>
      </c>
      <c r="C12" s="51" t="s">
        <v>175</v>
      </c>
      <c r="D12" s="51" t="s">
        <v>176</v>
      </c>
      <c r="E12" s="51" t="s">
        <v>175</v>
      </c>
      <c r="F12" s="51" t="s">
        <v>170</v>
      </c>
      <c r="G12" s="51" t="s">
        <v>141</v>
      </c>
      <c r="H12" s="51">
        <v>1005002444</v>
      </c>
      <c r="I12" s="51" t="s">
        <v>12</v>
      </c>
      <c r="J12" s="138">
        <v>10</v>
      </c>
      <c r="K12" s="51" t="s">
        <v>171</v>
      </c>
      <c r="L12" s="51">
        <v>1001027675</v>
      </c>
      <c r="M12" s="51" t="s">
        <v>177</v>
      </c>
      <c r="N12" s="51" t="s">
        <v>178</v>
      </c>
      <c r="O12" s="138" t="s">
        <v>179</v>
      </c>
      <c r="P12" s="51" t="s">
        <v>146</v>
      </c>
      <c r="Q12" s="51" t="s">
        <v>147</v>
      </c>
      <c r="R12" s="51" t="s">
        <v>148</v>
      </c>
      <c r="S12" s="74">
        <v>1961.4</v>
      </c>
      <c r="T12" s="74">
        <v>2059471</v>
      </c>
      <c r="U12" s="74"/>
      <c r="V12" s="74">
        <v>2059471</v>
      </c>
    </row>
    <row r="13" spans="1:22" ht="15" customHeight="1">
      <c r="A13" s="56"/>
      <c r="B13" s="56" t="s">
        <v>149</v>
      </c>
      <c r="C13" s="56"/>
      <c r="D13" s="56"/>
      <c r="E13" s="56"/>
      <c r="F13" s="56"/>
      <c r="G13" s="56"/>
      <c r="H13" s="56"/>
      <c r="I13" s="56"/>
      <c r="J13" s="139"/>
      <c r="K13" s="56"/>
      <c r="L13" s="56"/>
      <c r="M13" s="56"/>
      <c r="N13" s="56"/>
      <c r="O13" s="139"/>
      <c r="P13" s="56" t="s">
        <v>146</v>
      </c>
      <c r="Q13" s="56"/>
      <c r="R13" s="56"/>
      <c r="S13" s="58">
        <v>1961.4</v>
      </c>
      <c r="T13" s="58">
        <v>2059471</v>
      </c>
      <c r="U13" s="58"/>
      <c r="V13" s="58">
        <v>2059471</v>
      </c>
    </row>
    <row r="14" spans="1:22" ht="15" customHeight="1">
      <c r="A14" s="51">
        <v>3</v>
      </c>
      <c r="B14" s="51" t="s">
        <v>210</v>
      </c>
      <c r="C14" s="51" t="s">
        <v>211</v>
      </c>
      <c r="D14" s="51" t="s">
        <v>212</v>
      </c>
      <c r="E14" s="51" t="s">
        <v>211</v>
      </c>
      <c r="F14" s="51" t="s">
        <v>170</v>
      </c>
      <c r="G14" s="51" t="s">
        <v>141</v>
      </c>
      <c r="H14" s="51">
        <v>1005002054</v>
      </c>
      <c r="I14" s="51" t="s">
        <v>8</v>
      </c>
      <c r="J14" s="138">
        <v>66</v>
      </c>
      <c r="K14" s="51" t="s">
        <v>171</v>
      </c>
      <c r="L14" s="51">
        <v>1001023967</v>
      </c>
      <c r="M14" s="51" t="s">
        <v>213</v>
      </c>
      <c r="N14" s="51" t="s">
        <v>178</v>
      </c>
      <c r="O14" s="138" t="s">
        <v>179</v>
      </c>
      <c r="P14" s="51" t="s">
        <v>146</v>
      </c>
      <c r="Q14" s="51" t="s">
        <v>147</v>
      </c>
      <c r="R14" s="51" t="s">
        <v>148</v>
      </c>
      <c r="S14" s="74">
        <v>409.77</v>
      </c>
      <c r="T14" s="74">
        <v>363056</v>
      </c>
      <c r="U14" s="74"/>
      <c r="V14" s="74">
        <v>363056</v>
      </c>
    </row>
    <row r="15" spans="1:22" ht="15" customHeight="1">
      <c r="A15" s="51">
        <v>3</v>
      </c>
      <c r="B15" s="51" t="s">
        <v>210</v>
      </c>
      <c r="C15" s="51" t="s">
        <v>211</v>
      </c>
      <c r="D15" s="51" t="s">
        <v>212</v>
      </c>
      <c r="E15" s="51" t="s">
        <v>211</v>
      </c>
      <c r="F15" s="51" t="s">
        <v>170</v>
      </c>
      <c r="G15" s="51" t="s">
        <v>141</v>
      </c>
      <c r="H15" s="51">
        <v>1005002055</v>
      </c>
      <c r="I15" s="51" t="s">
        <v>8</v>
      </c>
      <c r="J15" s="138">
        <v>66</v>
      </c>
      <c r="K15" s="51" t="s">
        <v>171</v>
      </c>
      <c r="L15" s="51">
        <v>1001024501</v>
      </c>
      <c r="M15" s="51" t="s">
        <v>214</v>
      </c>
      <c r="N15" s="51" t="s">
        <v>178</v>
      </c>
      <c r="O15" s="138" t="s">
        <v>179</v>
      </c>
      <c r="P15" s="51" t="s">
        <v>146</v>
      </c>
      <c r="Q15" s="51" t="s">
        <v>147</v>
      </c>
      <c r="R15" s="51" t="s">
        <v>148</v>
      </c>
      <c r="S15" s="74">
        <v>2886.31</v>
      </c>
      <c r="T15" s="74">
        <v>2557271</v>
      </c>
      <c r="U15" s="74"/>
      <c r="V15" s="74">
        <v>2557271</v>
      </c>
    </row>
    <row r="16" spans="1:22" ht="15" customHeight="1">
      <c r="A16" s="56"/>
      <c r="B16" s="56" t="s">
        <v>149</v>
      </c>
      <c r="C16" s="56"/>
      <c r="D16" s="56"/>
      <c r="E16" s="56"/>
      <c r="F16" s="56"/>
      <c r="G16" s="56"/>
      <c r="H16" s="56"/>
      <c r="I16" s="56"/>
      <c r="J16" s="139"/>
      <c r="K16" s="56"/>
      <c r="L16" s="56"/>
      <c r="M16" s="56"/>
      <c r="N16" s="56"/>
      <c r="O16" s="139"/>
      <c r="P16" s="56" t="s">
        <v>146</v>
      </c>
      <c r="Q16" s="56"/>
      <c r="R16" s="56"/>
      <c r="S16" s="58">
        <v>3296.08</v>
      </c>
      <c r="T16" s="58">
        <v>2920327</v>
      </c>
      <c r="U16" s="58"/>
      <c r="V16" s="58">
        <v>2920327</v>
      </c>
    </row>
    <row r="17" spans="1:22" ht="15" customHeight="1">
      <c r="A17" s="51">
        <v>4</v>
      </c>
      <c r="B17" s="51" t="s">
        <v>215</v>
      </c>
      <c r="C17" s="51" t="s">
        <v>216</v>
      </c>
      <c r="D17" s="51" t="s">
        <v>217</v>
      </c>
      <c r="E17" s="51" t="s">
        <v>216</v>
      </c>
      <c r="F17" s="51" t="s">
        <v>170</v>
      </c>
      <c r="G17" s="51" t="s">
        <v>141</v>
      </c>
      <c r="H17" s="51">
        <v>1005002475</v>
      </c>
      <c r="I17" s="51" t="s">
        <v>28</v>
      </c>
      <c r="J17" s="138">
        <v>8</v>
      </c>
      <c r="K17" s="51" t="s">
        <v>171</v>
      </c>
      <c r="L17" s="51">
        <v>1001026184</v>
      </c>
      <c r="M17" s="51" t="s">
        <v>218</v>
      </c>
      <c r="N17" s="51" t="s">
        <v>178</v>
      </c>
      <c r="O17" s="138" t="s">
        <v>179</v>
      </c>
      <c r="P17" s="51" t="s">
        <v>146</v>
      </c>
      <c r="Q17" s="51" t="s">
        <v>147</v>
      </c>
      <c r="R17" s="51" t="s">
        <v>148</v>
      </c>
      <c r="S17" s="74">
        <v>3492.5</v>
      </c>
      <c r="T17" s="74">
        <v>4540250</v>
      </c>
      <c r="U17" s="74"/>
      <c r="V17" s="74">
        <v>4540250</v>
      </c>
    </row>
    <row r="18" spans="1:22" ht="15" customHeight="1">
      <c r="A18" s="56"/>
      <c r="B18" s="56" t="s">
        <v>149</v>
      </c>
      <c r="C18" s="56"/>
      <c r="D18" s="56"/>
      <c r="E18" s="56"/>
      <c r="F18" s="56"/>
      <c r="G18" s="56"/>
      <c r="H18" s="56"/>
      <c r="I18" s="56"/>
      <c r="J18" s="139"/>
      <c r="K18" s="56"/>
      <c r="L18" s="56"/>
      <c r="M18" s="56"/>
      <c r="N18" s="56"/>
      <c r="O18" s="139"/>
      <c r="P18" s="56" t="s">
        <v>146</v>
      </c>
      <c r="Q18" s="56"/>
      <c r="R18" s="56"/>
      <c r="S18" s="58">
        <v>3492.5</v>
      </c>
      <c r="T18" s="58">
        <v>4540250</v>
      </c>
      <c r="U18" s="58"/>
      <c r="V18" s="58">
        <v>4540250</v>
      </c>
    </row>
    <row r="19" spans="1:22" ht="15" customHeight="1">
      <c r="A19" s="51">
        <v>5</v>
      </c>
      <c r="B19" s="51" t="s">
        <v>219</v>
      </c>
      <c r="C19" s="51" t="s">
        <v>220</v>
      </c>
      <c r="D19" s="51" t="s">
        <v>221</v>
      </c>
      <c r="E19" s="51" t="s">
        <v>220</v>
      </c>
      <c r="F19" s="51" t="s">
        <v>170</v>
      </c>
      <c r="G19" s="51" t="s">
        <v>141</v>
      </c>
      <c r="H19" s="51">
        <v>1005002476</v>
      </c>
      <c r="I19" s="51" t="s">
        <v>28</v>
      </c>
      <c r="J19" s="138">
        <v>8</v>
      </c>
      <c r="K19" s="51" t="s">
        <v>171</v>
      </c>
      <c r="L19" s="51">
        <v>1001027576</v>
      </c>
      <c r="M19" s="51" t="s">
        <v>222</v>
      </c>
      <c r="N19" s="51" t="s">
        <v>178</v>
      </c>
      <c r="O19" s="138" t="s">
        <v>179</v>
      </c>
      <c r="P19" s="51" t="s">
        <v>146</v>
      </c>
      <c r="Q19" s="51" t="s">
        <v>147</v>
      </c>
      <c r="R19" s="51" t="s">
        <v>148</v>
      </c>
      <c r="S19" s="74">
        <v>1837.19</v>
      </c>
      <c r="T19" s="74">
        <v>1708587</v>
      </c>
      <c r="U19" s="74"/>
      <c r="V19" s="74">
        <v>1708587</v>
      </c>
    </row>
    <row r="20" spans="1:22" ht="15" customHeight="1">
      <c r="A20" s="56"/>
      <c r="B20" s="56" t="s">
        <v>149</v>
      </c>
      <c r="C20" s="56"/>
      <c r="D20" s="56"/>
      <c r="E20" s="56"/>
      <c r="F20" s="56"/>
      <c r="G20" s="56"/>
      <c r="H20" s="56"/>
      <c r="I20" s="56"/>
      <c r="J20" s="139"/>
      <c r="K20" s="56"/>
      <c r="L20" s="56"/>
      <c r="M20" s="56"/>
      <c r="N20" s="56"/>
      <c r="O20" s="139"/>
      <c r="P20" s="56" t="s">
        <v>146</v>
      </c>
      <c r="Q20" s="56"/>
      <c r="R20" s="56"/>
      <c r="S20" s="58">
        <v>1837.19</v>
      </c>
      <c r="T20" s="58">
        <v>1708587</v>
      </c>
      <c r="U20" s="58"/>
      <c r="V20" s="58">
        <v>1708587</v>
      </c>
    </row>
    <row r="21" spans="1:22" ht="15" customHeight="1">
      <c r="A21" s="51">
        <v>6</v>
      </c>
      <c r="B21" s="51" t="s">
        <v>242</v>
      </c>
      <c r="C21" s="51" t="s">
        <v>243</v>
      </c>
      <c r="D21" s="51" t="s">
        <v>244</v>
      </c>
      <c r="E21" s="51" t="s">
        <v>243</v>
      </c>
      <c r="F21" s="51" t="s">
        <v>170</v>
      </c>
      <c r="G21" s="51" t="s">
        <v>141</v>
      </c>
      <c r="H21" s="51">
        <v>1005002268</v>
      </c>
      <c r="I21" s="51" t="s">
        <v>43</v>
      </c>
      <c r="J21" s="138">
        <v>38</v>
      </c>
      <c r="K21" s="51" t="s">
        <v>171</v>
      </c>
      <c r="L21" s="51">
        <v>1001024249</v>
      </c>
      <c r="M21" s="51" t="s">
        <v>245</v>
      </c>
      <c r="N21" s="51" t="s">
        <v>178</v>
      </c>
      <c r="O21" s="138" t="s">
        <v>179</v>
      </c>
      <c r="P21" s="51" t="s">
        <v>146</v>
      </c>
      <c r="Q21" s="51" t="s">
        <v>147</v>
      </c>
      <c r="R21" s="51" t="s">
        <v>148</v>
      </c>
      <c r="S21" s="74">
        <v>32240.959999999999</v>
      </c>
      <c r="T21" s="74">
        <v>30628924</v>
      </c>
      <c r="U21" s="74"/>
      <c r="V21" s="74">
        <v>30628924</v>
      </c>
    </row>
    <row r="22" spans="1:22" ht="15" customHeight="1">
      <c r="A22" s="51">
        <v>6</v>
      </c>
      <c r="B22" s="51" t="s">
        <v>242</v>
      </c>
      <c r="C22" s="51" t="s">
        <v>243</v>
      </c>
      <c r="D22" s="51" t="s">
        <v>244</v>
      </c>
      <c r="E22" s="51" t="s">
        <v>243</v>
      </c>
      <c r="F22" s="51" t="s">
        <v>170</v>
      </c>
      <c r="G22" s="51" t="s">
        <v>141</v>
      </c>
      <c r="H22" s="51">
        <v>1005002269</v>
      </c>
      <c r="I22" s="51" t="s">
        <v>43</v>
      </c>
      <c r="J22" s="138">
        <v>38</v>
      </c>
      <c r="K22" s="51" t="s">
        <v>171</v>
      </c>
      <c r="L22" s="51">
        <v>1001024905</v>
      </c>
      <c r="M22" s="51" t="s">
        <v>246</v>
      </c>
      <c r="N22" s="51" t="s">
        <v>178</v>
      </c>
      <c r="O22" s="138" t="s">
        <v>179</v>
      </c>
      <c r="P22" s="51" t="s">
        <v>146</v>
      </c>
      <c r="Q22" s="51" t="s">
        <v>147</v>
      </c>
      <c r="R22" s="51" t="s">
        <v>148</v>
      </c>
      <c r="S22" s="74">
        <v>26396.44</v>
      </c>
      <c r="T22" s="74">
        <v>29564013</v>
      </c>
      <c r="U22" s="74"/>
      <c r="V22" s="74">
        <v>29564013</v>
      </c>
    </row>
    <row r="23" spans="1:22" ht="15" customHeight="1">
      <c r="A23" s="51">
        <v>6</v>
      </c>
      <c r="B23" s="51" t="s">
        <v>242</v>
      </c>
      <c r="C23" s="51" t="s">
        <v>243</v>
      </c>
      <c r="D23" s="51" t="s">
        <v>244</v>
      </c>
      <c r="E23" s="51" t="s">
        <v>243</v>
      </c>
      <c r="F23" s="51" t="s">
        <v>170</v>
      </c>
      <c r="G23" s="51" t="s">
        <v>141</v>
      </c>
      <c r="H23" s="51">
        <v>2015</v>
      </c>
      <c r="I23" s="51" t="s">
        <v>44</v>
      </c>
      <c r="J23" s="138">
        <v>422</v>
      </c>
      <c r="K23" s="51" t="s">
        <v>171</v>
      </c>
      <c r="L23" s="51">
        <v>1001018477</v>
      </c>
      <c r="M23" s="51">
        <v>1004018477</v>
      </c>
      <c r="N23" s="51" t="s">
        <v>178</v>
      </c>
      <c r="O23" s="138" t="s">
        <v>179</v>
      </c>
      <c r="P23" s="51" t="s">
        <v>146</v>
      </c>
      <c r="Q23" s="51" t="s">
        <v>147</v>
      </c>
      <c r="R23" s="51" t="s">
        <v>148</v>
      </c>
      <c r="S23" s="74">
        <v>3490.66</v>
      </c>
      <c r="T23" s="74">
        <v>3420846</v>
      </c>
      <c r="U23" s="74"/>
      <c r="V23" s="74">
        <v>3420846</v>
      </c>
    </row>
    <row r="24" spans="1:22" ht="15" customHeight="1">
      <c r="A24" s="51">
        <v>6</v>
      </c>
      <c r="B24" s="51" t="s">
        <v>242</v>
      </c>
      <c r="C24" s="51" t="s">
        <v>243</v>
      </c>
      <c r="D24" s="51" t="s">
        <v>244</v>
      </c>
      <c r="E24" s="51" t="s">
        <v>243</v>
      </c>
      <c r="F24" s="51" t="s">
        <v>170</v>
      </c>
      <c r="G24" s="51" t="s">
        <v>141</v>
      </c>
      <c r="H24" s="51">
        <v>2016</v>
      </c>
      <c r="I24" s="51" t="s">
        <v>44</v>
      </c>
      <c r="J24" s="138">
        <v>422</v>
      </c>
      <c r="K24" s="51" t="s">
        <v>171</v>
      </c>
      <c r="L24" s="51">
        <v>1001018656</v>
      </c>
      <c r="M24" s="51">
        <v>1004018656</v>
      </c>
      <c r="N24" s="51" t="s">
        <v>178</v>
      </c>
      <c r="O24" s="138" t="s">
        <v>179</v>
      </c>
      <c r="P24" s="51" t="s">
        <v>146</v>
      </c>
      <c r="Q24" s="51" t="s">
        <v>147</v>
      </c>
      <c r="R24" s="51" t="s">
        <v>148</v>
      </c>
      <c r="S24" s="74">
        <v>1182.5999999999999</v>
      </c>
      <c r="T24" s="74">
        <v>1300860</v>
      </c>
      <c r="U24" s="74"/>
      <c r="V24" s="74">
        <v>1300860</v>
      </c>
    </row>
    <row r="25" spans="1:22" ht="15" customHeight="1">
      <c r="A25" s="51">
        <v>6</v>
      </c>
      <c r="B25" s="51" t="s">
        <v>242</v>
      </c>
      <c r="C25" s="51" t="s">
        <v>243</v>
      </c>
      <c r="D25" s="51" t="s">
        <v>244</v>
      </c>
      <c r="E25" s="51" t="s">
        <v>243</v>
      </c>
      <c r="F25" s="51" t="s">
        <v>170</v>
      </c>
      <c r="G25" s="51" t="s">
        <v>141</v>
      </c>
      <c r="H25" s="51">
        <v>1005002270</v>
      </c>
      <c r="I25" s="51" t="s">
        <v>43</v>
      </c>
      <c r="J25" s="138">
        <v>38</v>
      </c>
      <c r="K25" s="51" t="s">
        <v>171</v>
      </c>
      <c r="L25" s="51">
        <v>1001025664</v>
      </c>
      <c r="M25" s="51" t="s">
        <v>247</v>
      </c>
      <c r="N25" s="51" t="s">
        <v>178</v>
      </c>
      <c r="O25" s="138" t="s">
        <v>179</v>
      </c>
      <c r="P25" s="51" t="s">
        <v>146</v>
      </c>
      <c r="Q25" s="51" t="s">
        <v>147</v>
      </c>
      <c r="R25" s="51" t="s">
        <v>148</v>
      </c>
      <c r="S25" s="74">
        <v>7957.88</v>
      </c>
      <c r="T25" s="74">
        <v>9151565</v>
      </c>
      <c r="U25" s="74"/>
      <c r="V25" s="74">
        <v>9151565</v>
      </c>
    </row>
    <row r="26" spans="1:22" ht="15" customHeight="1">
      <c r="A26" s="51">
        <v>6</v>
      </c>
      <c r="B26" s="51" t="s">
        <v>242</v>
      </c>
      <c r="C26" s="51" t="s">
        <v>243</v>
      </c>
      <c r="D26" s="51" t="s">
        <v>244</v>
      </c>
      <c r="E26" s="51" t="s">
        <v>243</v>
      </c>
      <c r="F26" s="51" t="s">
        <v>170</v>
      </c>
      <c r="G26" s="51" t="s">
        <v>141</v>
      </c>
      <c r="H26" s="51">
        <v>2017</v>
      </c>
      <c r="I26" s="51" t="s">
        <v>44</v>
      </c>
      <c r="J26" s="138">
        <v>422</v>
      </c>
      <c r="K26" s="51" t="s">
        <v>171</v>
      </c>
      <c r="L26" s="51">
        <v>1001019383</v>
      </c>
      <c r="M26" s="51" t="s">
        <v>248</v>
      </c>
      <c r="N26" s="51" t="s">
        <v>178</v>
      </c>
      <c r="O26" s="138" t="s">
        <v>179</v>
      </c>
      <c r="P26" s="51" t="s">
        <v>146</v>
      </c>
      <c r="Q26" s="51" t="s">
        <v>147</v>
      </c>
      <c r="R26" s="51" t="s">
        <v>148</v>
      </c>
      <c r="S26" s="74">
        <v>9251.9599999999991</v>
      </c>
      <c r="T26" s="74">
        <v>11379915</v>
      </c>
      <c r="U26" s="74"/>
      <c r="V26" s="74">
        <v>11379915</v>
      </c>
    </row>
    <row r="27" spans="1:22" ht="15" customHeight="1">
      <c r="A27" s="51">
        <v>6</v>
      </c>
      <c r="B27" s="51" t="s">
        <v>242</v>
      </c>
      <c r="C27" s="51" t="s">
        <v>243</v>
      </c>
      <c r="D27" s="51" t="s">
        <v>244</v>
      </c>
      <c r="E27" s="51" t="s">
        <v>243</v>
      </c>
      <c r="F27" s="51" t="s">
        <v>170</v>
      </c>
      <c r="G27" s="51" t="s">
        <v>141</v>
      </c>
      <c r="H27" s="51">
        <v>2018</v>
      </c>
      <c r="I27" s="51" t="s">
        <v>44</v>
      </c>
      <c r="J27" s="138">
        <v>422</v>
      </c>
      <c r="K27" s="51" t="s">
        <v>171</v>
      </c>
      <c r="L27" s="51">
        <v>1001019972</v>
      </c>
      <c r="M27" s="51" t="s">
        <v>249</v>
      </c>
      <c r="N27" s="51" t="s">
        <v>178</v>
      </c>
      <c r="O27" s="138" t="s">
        <v>179</v>
      </c>
      <c r="P27" s="51" t="s">
        <v>146</v>
      </c>
      <c r="Q27" s="51" t="s">
        <v>147</v>
      </c>
      <c r="R27" s="51" t="s">
        <v>148</v>
      </c>
      <c r="S27" s="74">
        <v>5330.83</v>
      </c>
      <c r="T27" s="74">
        <v>7463162</v>
      </c>
      <c r="U27" s="74"/>
      <c r="V27" s="74">
        <v>7463162</v>
      </c>
    </row>
    <row r="28" spans="1:22" ht="15" customHeight="1">
      <c r="A28" s="56"/>
      <c r="B28" s="56" t="s">
        <v>149</v>
      </c>
      <c r="C28" s="56"/>
      <c r="D28" s="56"/>
      <c r="E28" s="56"/>
      <c r="F28" s="56"/>
      <c r="G28" s="56"/>
      <c r="H28" s="56"/>
      <c r="I28" s="56"/>
      <c r="J28" s="139"/>
      <c r="K28" s="56"/>
      <c r="L28" s="56"/>
      <c r="M28" s="56"/>
      <c r="N28" s="56"/>
      <c r="O28" s="139"/>
      <c r="P28" s="56" t="s">
        <v>146</v>
      </c>
      <c r="Q28" s="56"/>
      <c r="R28" s="56"/>
      <c r="S28" s="58">
        <v>85851.33</v>
      </c>
      <c r="T28" s="58">
        <v>92909285</v>
      </c>
      <c r="U28" s="58"/>
      <c r="V28" s="58">
        <v>92909285</v>
      </c>
    </row>
    <row r="29" spans="1:22" ht="15" customHeight="1">
      <c r="A29" s="51">
        <v>7</v>
      </c>
      <c r="B29" s="51" t="s">
        <v>275</v>
      </c>
      <c r="C29" s="51" t="s">
        <v>276</v>
      </c>
      <c r="D29" s="51" t="s">
        <v>277</v>
      </c>
      <c r="E29" s="51" t="s">
        <v>276</v>
      </c>
      <c r="F29" s="51" t="s">
        <v>170</v>
      </c>
      <c r="G29" s="51" t="s">
        <v>141</v>
      </c>
      <c r="H29" s="51">
        <v>9085000254</v>
      </c>
      <c r="I29" s="51" t="s">
        <v>51</v>
      </c>
      <c r="J29" s="138">
        <v>43</v>
      </c>
      <c r="K29" s="51" t="s">
        <v>171</v>
      </c>
      <c r="L29" s="51">
        <v>9081001469</v>
      </c>
      <c r="M29" s="51" t="s">
        <v>278</v>
      </c>
      <c r="N29" s="51" t="s">
        <v>178</v>
      </c>
      <c r="O29" s="138" t="s">
        <v>179</v>
      </c>
      <c r="P29" s="51" t="s">
        <v>146</v>
      </c>
      <c r="Q29" s="51" t="s">
        <v>147</v>
      </c>
      <c r="R29" s="51" t="s">
        <v>160</v>
      </c>
      <c r="S29" s="74">
        <v>5329.66</v>
      </c>
      <c r="T29" s="74">
        <v>6608779</v>
      </c>
      <c r="U29" s="74"/>
      <c r="V29" s="74">
        <v>6608779</v>
      </c>
    </row>
    <row r="30" spans="1:22" ht="15" customHeight="1">
      <c r="A30" s="56"/>
      <c r="B30" s="56" t="s">
        <v>149</v>
      </c>
      <c r="C30" s="56"/>
      <c r="D30" s="56"/>
      <c r="E30" s="56"/>
      <c r="F30" s="56"/>
      <c r="G30" s="56"/>
      <c r="H30" s="56"/>
      <c r="I30" s="56"/>
      <c r="J30" s="139"/>
      <c r="K30" s="56"/>
      <c r="L30" s="56"/>
      <c r="M30" s="56"/>
      <c r="N30" s="56"/>
      <c r="O30" s="139"/>
      <c r="P30" s="56" t="s">
        <v>146</v>
      </c>
      <c r="Q30" s="56"/>
      <c r="R30" s="56"/>
      <c r="S30" s="58">
        <v>5329.66</v>
      </c>
      <c r="T30" s="58">
        <v>6608779</v>
      </c>
      <c r="U30" s="58"/>
      <c r="V30" s="58">
        <v>6608779</v>
      </c>
    </row>
    <row r="31" spans="1:22" ht="15" customHeight="1">
      <c r="A31" s="51">
        <v>8</v>
      </c>
      <c r="B31" s="51" t="s">
        <v>317</v>
      </c>
      <c r="C31" s="51" t="s">
        <v>318</v>
      </c>
      <c r="D31" s="51" t="s">
        <v>319</v>
      </c>
      <c r="E31" s="51" t="s">
        <v>318</v>
      </c>
      <c r="F31" s="51" t="s">
        <v>183</v>
      </c>
      <c r="G31" s="51" t="s">
        <v>141</v>
      </c>
      <c r="H31" s="51">
        <v>9081000022</v>
      </c>
      <c r="I31" s="51" t="s">
        <v>58</v>
      </c>
      <c r="J31" s="138">
        <v>1041</v>
      </c>
      <c r="K31" s="51" t="s">
        <v>171</v>
      </c>
      <c r="L31" s="51">
        <v>9081000060</v>
      </c>
      <c r="M31" s="51" t="s">
        <v>320</v>
      </c>
      <c r="N31" s="51" t="s">
        <v>321</v>
      </c>
      <c r="O31" s="138" t="s">
        <v>297</v>
      </c>
      <c r="P31" s="51" t="s">
        <v>146</v>
      </c>
      <c r="Q31" s="51" t="s">
        <v>147</v>
      </c>
      <c r="R31" s="51" t="s">
        <v>160</v>
      </c>
      <c r="S31" s="74">
        <v>1743</v>
      </c>
      <c r="T31" s="74">
        <v>38008649</v>
      </c>
      <c r="U31" s="74"/>
      <c r="V31" s="74">
        <v>38008649</v>
      </c>
    </row>
    <row r="32" spans="1:22" ht="15" customHeight="1">
      <c r="A32" s="51">
        <v>8</v>
      </c>
      <c r="B32" s="51" t="s">
        <v>317</v>
      </c>
      <c r="C32" s="51" t="s">
        <v>318</v>
      </c>
      <c r="D32" s="51" t="s">
        <v>319</v>
      </c>
      <c r="E32" s="51" t="s">
        <v>318</v>
      </c>
      <c r="F32" s="51" t="s">
        <v>153</v>
      </c>
      <c r="G32" s="51" t="s">
        <v>141</v>
      </c>
      <c r="H32" s="51">
        <v>9081000045</v>
      </c>
      <c r="I32" s="51" t="s">
        <v>67</v>
      </c>
      <c r="J32" s="138">
        <v>950</v>
      </c>
      <c r="K32" s="51" t="s">
        <v>171</v>
      </c>
      <c r="L32" s="51">
        <v>9081000159</v>
      </c>
      <c r="M32" s="51"/>
      <c r="N32" s="51" t="s">
        <v>321</v>
      </c>
      <c r="O32" s="138" t="s">
        <v>297</v>
      </c>
      <c r="P32" s="51" t="s">
        <v>146</v>
      </c>
      <c r="Q32" s="51" t="s">
        <v>147</v>
      </c>
      <c r="R32" s="51" t="s">
        <v>160</v>
      </c>
      <c r="S32" s="74">
        <v>632</v>
      </c>
      <c r="T32" s="74">
        <v>11635314</v>
      </c>
      <c r="U32" s="74"/>
      <c r="V32" s="74">
        <v>11635314</v>
      </c>
    </row>
    <row r="33" spans="1:22" ht="15" customHeight="1">
      <c r="A33" s="56"/>
      <c r="B33" s="56" t="s">
        <v>149</v>
      </c>
      <c r="C33" s="56"/>
      <c r="D33" s="56"/>
      <c r="E33" s="56"/>
      <c r="F33" s="56"/>
      <c r="G33" s="56"/>
      <c r="H33" s="56"/>
      <c r="I33" s="56"/>
      <c r="J33" s="139"/>
      <c r="K33" s="56"/>
      <c r="L33" s="56"/>
      <c r="M33" s="56"/>
      <c r="N33" s="56"/>
      <c r="O33" s="139"/>
      <c r="P33" s="56" t="s">
        <v>146</v>
      </c>
      <c r="Q33" s="56"/>
      <c r="R33" s="56"/>
      <c r="S33" s="58">
        <v>2375</v>
      </c>
      <c r="T33" s="58">
        <v>49643963</v>
      </c>
      <c r="U33" s="58"/>
      <c r="V33" s="58">
        <v>49643963</v>
      </c>
    </row>
    <row r="34" spans="1:22" ht="15" customHeight="1">
      <c r="A34" s="51">
        <v>9</v>
      </c>
      <c r="B34" s="51" t="s">
        <v>329</v>
      </c>
      <c r="C34" s="51" t="s">
        <v>330</v>
      </c>
      <c r="D34" s="51" t="s">
        <v>331</v>
      </c>
      <c r="E34" s="51" t="s">
        <v>330</v>
      </c>
      <c r="F34" s="51" t="s">
        <v>183</v>
      </c>
      <c r="G34" s="51" t="s">
        <v>141</v>
      </c>
      <c r="H34" s="51">
        <v>1005002366</v>
      </c>
      <c r="I34" s="51" t="s">
        <v>70</v>
      </c>
      <c r="J34" s="138">
        <v>23</v>
      </c>
      <c r="K34" s="51" t="s">
        <v>171</v>
      </c>
      <c r="L34" s="51">
        <v>1001026360</v>
      </c>
      <c r="M34" s="51" t="s">
        <v>332</v>
      </c>
      <c r="N34" s="51" t="s">
        <v>178</v>
      </c>
      <c r="O34" s="138" t="s">
        <v>179</v>
      </c>
      <c r="P34" s="51" t="s">
        <v>146</v>
      </c>
      <c r="Q34" s="51" t="s">
        <v>147</v>
      </c>
      <c r="R34" s="51" t="s">
        <v>148</v>
      </c>
      <c r="S34" s="74">
        <v>1851.09</v>
      </c>
      <c r="T34" s="74">
        <v>2498973</v>
      </c>
      <c r="U34" s="74"/>
      <c r="V34" s="74">
        <v>2498973</v>
      </c>
    </row>
    <row r="35" spans="1:22" ht="15" customHeight="1">
      <c r="A35" s="51">
        <v>9</v>
      </c>
      <c r="B35" s="51" t="s">
        <v>329</v>
      </c>
      <c r="C35" s="51" t="s">
        <v>330</v>
      </c>
      <c r="D35" s="51" t="s">
        <v>331</v>
      </c>
      <c r="E35" s="51" t="s">
        <v>330</v>
      </c>
      <c r="F35" s="51" t="s">
        <v>183</v>
      </c>
      <c r="G35" s="51" t="s">
        <v>141</v>
      </c>
      <c r="H35" s="51">
        <v>9145000192</v>
      </c>
      <c r="I35" s="51" t="s">
        <v>47</v>
      </c>
      <c r="J35" s="138">
        <v>25</v>
      </c>
      <c r="K35" s="51" t="s">
        <v>171</v>
      </c>
      <c r="L35" s="51">
        <v>9141001837</v>
      </c>
      <c r="M35" s="51" t="s">
        <v>333</v>
      </c>
      <c r="N35" s="51" t="s">
        <v>334</v>
      </c>
      <c r="O35" s="138" t="s">
        <v>297</v>
      </c>
      <c r="P35" s="51" t="s">
        <v>146</v>
      </c>
      <c r="Q35" s="51" t="s">
        <v>147</v>
      </c>
      <c r="R35" s="51" t="s">
        <v>162</v>
      </c>
      <c r="S35" s="74">
        <v>27560</v>
      </c>
      <c r="T35" s="74">
        <v>2756000</v>
      </c>
      <c r="U35" s="74">
        <v>303160</v>
      </c>
      <c r="V35" s="74">
        <v>3059160</v>
      </c>
    </row>
    <row r="36" spans="1:22" ht="15" customHeight="1">
      <c r="A36" s="51">
        <v>9</v>
      </c>
      <c r="B36" s="51" t="s">
        <v>329</v>
      </c>
      <c r="C36" s="51" t="s">
        <v>330</v>
      </c>
      <c r="D36" s="51" t="s">
        <v>331</v>
      </c>
      <c r="E36" s="51" t="s">
        <v>330</v>
      </c>
      <c r="F36" s="51" t="s">
        <v>183</v>
      </c>
      <c r="G36" s="51" t="s">
        <v>141</v>
      </c>
      <c r="H36" s="51">
        <v>9145000193</v>
      </c>
      <c r="I36" s="51" t="s">
        <v>47</v>
      </c>
      <c r="J36" s="138">
        <v>25</v>
      </c>
      <c r="K36" s="51" t="s">
        <v>171</v>
      </c>
      <c r="L36" s="51">
        <v>9141001837</v>
      </c>
      <c r="M36" s="51" t="s">
        <v>333</v>
      </c>
      <c r="N36" s="51" t="s">
        <v>334</v>
      </c>
      <c r="O36" s="138" t="s">
        <v>297</v>
      </c>
      <c r="P36" s="51" t="s">
        <v>146</v>
      </c>
      <c r="Q36" s="51" t="s">
        <v>147</v>
      </c>
      <c r="R36" s="51" t="s">
        <v>162</v>
      </c>
      <c r="S36" s="74">
        <v>75.78</v>
      </c>
      <c r="T36" s="74">
        <v>947250</v>
      </c>
      <c r="U36" s="74">
        <v>104197.5</v>
      </c>
      <c r="V36" s="74">
        <v>1051447.5</v>
      </c>
    </row>
    <row r="37" spans="1:22" ht="15" customHeight="1">
      <c r="A37" s="51">
        <v>9</v>
      </c>
      <c r="B37" s="51" t="s">
        <v>329</v>
      </c>
      <c r="C37" s="51" t="s">
        <v>330</v>
      </c>
      <c r="D37" s="51" t="s">
        <v>331</v>
      </c>
      <c r="E37" s="51" t="s">
        <v>330</v>
      </c>
      <c r="F37" s="51" t="s">
        <v>183</v>
      </c>
      <c r="G37" s="51" t="s">
        <v>141</v>
      </c>
      <c r="H37" s="51">
        <v>9145000194</v>
      </c>
      <c r="I37" s="51" t="s">
        <v>47</v>
      </c>
      <c r="J37" s="138">
        <v>25</v>
      </c>
      <c r="K37" s="51" t="s">
        <v>171</v>
      </c>
      <c r="L37" s="51">
        <v>9141001838</v>
      </c>
      <c r="M37" s="51" t="s">
        <v>335</v>
      </c>
      <c r="N37" s="51" t="s">
        <v>296</v>
      </c>
      <c r="O37" s="138" t="s">
        <v>297</v>
      </c>
      <c r="P37" s="51" t="s">
        <v>146</v>
      </c>
      <c r="Q37" s="51" t="s">
        <v>147</v>
      </c>
      <c r="R37" s="51" t="s">
        <v>162</v>
      </c>
      <c r="S37" s="74">
        <v>48320</v>
      </c>
      <c r="T37" s="74">
        <v>9664000</v>
      </c>
      <c r="U37" s="74">
        <v>1063040</v>
      </c>
      <c r="V37" s="74">
        <v>10727040</v>
      </c>
    </row>
    <row r="38" spans="1:22" ht="15" customHeight="1">
      <c r="A38" s="51">
        <v>9</v>
      </c>
      <c r="B38" s="51" t="s">
        <v>329</v>
      </c>
      <c r="C38" s="51" t="s">
        <v>330</v>
      </c>
      <c r="D38" s="51" t="s">
        <v>331</v>
      </c>
      <c r="E38" s="51" t="s">
        <v>330</v>
      </c>
      <c r="F38" s="51" t="s">
        <v>183</v>
      </c>
      <c r="G38" s="51" t="s">
        <v>141</v>
      </c>
      <c r="H38" s="51">
        <v>9145000195</v>
      </c>
      <c r="I38" s="51" t="s">
        <v>47</v>
      </c>
      <c r="J38" s="138">
        <v>25</v>
      </c>
      <c r="K38" s="51" t="s">
        <v>171</v>
      </c>
      <c r="L38" s="51">
        <v>9141001838</v>
      </c>
      <c r="M38" s="51" t="s">
        <v>335</v>
      </c>
      <c r="N38" s="51" t="s">
        <v>296</v>
      </c>
      <c r="O38" s="138" t="s">
        <v>297</v>
      </c>
      <c r="P38" s="51" t="s">
        <v>146</v>
      </c>
      <c r="Q38" s="51" t="s">
        <v>147</v>
      </c>
      <c r="R38" s="51" t="s">
        <v>162</v>
      </c>
      <c r="S38" s="74">
        <v>192.04</v>
      </c>
      <c r="T38" s="74">
        <v>2400500</v>
      </c>
      <c r="U38" s="74">
        <v>264055</v>
      </c>
      <c r="V38" s="74">
        <v>2664555</v>
      </c>
    </row>
    <row r="39" spans="1:22" ht="15" customHeight="1">
      <c r="A39" s="56"/>
      <c r="B39" s="56" t="s">
        <v>149</v>
      </c>
      <c r="C39" s="56"/>
      <c r="D39" s="56"/>
      <c r="E39" s="56"/>
      <c r="F39" s="56"/>
      <c r="G39" s="56"/>
      <c r="H39" s="56"/>
      <c r="I39" s="56"/>
      <c r="J39" s="139"/>
      <c r="K39" s="56"/>
      <c r="L39" s="56"/>
      <c r="M39" s="56"/>
      <c r="N39" s="56"/>
      <c r="O39" s="139"/>
      <c r="P39" s="56" t="s">
        <v>146</v>
      </c>
      <c r="Q39" s="56"/>
      <c r="R39" s="56"/>
      <c r="S39" s="58">
        <v>77998.91</v>
      </c>
      <c r="T39" s="58">
        <v>18266723</v>
      </c>
      <c r="U39" s="58">
        <v>1734452.5</v>
      </c>
      <c r="V39" s="58">
        <v>20001175.5</v>
      </c>
    </row>
    <row r="40" spans="1:22" ht="15" customHeight="1">
      <c r="A40" s="51">
        <v>10</v>
      </c>
      <c r="B40" s="51" t="s">
        <v>336</v>
      </c>
      <c r="C40" s="51" t="s">
        <v>337</v>
      </c>
      <c r="D40" s="51" t="s">
        <v>338</v>
      </c>
      <c r="E40" s="51" t="s">
        <v>337</v>
      </c>
      <c r="F40" s="51" t="s">
        <v>183</v>
      </c>
      <c r="G40" s="51" t="s">
        <v>141</v>
      </c>
      <c r="H40" s="51">
        <v>9271000014</v>
      </c>
      <c r="I40" s="51" t="s">
        <v>71</v>
      </c>
      <c r="J40" s="138">
        <v>1046</v>
      </c>
      <c r="K40" s="51" t="s">
        <v>171</v>
      </c>
      <c r="L40" s="51">
        <v>1351000222</v>
      </c>
      <c r="M40" s="51" t="s">
        <v>338</v>
      </c>
      <c r="N40" s="51" t="s">
        <v>321</v>
      </c>
      <c r="O40" s="138" t="s">
        <v>297</v>
      </c>
      <c r="P40" s="51" t="s">
        <v>146</v>
      </c>
      <c r="Q40" s="51" t="s">
        <v>147</v>
      </c>
      <c r="R40" s="51" t="s">
        <v>341</v>
      </c>
      <c r="S40" s="74">
        <v>5138.84</v>
      </c>
      <c r="T40" s="74">
        <v>51388400</v>
      </c>
      <c r="U40" s="74"/>
      <c r="V40" s="74">
        <v>51388400</v>
      </c>
    </row>
    <row r="41" spans="1:22" ht="15" customHeight="1">
      <c r="A41" s="56"/>
      <c r="B41" s="56" t="s">
        <v>149</v>
      </c>
      <c r="C41" s="56"/>
      <c r="D41" s="56"/>
      <c r="E41" s="56"/>
      <c r="F41" s="56"/>
      <c r="G41" s="56"/>
      <c r="H41" s="56"/>
      <c r="I41" s="56"/>
      <c r="J41" s="139"/>
      <c r="K41" s="56"/>
      <c r="L41" s="56"/>
      <c r="M41" s="56"/>
      <c r="N41" s="56"/>
      <c r="O41" s="139"/>
      <c r="P41" s="56" t="s">
        <v>146</v>
      </c>
      <c r="Q41" s="56"/>
      <c r="R41" s="56"/>
      <c r="S41" s="58">
        <v>5138.84</v>
      </c>
      <c r="T41" s="58">
        <v>51388400</v>
      </c>
      <c r="U41" s="58"/>
      <c r="V41" s="58">
        <v>51388400</v>
      </c>
    </row>
    <row r="42" spans="1:22" ht="15" customHeight="1">
      <c r="A42" s="51">
        <v>11</v>
      </c>
      <c r="B42" s="51" t="s">
        <v>353</v>
      </c>
      <c r="C42" s="51" t="s">
        <v>354</v>
      </c>
      <c r="D42" s="51" t="s">
        <v>355</v>
      </c>
      <c r="E42" s="51" t="s">
        <v>354</v>
      </c>
      <c r="F42" s="51" t="s">
        <v>170</v>
      </c>
      <c r="G42" s="51" t="s">
        <v>141</v>
      </c>
      <c r="H42" s="51">
        <v>1005002445</v>
      </c>
      <c r="I42" s="51" t="s">
        <v>12</v>
      </c>
      <c r="J42" s="138">
        <v>10</v>
      </c>
      <c r="K42" s="51" t="s">
        <v>171</v>
      </c>
      <c r="L42" s="51">
        <v>1001027072</v>
      </c>
      <c r="M42" s="51" t="s">
        <v>356</v>
      </c>
      <c r="N42" s="51" t="s">
        <v>178</v>
      </c>
      <c r="O42" s="138" t="s">
        <v>179</v>
      </c>
      <c r="P42" s="51" t="s">
        <v>146</v>
      </c>
      <c r="Q42" s="51" t="s">
        <v>147</v>
      </c>
      <c r="R42" s="51" t="s">
        <v>148</v>
      </c>
      <c r="S42" s="74">
        <v>15732.96</v>
      </c>
      <c r="T42" s="74">
        <v>15103641</v>
      </c>
      <c r="U42" s="74"/>
      <c r="V42" s="74">
        <v>15103641</v>
      </c>
    </row>
    <row r="43" spans="1:22" ht="15" customHeight="1">
      <c r="A43" s="56"/>
      <c r="B43" s="56" t="s">
        <v>149</v>
      </c>
      <c r="C43" s="56"/>
      <c r="D43" s="56"/>
      <c r="E43" s="56"/>
      <c r="F43" s="56"/>
      <c r="G43" s="56"/>
      <c r="H43" s="56"/>
      <c r="I43" s="56"/>
      <c r="J43" s="139"/>
      <c r="K43" s="56"/>
      <c r="L43" s="56"/>
      <c r="M43" s="56"/>
      <c r="N43" s="56"/>
      <c r="O43" s="139"/>
      <c r="P43" s="56" t="s">
        <v>146</v>
      </c>
      <c r="Q43" s="56"/>
      <c r="R43" s="56"/>
      <c r="S43" s="58">
        <v>15732.96</v>
      </c>
      <c r="T43" s="58">
        <v>15103641</v>
      </c>
      <c r="U43" s="58"/>
      <c r="V43" s="58">
        <v>15103641</v>
      </c>
    </row>
    <row r="44" spans="1:22" ht="15" customHeight="1">
      <c r="A44" s="51">
        <v>12</v>
      </c>
      <c r="B44" s="51" t="s">
        <v>365</v>
      </c>
      <c r="C44" s="51" t="s">
        <v>366</v>
      </c>
      <c r="D44" s="51" t="s">
        <v>367</v>
      </c>
      <c r="E44" s="51" t="s">
        <v>366</v>
      </c>
      <c r="F44" s="51" t="s">
        <v>170</v>
      </c>
      <c r="G44" s="51" t="s">
        <v>141</v>
      </c>
      <c r="H44" s="51">
        <v>1942</v>
      </c>
      <c r="I44" s="51" t="s">
        <v>74</v>
      </c>
      <c r="J44" s="138">
        <v>434</v>
      </c>
      <c r="K44" s="51" t="s">
        <v>171</v>
      </c>
      <c r="L44" s="51">
        <v>1001019556</v>
      </c>
      <c r="M44" s="51" t="s">
        <v>368</v>
      </c>
      <c r="N44" s="51" t="s">
        <v>334</v>
      </c>
      <c r="O44" s="138" t="s">
        <v>297</v>
      </c>
      <c r="P44" s="51" t="s">
        <v>146</v>
      </c>
      <c r="Q44" s="51" t="s">
        <v>147</v>
      </c>
      <c r="R44" s="51" t="s">
        <v>148</v>
      </c>
      <c r="S44" s="74">
        <v>7363.68</v>
      </c>
      <c r="T44" s="74">
        <v>94255104</v>
      </c>
      <c r="U44" s="74"/>
      <c r="V44" s="74">
        <v>94255104</v>
      </c>
    </row>
    <row r="45" spans="1:22" ht="15" customHeight="1">
      <c r="A45" s="51">
        <v>12</v>
      </c>
      <c r="B45" s="51" t="s">
        <v>365</v>
      </c>
      <c r="C45" s="51" t="s">
        <v>366</v>
      </c>
      <c r="D45" s="51" t="s">
        <v>367</v>
      </c>
      <c r="E45" s="51" t="s">
        <v>366</v>
      </c>
      <c r="F45" s="51" t="s">
        <v>170</v>
      </c>
      <c r="G45" s="51" t="s">
        <v>141</v>
      </c>
      <c r="H45" s="51">
        <v>1005000329</v>
      </c>
      <c r="I45" s="51" t="s">
        <v>75</v>
      </c>
      <c r="J45" s="138">
        <v>351</v>
      </c>
      <c r="K45" s="51" t="s">
        <v>171</v>
      </c>
      <c r="L45" s="51">
        <v>1001020120</v>
      </c>
      <c r="M45" s="51" t="s">
        <v>369</v>
      </c>
      <c r="N45" s="51" t="s">
        <v>334</v>
      </c>
      <c r="O45" s="138" t="s">
        <v>297</v>
      </c>
      <c r="P45" s="51" t="s">
        <v>146</v>
      </c>
      <c r="Q45" s="51" t="s">
        <v>147</v>
      </c>
      <c r="R45" s="51" t="s">
        <v>148</v>
      </c>
      <c r="S45" s="74">
        <v>13237.72</v>
      </c>
      <c r="T45" s="74">
        <v>178047339</v>
      </c>
      <c r="U45" s="74"/>
      <c r="V45" s="74">
        <v>178047339</v>
      </c>
    </row>
    <row r="46" spans="1:22" ht="15" customHeight="1">
      <c r="A46" s="51">
        <v>12</v>
      </c>
      <c r="B46" s="51" t="s">
        <v>365</v>
      </c>
      <c r="C46" s="51" t="s">
        <v>366</v>
      </c>
      <c r="D46" s="51" t="s">
        <v>367</v>
      </c>
      <c r="E46" s="51" t="s">
        <v>366</v>
      </c>
      <c r="F46" s="51" t="s">
        <v>170</v>
      </c>
      <c r="G46" s="51" t="s">
        <v>141</v>
      </c>
      <c r="H46" s="51">
        <v>1005000330</v>
      </c>
      <c r="I46" s="51" t="s">
        <v>75</v>
      </c>
      <c r="J46" s="138">
        <v>351</v>
      </c>
      <c r="K46" s="51" t="s">
        <v>171</v>
      </c>
      <c r="L46" s="51">
        <v>1001020121</v>
      </c>
      <c r="M46" s="51" t="s">
        <v>370</v>
      </c>
      <c r="N46" s="51" t="s">
        <v>334</v>
      </c>
      <c r="O46" s="138" t="s">
        <v>297</v>
      </c>
      <c r="P46" s="51" t="s">
        <v>146</v>
      </c>
      <c r="Q46" s="51" t="s">
        <v>147</v>
      </c>
      <c r="R46" s="51" t="s">
        <v>148</v>
      </c>
      <c r="S46" s="74">
        <v>10542.28</v>
      </c>
      <c r="T46" s="74">
        <v>141793671</v>
      </c>
      <c r="U46" s="74"/>
      <c r="V46" s="74">
        <v>141793671</v>
      </c>
    </row>
    <row r="47" spans="1:22" ht="15" customHeight="1">
      <c r="A47" s="51">
        <v>12</v>
      </c>
      <c r="B47" s="51" t="s">
        <v>365</v>
      </c>
      <c r="C47" s="51" t="s">
        <v>366</v>
      </c>
      <c r="D47" s="51" t="s">
        <v>367</v>
      </c>
      <c r="E47" s="51" t="s">
        <v>366</v>
      </c>
      <c r="F47" s="51" t="s">
        <v>170</v>
      </c>
      <c r="G47" s="51" t="s">
        <v>141</v>
      </c>
      <c r="H47" s="51">
        <v>1005002371</v>
      </c>
      <c r="I47" s="51" t="s">
        <v>60</v>
      </c>
      <c r="J47" s="138">
        <v>21</v>
      </c>
      <c r="K47" s="51" t="s">
        <v>171</v>
      </c>
      <c r="L47" s="51">
        <v>1001027388</v>
      </c>
      <c r="M47" s="51" t="s">
        <v>371</v>
      </c>
      <c r="N47" s="51" t="s">
        <v>334</v>
      </c>
      <c r="O47" s="138" t="s">
        <v>297</v>
      </c>
      <c r="P47" s="51" t="s">
        <v>146</v>
      </c>
      <c r="Q47" s="51" t="s">
        <v>147</v>
      </c>
      <c r="R47" s="51" t="s">
        <v>148</v>
      </c>
      <c r="S47" s="74">
        <v>2606.27</v>
      </c>
      <c r="T47" s="74">
        <v>32578375</v>
      </c>
      <c r="U47" s="74"/>
      <c r="V47" s="74">
        <v>32578375</v>
      </c>
    </row>
    <row r="48" spans="1:22" ht="15" customHeight="1">
      <c r="A48" s="51">
        <v>12</v>
      </c>
      <c r="B48" s="51" t="s">
        <v>365</v>
      </c>
      <c r="C48" s="51" t="s">
        <v>366</v>
      </c>
      <c r="D48" s="51" t="s">
        <v>367</v>
      </c>
      <c r="E48" s="51" t="s">
        <v>366</v>
      </c>
      <c r="F48" s="51" t="s">
        <v>170</v>
      </c>
      <c r="G48" s="51" t="s">
        <v>141</v>
      </c>
      <c r="H48" s="51">
        <v>9091000054</v>
      </c>
      <c r="I48" s="51" t="s">
        <v>34</v>
      </c>
      <c r="J48" s="138">
        <v>437</v>
      </c>
      <c r="K48" s="51" t="s">
        <v>171</v>
      </c>
      <c r="L48" s="51">
        <v>1601000007</v>
      </c>
      <c r="M48" s="51" t="s">
        <v>372</v>
      </c>
      <c r="N48" s="51" t="s">
        <v>334</v>
      </c>
      <c r="O48" s="138" t="s">
        <v>297</v>
      </c>
      <c r="P48" s="51" t="s">
        <v>146</v>
      </c>
      <c r="Q48" s="51" t="s">
        <v>147</v>
      </c>
      <c r="R48" s="51" t="s">
        <v>373</v>
      </c>
      <c r="S48" s="74">
        <v>12515.28</v>
      </c>
      <c r="T48" s="74">
        <v>163950194</v>
      </c>
      <c r="U48" s="74"/>
      <c r="V48" s="74">
        <v>163950194</v>
      </c>
    </row>
    <row r="49" spans="1:22" ht="15" customHeight="1">
      <c r="A49" s="56"/>
      <c r="B49" s="56" t="s">
        <v>149</v>
      </c>
      <c r="C49" s="56"/>
      <c r="D49" s="56"/>
      <c r="E49" s="56"/>
      <c r="F49" s="56"/>
      <c r="G49" s="56"/>
      <c r="H49" s="56"/>
      <c r="I49" s="56"/>
      <c r="J49" s="139"/>
      <c r="K49" s="56"/>
      <c r="L49" s="56"/>
      <c r="M49" s="56"/>
      <c r="N49" s="56"/>
      <c r="O49" s="139"/>
      <c r="P49" s="56" t="s">
        <v>146</v>
      </c>
      <c r="Q49" s="56"/>
      <c r="R49" s="56"/>
      <c r="S49" s="58">
        <v>46265.23</v>
      </c>
      <c r="T49" s="58">
        <v>610624683</v>
      </c>
      <c r="U49" s="58"/>
      <c r="V49" s="58">
        <v>610624683</v>
      </c>
    </row>
    <row r="50" spans="1:22" ht="15" customHeight="1">
      <c r="A50" s="51">
        <v>13</v>
      </c>
      <c r="B50" s="51" t="s">
        <v>374</v>
      </c>
      <c r="C50" s="51" t="s">
        <v>375</v>
      </c>
      <c r="D50" s="51" t="s">
        <v>376</v>
      </c>
      <c r="E50" s="51" t="s">
        <v>375</v>
      </c>
      <c r="F50" s="51" t="s">
        <v>183</v>
      </c>
      <c r="G50" s="51" t="s">
        <v>141</v>
      </c>
      <c r="H50" s="51">
        <v>373</v>
      </c>
      <c r="I50" s="51" t="s">
        <v>71</v>
      </c>
      <c r="J50" s="138">
        <v>1046</v>
      </c>
      <c r="K50" s="51" t="s">
        <v>171</v>
      </c>
      <c r="L50" s="51">
        <v>1001008788</v>
      </c>
      <c r="M50" s="51" t="s">
        <v>377</v>
      </c>
      <c r="N50" s="51" t="s">
        <v>321</v>
      </c>
      <c r="O50" s="138" t="s">
        <v>297</v>
      </c>
      <c r="P50" s="51" t="s">
        <v>146</v>
      </c>
      <c r="Q50" s="51" t="s">
        <v>147</v>
      </c>
      <c r="R50" s="51" t="s">
        <v>148</v>
      </c>
      <c r="S50" s="74">
        <v>1148</v>
      </c>
      <c r="T50" s="74">
        <v>11821585</v>
      </c>
      <c r="U50" s="74"/>
      <c r="V50" s="74">
        <v>11821585</v>
      </c>
    </row>
    <row r="51" spans="1:22" ht="15" customHeight="1">
      <c r="A51" s="51">
        <v>13</v>
      </c>
      <c r="B51" s="51" t="s">
        <v>374</v>
      </c>
      <c r="C51" s="51" t="s">
        <v>375</v>
      </c>
      <c r="D51" s="51" t="s">
        <v>376</v>
      </c>
      <c r="E51" s="51" t="s">
        <v>375</v>
      </c>
      <c r="F51" s="51" t="s">
        <v>183</v>
      </c>
      <c r="G51" s="51" t="s">
        <v>141</v>
      </c>
      <c r="H51" s="51">
        <v>399</v>
      </c>
      <c r="I51" s="51" t="s">
        <v>58</v>
      </c>
      <c r="J51" s="138">
        <v>1041</v>
      </c>
      <c r="K51" s="51" t="s">
        <v>171</v>
      </c>
      <c r="L51" s="51">
        <v>1001009115</v>
      </c>
      <c r="M51" s="51" t="s">
        <v>378</v>
      </c>
      <c r="N51" s="51" t="s">
        <v>321</v>
      </c>
      <c r="O51" s="138" t="s">
        <v>297</v>
      </c>
      <c r="P51" s="51" t="s">
        <v>146</v>
      </c>
      <c r="Q51" s="51" t="s">
        <v>147</v>
      </c>
      <c r="R51" s="51" t="s">
        <v>148</v>
      </c>
      <c r="S51" s="74">
        <v>670</v>
      </c>
      <c r="T51" s="74">
        <v>6835183</v>
      </c>
      <c r="U51" s="74"/>
      <c r="V51" s="74">
        <v>6835183</v>
      </c>
    </row>
    <row r="52" spans="1:22" ht="15" customHeight="1">
      <c r="A52" s="51">
        <v>13</v>
      </c>
      <c r="B52" s="51" t="s">
        <v>374</v>
      </c>
      <c r="C52" s="51" t="s">
        <v>375</v>
      </c>
      <c r="D52" s="51" t="s">
        <v>376</v>
      </c>
      <c r="E52" s="51" t="s">
        <v>375</v>
      </c>
      <c r="F52" s="51" t="s">
        <v>183</v>
      </c>
      <c r="G52" s="51" t="s">
        <v>141</v>
      </c>
      <c r="H52" s="51">
        <v>404</v>
      </c>
      <c r="I52" s="51" t="s">
        <v>58</v>
      </c>
      <c r="J52" s="138">
        <v>1041</v>
      </c>
      <c r="K52" s="51" t="s">
        <v>171</v>
      </c>
      <c r="L52" s="51">
        <v>1001009556</v>
      </c>
      <c r="M52" s="51" t="s">
        <v>320</v>
      </c>
      <c r="N52" s="51" t="s">
        <v>321</v>
      </c>
      <c r="O52" s="138" t="s">
        <v>297</v>
      </c>
      <c r="P52" s="51" t="s">
        <v>146</v>
      </c>
      <c r="Q52" s="51" t="s">
        <v>147</v>
      </c>
      <c r="R52" s="51" t="s">
        <v>148</v>
      </c>
      <c r="S52" s="74">
        <v>264</v>
      </c>
      <c r="T52" s="74">
        <v>2692514</v>
      </c>
      <c r="U52" s="74"/>
      <c r="V52" s="74">
        <v>2692514</v>
      </c>
    </row>
    <row r="53" spans="1:22" ht="15" customHeight="1">
      <c r="A53" s="51">
        <v>13</v>
      </c>
      <c r="B53" s="51" t="s">
        <v>374</v>
      </c>
      <c r="C53" s="51" t="s">
        <v>375</v>
      </c>
      <c r="D53" s="51" t="s">
        <v>376</v>
      </c>
      <c r="E53" s="51" t="s">
        <v>375</v>
      </c>
      <c r="F53" s="51" t="s">
        <v>153</v>
      </c>
      <c r="G53" s="51" t="s">
        <v>141</v>
      </c>
      <c r="H53" s="51">
        <v>441</v>
      </c>
      <c r="I53" s="51" t="s">
        <v>76</v>
      </c>
      <c r="J53" s="138">
        <v>1027</v>
      </c>
      <c r="K53" s="51" t="s">
        <v>171</v>
      </c>
      <c r="L53" s="51">
        <v>1001009781</v>
      </c>
      <c r="M53" s="51" t="s">
        <v>379</v>
      </c>
      <c r="N53" s="51" t="s">
        <v>321</v>
      </c>
      <c r="O53" s="138" t="s">
        <v>297</v>
      </c>
      <c r="P53" s="51" t="s">
        <v>146</v>
      </c>
      <c r="Q53" s="51" t="s">
        <v>147</v>
      </c>
      <c r="R53" s="51" t="s">
        <v>148</v>
      </c>
      <c r="S53" s="74">
        <v>979</v>
      </c>
      <c r="T53" s="74">
        <v>10180731</v>
      </c>
      <c r="U53" s="74"/>
      <c r="V53" s="74">
        <v>10180731</v>
      </c>
    </row>
    <row r="54" spans="1:22" ht="15" customHeight="1">
      <c r="A54" s="51">
        <v>13</v>
      </c>
      <c r="B54" s="51" t="s">
        <v>374</v>
      </c>
      <c r="C54" s="51" t="s">
        <v>375</v>
      </c>
      <c r="D54" s="51" t="s">
        <v>376</v>
      </c>
      <c r="E54" s="51" t="s">
        <v>375</v>
      </c>
      <c r="F54" s="51" t="s">
        <v>153</v>
      </c>
      <c r="G54" s="51" t="s">
        <v>141</v>
      </c>
      <c r="H54" s="51">
        <v>579</v>
      </c>
      <c r="I54" s="51" t="s">
        <v>77</v>
      </c>
      <c r="J54" s="138">
        <v>980</v>
      </c>
      <c r="K54" s="51" t="s">
        <v>171</v>
      </c>
      <c r="L54" s="51">
        <v>1001010075</v>
      </c>
      <c r="M54" s="51" t="s">
        <v>282</v>
      </c>
      <c r="N54" s="51" t="s">
        <v>321</v>
      </c>
      <c r="O54" s="138" t="s">
        <v>297</v>
      </c>
      <c r="P54" s="51" t="s">
        <v>146</v>
      </c>
      <c r="Q54" s="51" t="s">
        <v>147</v>
      </c>
      <c r="R54" s="51" t="s">
        <v>148</v>
      </c>
      <c r="S54" s="74">
        <v>2066</v>
      </c>
      <c r="T54" s="74">
        <v>45035848</v>
      </c>
      <c r="U54" s="74"/>
      <c r="V54" s="74">
        <v>45035848</v>
      </c>
    </row>
    <row r="55" spans="1:22" ht="15" customHeight="1">
      <c r="A55" s="56"/>
      <c r="B55" s="56" t="s">
        <v>149</v>
      </c>
      <c r="C55" s="56"/>
      <c r="D55" s="56"/>
      <c r="E55" s="56"/>
      <c r="F55" s="56"/>
      <c r="G55" s="56"/>
      <c r="H55" s="56"/>
      <c r="I55" s="56"/>
      <c r="J55" s="139"/>
      <c r="K55" s="56"/>
      <c r="L55" s="56"/>
      <c r="M55" s="56"/>
      <c r="N55" s="56"/>
      <c r="O55" s="139"/>
      <c r="P55" s="56" t="s">
        <v>146</v>
      </c>
      <c r="Q55" s="56"/>
      <c r="R55" s="56"/>
      <c r="S55" s="58">
        <v>5127</v>
      </c>
      <c r="T55" s="58">
        <v>76565861</v>
      </c>
      <c r="U55" s="58"/>
      <c r="V55" s="58">
        <v>76565861</v>
      </c>
    </row>
    <row r="56" spans="1:22" ht="15" customHeight="1">
      <c r="A56" s="51">
        <v>14</v>
      </c>
      <c r="B56" s="51" t="s">
        <v>380</v>
      </c>
      <c r="C56" s="51" t="s">
        <v>381</v>
      </c>
      <c r="D56" s="51" t="s">
        <v>382</v>
      </c>
      <c r="E56" s="51" t="s">
        <v>381</v>
      </c>
      <c r="F56" s="51" t="s">
        <v>183</v>
      </c>
      <c r="G56" s="51" t="s">
        <v>141</v>
      </c>
      <c r="H56" s="51">
        <v>377</v>
      </c>
      <c r="I56" s="51" t="s">
        <v>71</v>
      </c>
      <c r="J56" s="138">
        <v>1046</v>
      </c>
      <c r="K56" s="51" t="s">
        <v>171</v>
      </c>
      <c r="L56" s="51">
        <v>1001008980</v>
      </c>
      <c r="M56" s="51" t="s">
        <v>383</v>
      </c>
      <c r="N56" s="51" t="s">
        <v>321</v>
      </c>
      <c r="O56" s="138" t="s">
        <v>297</v>
      </c>
      <c r="P56" s="51" t="s">
        <v>146</v>
      </c>
      <c r="Q56" s="51" t="s">
        <v>147</v>
      </c>
      <c r="R56" s="51" t="s">
        <v>148</v>
      </c>
      <c r="S56" s="74">
        <v>255</v>
      </c>
      <c r="T56" s="74">
        <v>2558160</v>
      </c>
      <c r="U56" s="74"/>
      <c r="V56" s="74">
        <v>2558160</v>
      </c>
    </row>
    <row r="57" spans="1:22" ht="15" customHeight="1">
      <c r="A57" s="56"/>
      <c r="B57" s="56" t="s">
        <v>149</v>
      </c>
      <c r="C57" s="56"/>
      <c r="D57" s="56"/>
      <c r="E57" s="56"/>
      <c r="F57" s="56"/>
      <c r="G57" s="56"/>
      <c r="H57" s="56"/>
      <c r="I57" s="56"/>
      <c r="J57" s="139"/>
      <c r="K57" s="56"/>
      <c r="L57" s="56"/>
      <c r="M57" s="56"/>
      <c r="N57" s="56"/>
      <c r="O57" s="139"/>
      <c r="P57" s="56" t="s">
        <v>146</v>
      </c>
      <c r="Q57" s="56"/>
      <c r="R57" s="56"/>
      <c r="S57" s="58">
        <v>255</v>
      </c>
      <c r="T57" s="58">
        <v>2558160</v>
      </c>
      <c r="U57" s="58"/>
      <c r="V57" s="58">
        <v>2558160</v>
      </c>
    </row>
    <row r="58" spans="1:22" ht="15" customHeight="1">
      <c r="A58" s="51">
        <v>15</v>
      </c>
      <c r="B58" s="51" t="s">
        <v>384</v>
      </c>
      <c r="C58" s="51" t="s">
        <v>385</v>
      </c>
      <c r="D58" s="51" t="s">
        <v>386</v>
      </c>
      <c r="E58" s="51" t="s">
        <v>385</v>
      </c>
      <c r="F58" s="51" t="s">
        <v>183</v>
      </c>
      <c r="G58" s="51" t="s">
        <v>141</v>
      </c>
      <c r="H58" s="51">
        <v>9271000017</v>
      </c>
      <c r="I58" s="51" t="s">
        <v>71</v>
      </c>
      <c r="J58" s="138">
        <v>1046</v>
      </c>
      <c r="K58" s="51" t="s">
        <v>171</v>
      </c>
      <c r="L58" s="51">
        <v>1351000229</v>
      </c>
      <c r="M58" s="51"/>
      <c r="N58" s="51" t="s">
        <v>321</v>
      </c>
      <c r="O58" s="138" t="s">
        <v>297</v>
      </c>
      <c r="P58" s="51" t="s">
        <v>146</v>
      </c>
      <c r="Q58" s="51" t="s">
        <v>147</v>
      </c>
      <c r="R58" s="51" t="s">
        <v>341</v>
      </c>
      <c r="S58" s="74">
        <v>365</v>
      </c>
      <c r="T58" s="74">
        <v>3654840</v>
      </c>
      <c r="U58" s="74"/>
      <c r="V58" s="74">
        <v>3654840</v>
      </c>
    </row>
    <row r="59" spans="1:22" ht="15" customHeight="1">
      <c r="A59" s="56"/>
      <c r="B59" s="56" t="s">
        <v>149</v>
      </c>
      <c r="C59" s="56"/>
      <c r="D59" s="56"/>
      <c r="E59" s="56"/>
      <c r="F59" s="56"/>
      <c r="G59" s="56"/>
      <c r="H59" s="56"/>
      <c r="I59" s="56"/>
      <c r="J59" s="139"/>
      <c r="K59" s="56"/>
      <c r="L59" s="56"/>
      <c r="M59" s="56"/>
      <c r="N59" s="56"/>
      <c r="O59" s="139"/>
      <c r="P59" s="56" t="s">
        <v>146</v>
      </c>
      <c r="Q59" s="56"/>
      <c r="R59" s="56"/>
      <c r="S59" s="58">
        <v>365</v>
      </c>
      <c r="T59" s="58">
        <v>3654840</v>
      </c>
      <c r="U59" s="58"/>
      <c r="V59" s="58">
        <v>3654840</v>
      </c>
    </row>
    <row r="60" spans="1:22" ht="15" customHeight="1">
      <c r="A60" s="51">
        <v>16</v>
      </c>
      <c r="B60" s="51" t="s">
        <v>387</v>
      </c>
      <c r="C60" s="51" t="s">
        <v>388</v>
      </c>
      <c r="D60" s="51" t="s">
        <v>389</v>
      </c>
      <c r="E60" s="51" t="s">
        <v>388</v>
      </c>
      <c r="F60" s="51" t="s">
        <v>183</v>
      </c>
      <c r="G60" s="51" t="s">
        <v>141</v>
      </c>
      <c r="H60" s="51">
        <v>401</v>
      </c>
      <c r="I60" s="51" t="s">
        <v>58</v>
      </c>
      <c r="J60" s="138">
        <v>1041</v>
      </c>
      <c r="K60" s="51" t="s">
        <v>171</v>
      </c>
      <c r="L60" s="51">
        <v>1001009172</v>
      </c>
      <c r="M60" s="51" t="s">
        <v>390</v>
      </c>
      <c r="N60" s="51" t="s">
        <v>321</v>
      </c>
      <c r="O60" s="138" t="s">
        <v>297</v>
      </c>
      <c r="P60" s="51" t="s">
        <v>146</v>
      </c>
      <c r="Q60" s="51" t="s">
        <v>147</v>
      </c>
      <c r="R60" s="51" t="s">
        <v>148</v>
      </c>
      <c r="S60" s="74">
        <v>4486</v>
      </c>
      <c r="T60" s="74">
        <v>47105730</v>
      </c>
      <c r="U60" s="74"/>
      <c r="V60" s="74">
        <v>47105730</v>
      </c>
    </row>
    <row r="61" spans="1:22" ht="15" customHeight="1">
      <c r="A61" s="51">
        <v>16</v>
      </c>
      <c r="B61" s="51" t="s">
        <v>387</v>
      </c>
      <c r="C61" s="51" t="s">
        <v>388</v>
      </c>
      <c r="D61" s="51" t="s">
        <v>389</v>
      </c>
      <c r="E61" s="51" t="s">
        <v>388</v>
      </c>
      <c r="F61" s="51" t="s">
        <v>153</v>
      </c>
      <c r="G61" s="51" t="s">
        <v>141</v>
      </c>
      <c r="H61" s="51">
        <v>631</v>
      </c>
      <c r="I61" s="51" t="s">
        <v>67</v>
      </c>
      <c r="J61" s="138">
        <v>950</v>
      </c>
      <c r="K61" s="51" t="s">
        <v>171</v>
      </c>
      <c r="L61" s="51">
        <v>1001010998</v>
      </c>
      <c r="M61" s="51" t="s">
        <v>320</v>
      </c>
      <c r="N61" s="51" t="s">
        <v>296</v>
      </c>
      <c r="O61" s="138" t="s">
        <v>297</v>
      </c>
      <c r="P61" s="51" t="s">
        <v>146</v>
      </c>
      <c r="Q61" s="51" t="s">
        <v>147</v>
      </c>
      <c r="R61" s="51" t="s">
        <v>148</v>
      </c>
      <c r="S61" s="74">
        <v>105</v>
      </c>
      <c r="T61" s="74">
        <v>2009722</v>
      </c>
      <c r="U61" s="74"/>
      <c r="V61" s="74">
        <v>2009722</v>
      </c>
    </row>
    <row r="62" spans="1:22" ht="15" customHeight="1">
      <c r="A62" s="56"/>
      <c r="B62" s="56" t="s">
        <v>149</v>
      </c>
      <c r="C62" s="56"/>
      <c r="D62" s="56"/>
      <c r="E62" s="56"/>
      <c r="F62" s="56"/>
      <c r="G62" s="56"/>
      <c r="H62" s="56"/>
      <c r="I62" s="56"/>
      <c r="J62" s="139"/>
      <c r="K62" s="56"/>
      <c r="L62" s="56"/>
      <c r="M62" s="56"/>
      <c r="N62" s="56"/>
      <c r="O62" s="139"/>
      <c r="P62" s="56" t="s">
        <v>146</v>
      </c>
      <c r="Q62" s="56"/>
      <c r="R62" s="56"/>
      <c r="S62" s="58">
        <v>4591</v>
      </c>
      <c r="T62" s="58">
        <v>49115452</v>
      </c>
      <c r="U62" s="58"/>
      <c r="V62" s="58">
        <v>49115452</v>
      </c>
    </row>
    <row r="63" spans="1:22" ht="15" customHeight="1">
      <c r="A63" s="51">
        <v>17</v>
      </c>
      <c r="B63" s="51" t="s">
        <v>395</v>
      </c>
      <c r="C63" s="51" t="s">
        <v>396</v>
      </c>
      <c r="D63" s="51" t="s">
        <v>397</v>
      </c>
      <c r="E63" s="51" t="s">
        <v>396</v>
      </c>
      <c r="F63" s="51" t="s">
        <v>170</v>
      </c>
      <c r="G63" s="51" t="s">
        <v>141</v>
      </c>
      <c r="H63" s="51">
        <v>1005001427</v>
      </c>
      <c r="I63" s="51" t="s">
        <v>79</v>
      </c>
      <c r="J63" s="138">
        <v>164</v>
      </c>
      <c r="K63" s="51" t="s">
        <v>171</v>
      </c>
      <c r="L63" s="51">
        <v>1001024630</v>
      </c>
      <c r="M63" s="51" t="s">
        <v>398</v>
      </c>
      <c r="N63" s="51" t="s">
        <v>178</v>
      </c>
      <c r="O63" s="138" t="s">
        <v>179</v>
      </c>
      <c r="P63" s="51" t="s">
        <v>146</v>
      </c>
      <c r="Q63" s="51" t="s">
        <v>147</v>
      </c>
      <c r="R63" s="51" t="s">
        <v>148</v>
      </c>
      <c r="S63" s="74">
        <v>2503.7199999999998</v>
      </c>
      <c r="T63" s="74">
        <v>3029503</v>
      </c>
      <c r="U63" s="74"/>
      <c r="V63" s="74">
        <v>3029503</v>
      </c>
    </row>
    <row r="64" spans="1:22" ht="15" customHeight="1">
      <c r="A64" s="56"/>
      <c r="B64" s="56" t="s">
        <v>149</v>
      </c>
      <c r="C64" s="56"/>
      <c r="D64" s="56"/>
      <c r="E64" s="56"/>
      <c r="F64" s="56"/>
      <c r="G64" s="56"/>
      <c r="H64" s="56"/>
      <c r="I64" s="56"/>
      <c r="J64" s="139"/>
      <c r="K64" s="56"/>
      <c r="L64" s="56"/>
      <c r="M64" s="56"/>
      <c r="N64" s="56"/>
      <c r="O64" s="139"/>
      <c r="P64" s="56" t="s">
        <v>146</v>
      </c>
      <c r="Q64" s="56"/>
      <c r="R64" s="56"/>
      <c r="S64" s="58">
        <v>2503.7199999999998</v>
      </c>
      <c r="T64" s="58">
        <v>3029503</v>
      </c>
      <c r="U64" s="58"/>
      <c r="V64" s="58">
        <v>3029503</v>
      </c>
    </row>
    <row r="65" spans="1:22" ht="15" customHeight="1">
      <c r="A65" s="51">
        <v>18</v>
      </c>
      <c r="B65" s="51" t="s">
        <v>403</v>
      </c>
      <c r="C65" s="51" t="s">
        <v>404</v>
      </c>
      <c r="D65" s="51"/>
      <c r="E65" s="51" t="s">
        <v>404</v>
      </c>
      <c r="F65" s="51" t="s">
        <v>170</v>
      </c>
      <c r="G65" s="51" t="s">
        <v>141</v>
      </c>
      <c r="H65" s="51">
        <v>1005002337</v>
      </c>
      <c r="I65" s="51" t="s">
        <v>80</v>
      </c>
      <c r="J65" s="138">
        <v>30</v>
      </c>
      <c r="K65" s="51" t="s">
        <v>171</v>
      </c>
      <c r="L65" s="51">
        <v>1001026742</v>
      </c>
      <c r="M65" s="51" t="s">
        <v>405</v>
      </c>
      <c r="N65" s="51" t="s">
        <v>178</v>
      </c>
      <c r="O65" s="138" t="s">
        <v>179</v>
      </c>
      <c r="P65" s="51" t="s">
        <v>146</v>
      </c>
      <c r="Q65" s="51" t="s">
        <v>147</v>
      </c>
      <c r="R65" s="51" t="s">
        <v>148</v>
      </c>
      <c r="S65" s="74">
        <v>4220.72</v>
      </c>
      <c r="T65" s="74">
        <v>4685000</v>
      </c>
      <c r="U65" s="74"/>
      <c r="V65" s="74">
        <v>4685000</v>
      </c>
    </row>
    <row r="66" spans="1:22" ht="15" customHeight="1">
      <c r="A66" s="56"/>
      <c r="B66" s="56" t="s">
        <v>149</v>
      </c>
      <c r="C66" s="56"/>
      <c r="D66" s="56"/>
      <c r="E66" s="56"/>
      <c r="F66" s="56"/>
      <c r="G66" s="56"/>
      <c r="H66" s="56"/>
      <c r="I66" s="56"/>
      <c r="J66" s="139"/>
      <c r="K66" s="56"/>
      <c r="L66" s="56"/>
      <c r="M66" s="56"/>
      <c r="N66" s="56"/>
      <c r="O66" s="139"/>
      <c r="P66" s="56" t="s">
        <v>146</v>
      </c>
      <c r="Q66" s="56"/>
      <c r="R66" s="56"/>
      <c r="S66" s="58">
        <v>4220.72</v>
      </c>
      <c r="T66" s="58">
        <v>4685000</v>
      </c>
      <c r="U66" s="58"/>
      <c r="V66" s="58">
        <v>4685000</v>
      </c>
    </row>
    <row r="67" spans="1:22" ht="15" customHeight="1">
      <c r="A67" s="51">
        <v>19</v>
      </c>
      <c r="B67" s="51" t="s">
        <v>427</v>
      </c>
      <c r="C67" s="51" t="s">
        <v>428</v>
      </c>
      <c r="D67" s="51" t="s">
        <v>429</v>
      </c>
      <c r="E67" s="51" t="s">
        <v>428</v>
      </c>
      <c r="F67" s="51" t="s">
        <v>183</v>
      </c>
      <c r="G67" s="51" t="s">
        <v>141</v>
      </c>
      <c r="H67" s="51">
        <v>9081000023</v>
      </c>
      <c r="I67" s="51" t="s">
        <v>58</v>
      </c>
      <c r="J67" s="138">
        <v>1041</v>
      </c>
      <c r="K67" s="51" t="s">
        <v>171</v>
      </c>
      <c r="L67" s="51">
        <v>9081000051</v>
      </c>
      <c r="M67" s="51" t="s">
        <v>430</v>
      </c>
      <c r="N67" s="51" t="s">
        <v>321</v>
      </c>
      <c r="O67" s="138" t="s">
        <v>297</v>
      </c>
      <c r="P67" s="51" t="s">
        <v>146</v>
      </c>
      <c r="Q67" s="51" t="s">
        <v>147</v>
      </c>
      <c r="R67" s="51" t="s">
        <v>160</v>
      </c>
      <c r="S67" s="74">
        <v>1425</v>
      </c>
      <c r="T67" s="74">
        <v>31072826</v>
      </c>
      <c r="U67" s="74"/>
      <c r="V67" s="74">
        <v>31072826</v>
      </c>
    </row>
    <row r="68" spans="1:22" ht="15" customHeight="1">
      <c r="A68" s="51">
        <v>19</v>
      </c>
      <c r="B68" s="51" t="s">
        <v>427</v>
      </c>
      <c r="C68" s="51" t="s">
        <v>428</v>
      </c>
      <c r="D68" s="51" t="s">
        <v>429</v>
      </c>
      <c r="E68" s="51" t="s">
        <v>428</v>
      </c>
      <c r="F68" s="51" t="s">
        <v>153</v>
      </c>
      <c r="G68" s="51" t="s">
        <v>141</v>
      </c>
      <c r="H68" s="51">
        <v>9081000026</v>
      </c>
      <c r="I68" s="51" t="s">
        <v>76</v>
      </c>
      <c r="J68" s="138">
        <v>1027</v>
      </c>
      <c r="K68" s="51" t="s">
        <v>171</v>
      </c>
      <c r="L68" s="51">
        <v>9081000100</v>
      </c>
      <c r="M68" s="51" t="s">
        <v>282</v>
      </c>
      <c r="N68" s="51" t="s">
        <v>321</v>
      </c>
      <c r="O68" s="138" t="s">
        <v>297</v>
      </c>
      <c r="P68" s="51" t="s">
        <v>146</v>
      </c>
      <c r="Q68" s="51" t="s">
        <v>147</v>
      </c>
      <c r="R68" s="51" t="s">
        <v>160</v>
      </c>
      <c r="S68" s="74">
        <v>120</v>
      </c>
      <c r="T68" s="74">
        <v>2381366</v>
      </c>
      <c r="U68" s="74"/>
      <c r="V68" s="74">
        <v>2381366</v>
      </c>
    </row>
    <row r="69" spans="1:22" ht="15" customHeight="1">
      <c r="A69" s="51">
        <v>19</v>
      </c>
      <c r="B69" s="51" t="s">
        <v>427</v>
      </c>
      <c r="C69" s="51" t="s">
        <v>428</v>
      </c>
      <c r="D69" s="51" t="s">
        <v>429</v>
      </c>
      <c r="E69" s="51" t="s">
        <v>428</v>
      </c>
      <c r="F69" s="51" t="s">
        <v>153</v>
      </c>
      <c r="G69" s="51" t="s">
        <v>141</v>
      </c>
      <c r="H69" s="51">
        <v>9081000042</v>
      </c>
      <c r="I69" s="51" t="s">
        <v>77</v>
      </c>
      <c r="J69" s="138">
        <v>980</v>
      </c>
      <c r="K69" s="51" t="s">
        <v>171</v>
      </c>
      <c r="L69" s="51">
        <v>9081000120</v>
      </c>
      <c r="M69" s="51"/>
      <c r="N69" s="51" t="s">
        <v>321</v>
      </c>
      <c r="O69" s="138" t="s">
        <v>297</v>
      </c>
      <c r="P69" s="51" t="s">
        <v>146</v>
      </c>
      <c r="Q69" s="51" t="s">
        <v>147</v>
      </c>
      <c r="R69" s="51" t="s">
        <v>160</v>
      </c>
      <c r="S69" s="74">
        <v>1939</v>
      </c>
      <c r="T69" s="74">
        <v>34894953</v>
      </c>
      <c r="U69" s="74"/>
      <c r="V69" s="74">
        <v>34894953</v>
      </c>
    </row>
    <row r="70" spans="1:22" ht="15" customHeight="1">
      <c r="A70" s="56"/>
      <c r="B70" s="56" t="s">
        <v>149</v>
      </c>
      <c r="C70" s="56"/>
      <c r="D70" s="56"/>
      <c r="E70" s="56"/>
      <c r="F70" s="56"/>
      <c r="G70" s="56"/>
      <c r="H70" s="56"/>
      <c r="I70" s="56"/>
      <c r="J70" s="139"/>
      <c r="K70" s="56"/>
      <c r="L70" s="56"/>
      <c r="M70" s="56"/>
      <c r="N70" s="56"/>
      <c r="O70" s="139"/>
      <c r="P70" s="56" t="s">
        <v>146</v>
      </c>
      <c r="Q70" s="56"/>
      <c r="R70" s="56"/>
      <c r="S70" s="58">
        <v>3484</v>
      </c>
      <c r="T70" s="58">
        <v>68349145</v>
      </c>
      <c r="U70" s="58"/>
      <c r="V70" s="58">
        <v>68349145</v>
      </c>
    </row>
    <row r="71" spans="1:22" ht="15" customHeight="1">
      <c r="A71" s="51">
        <v>20</v>
      </c>
      <c r="B71" s="51" t="s">
        <v>431</v>
      </c>
      <c r="C71" s="51" t="s">
        <v>432</v>
      </c>
      <c r="D71" s="51" t="s">
        <v>433</v>
      </c>
      <c r="E71" s="51" t="s">
        <v>432</v>
      </c>
      <c r="F71" s="51" t="s">
        <v>183</v>
      </c>
      <c r="G71" s="51" t="s">
        <v>141</v>
      </c>
      <c r="H71" s="51">
        <v>9081000019</v>
      </c>
      <c r="I71" s="51" t="s">
        <v>58</v>
      </c>
      <c r="J71" s="138">
        <v>1041</v>
      </c>
      <c r="K71" s="51" t="s">
        <v>171</v>
      </c>
      <c r="L71" s="51">
        <v>9081000033</v>
      </c>
      <c r="M71" s="51"/>
      <c r="N71" s="51" t="s">
        <v>321</v>
      </c>
      <c r="O71" s="138" t="s">
        <v>297</v>
      </c>
      <c r="P71" s="51" t="s">
        <v>146</v>
      </c>
      <c r="Q71" s="51" t="s">
        <v>147</v>
      </c>
      <c r="R71" s="51" t="s">
        <v>160</v>
      </c>
      <c r="S71" s="74">
        <v>2950</v>
      </c>
      <c r="T71" s="74">
        <v>30677286</v>
      </c>
      <c r="U71" s="74"/>
      <c r="V71" s="74">
        <v>30677286</v>
      </c>
    </row>
    <row r="72" spans="1:22" ht="15" customHeight="1">
      <c r="A72" s="51">
        <v>20</v>
      </c>
      <c r="B72" s="51" t="s">
        <v>431</v>
      </c>
      <c r="C72" s="51" t="s">
        <v>432</v>
      </c>
      <c r="D72" s="51" t="s">
        <v>433</v>
      </c>
      <c r="E72" s="51" t="s">
        <v>432</v>
      </c>
      <c r="F72" s="51" t="s">
        <v>183</v>
      </c>
      <c r="G72" s="51" t="s">
        <v>141</v>
      </c>
      <c r="H72" s="51">
        <v>9271000023</v>
      </c>
      <c r="I72" s="51" t="s">
        <v>58</v>
      </c>
      <c r="J72" s="138">
        <v>1041</v>
      </c>
      <c r="K72" s="51" t="s">
        <v>171</v>
      </c>
      <c r="L72" s="51">
        <v>1351000240</v>
      </c>
      <c r="M72" s="51" t="s">
        <v>434</v>
      </c>
      <c r="N72" s="51" t="s">
        <v>321</v>
      </c>
      <c r="O72" s="138" t="s">
        <v>297</v>
      </c>
      <c r="P72" s="51" t="s">
        <v>146</v>
      </c>
      <c r="Q72" s="51" t="s">
        <v>147</v>
      </c>
      <c r="R72" s="51" t="s">
        <v>341</v>
      </c>
      <c r="S72" s="74">
        <v>243</v>
      </c>
      <c r="T72" s="74">
        <v>2459330</v>
      </c>
      <c r="U72" s="74"/>
      <c r="V72" s="74">
        <v>2459330</v>
      </c>
    </row>
    <row r="73" spans="1:22" ht="15" customHeight="1">
      <c r="A73" s="56"/>
      <c r="B73" s="56" t="s">
        <v>149</v>
      </c>
      <c r="C73" s="56"/>
      <c r="D73" s="56"/>
      <c r="E73" s="56"/>
      <c r="F73" s="56"/>
      <c r="G73" s="56"/>
      <c r="H73" s="56"/>
      <c r="I73" s="56"/>
      <c r="J73" s="139"/>
      <c r="K73" s="56"/>
      <c r="L73" s="56"/>
      <c r="M73" s="56"/>
      <c r="N73" s="56"/>
      <c r="O73" s="139"/>
      <c r="P73" s="56" t="s">
        <v>146</v>
      </c>
      <c r="Q73" s="56"/>
      <c r="R73" s="56"/>
      <c r="S73" s="58">
        <v>3193</v>
      </c>
      <c r="T73" s="58">
        <v>33136616</v>
      </c>
      <c r="U73" s="58"/>
      <c r="V73" s="58">
        <v>33136616</v>
      </c>
    </row>
    <row r="74" spans="1:22" ht="15" customHeight="1">
      <c r="A74" s="51">
        <v>21</v>
      </c>
      <c r="B74" s="51" t="s">
        <v>435</v>
      </c>
      <c r="C74" s="51" t="s">
        <v>436</v>
      </c>
      <c r="D74" s="51" t="s">
        <v>437</v>
      </c>
      <c r="E74" s="51" t="s">
        <v>436</v>
      </c>
      <c r="F74" s="51" t="s">
        <v>183</v>
      </c>
      <c r="G74" s="51" t="s">
        <v>141</v>
      </c>
      <c r="H74" s="51">
        <v>9271000219</v>
      </c>
      <c r="I74" s="51" t="s">
        <v>86</v>
      </c>
      <c r="J74" s="138">
        <v>491</v>
      </c>
      <c r="K74" s="51" t="s">
        <v>171</v>
      </c>
      <c r="L74" s="51">
        <v>1351000401</v>
      </c>
      <c r="M74" s="51" t="s">
        <v>438</v>
      </c>
      <c r="N74" s="51" t="s">
        <v>296</v>
      </c>
      <c r="O74" s="138" t="s">
        <v>297</v>
      </c>
      <c r="P74" s="51" t="s">
        <v>146</v>
      </c>
      <c r="Q74" s="51" t="s">
        <v>147</v>
      </c>
      <c r="R74" s="51" t="s">
        <v>341</v>
      </c>
      <c r="S74" s="74">
        <v>1170.78</v>
      </c>
      <c r="T74" s="74">
        <v>11707900</v>
      </c>
      <c r="U74" s="74"/>
      <c r="V74" s="74">
        <v>11707900</v>
      </c>
    </row>
    <row r="75" spans="1:22" ht="15" customHeight="1">
      <c r="A75" s="56"/>
      <c r="B75" s="56" t="s">
        <v>149</v>
      </c>
      <c r="C75" s="56"/>
      <c r="D75" s="56"/>
      <c r="E75" s="56"/>
      <c r="F75" s="56"/>
      <c r="G75" s="56"/>
      <c r="H75" s="56"/>
      <c r="I75" s="56"/>
      <c r="J75" s="139"/>
      <c r="K75" s="56"/>
      <c r="L75" s="56"/>
      <c r="M75" s="56"/>
      <c r="N75" s="56"/>
      <c r="O75" s="139"/>
      <c r="P75" s="56" t="s">
        <v>146</v>
      </c>
      <c r="Q75" s="56"/>
      <c r="R75" s="56"/>
      <c r="S75" s="58">
        <v>1170.78</v>
      </c>
      <c r="T75" s="58">
        <v>11707900</v>
      </c>
      <c r="U75" s="58"/>
      <c r="V75" s="58">
        <v>11707900</v>
      </c>
    </row>
    <row r="76" spans="1:22" ht="15" customHeight="1">
      <c r="A76" s="51">
        <v>22</v>
      </c>
      <c r="B76" s="51" t="s">
        <v>443</v>
      </c>
      <c r="C76" s="51" t="s">
        <v>444</v>
      </c>
      <c r="D76" s="51" t="s">
        <v>445</v>
      </c>
      <c r="E76" s="51" t="s">
        <v>444</v>
      </c>
      <c r="F76" s="51" t="s">
        <v>170</v>
      </c>
      <c r="G76" s="51" t="s">
        <v>141</v>
      </c>
      <c r="H76" s="51">
        <v>9085000067</v>
      </c>
      <c r="I76" s="51" t="s">
        <v>87</v>
      </c>
      <c r="J76" s="138">
        <v>296</v>
      </c>
      <c r="K76" s="51" t="s">
        <v>171</v>
      </c>
      <c r="L76" s="51">
        <v>9081001035</v>
      </c>
      <c r="M76" s="51" t="s">
        <v>446</v>
      </c>
      <c r="N76" s="51" t="s">
        <v>178</v>
      </c>
      <c r="O76" s="138" t="s">
        <v>179</v>
      </c>
      <c r="P76" s="51" t="s">
        <v>146</v>
      </c>
      <c r="Q76" s="51" t="s">
        <v>147</v>
      </c>
      <c r="R76" s="51" t="s">
        <v>160</v>
      </c>
      <c r="S76" s="74">
        <v>630.4</v>
      </c>
      <c r="T76" s="74">
        <v>769088</v>
      </c>
      <c r="U76" s="74"/>
      <c r="V76" s="74">
        <v>769088</v>
      </c>
    </row>
    <row r="77" spans="1:22" ht="15" customHeight="1">
      <c r="A77" s="56"/>
      <c r="B77" s="56" t="s">
        <v>149</v>
      </c>
      <c r="C77" s="56"/>
      <c r="D77" s="56"/>
      <c r="E77" s="56"/>
      <c r="F77" s="56"/>
      <c r="G77" s="56"/>
      <c r="H77" s="56"/>
      <c r="I77" s="56"/>
      <c r="J77" s="139"/>
      <c r="K77" s="56"/>
      <c r="L77" s="56"/>
      <c r="M77" s="56"/>
      <c r="N77" s="56"/>
      <c r="O77" s="139"/>
      <c r="P77" s="56" t="s">
        <v>146</v>
      </c>
      <c r="Q77" s="56"/>
      <c r="R77" s="56"/>
      <c r="S77" s="58">
        <v>630.4</v>
      </c>
      <c r="T77" s="58">
        <v>769088</v>
      </c>
      <c r="U77" s="58"/>
      <c r="V77" s="58">
        <v>769088</v>
      </c>
    </row>
    <row r="78" spans="1:22" ht="15" customHeight="1">
      <c r="A78" s="51">
        <v>23</v>
      </c>
      <c r="B78" s="51" t="s">
        <v>447</v>
      </c>
      <c r="C78" s="51" t="s">
        <v>448</v>
      </c>
      <c r="D78" s="51" t="s">
        <v>449</v>
      </c>
      <c r="E78" s="51" t="s">
        <v>448</v>
      </c>
      <c r="F78" s="51" t="s">
        <v>170</v>
      </c>
      <c r="G78" s="51" t="s">
        <v>141</v>
      </c>
      <c r="H78" s="51">
        <v>1005002027</v>
      </c>
      <c r="I78" s="51" t="s">
        <v>88</v>
      </c>
      <c r="J78" s="138">
        <v>73</v>
      </c>
      <c r="K78" s="51" t="s">
        <v>171</v>
      </c>
      <c r="L78" s="51">
        <v>1001024208</v>
      </c>
      <c r="M78" s="51" t="s">
        <v>450</v>
      </c>
      <c r="N78" s="51" t="s">
        <v>178</v>
      </c>
      <c r="O78" s="138" t="s">
        <v>179</v>
      </c>
      <c r="P78" s="51" t="s">
        <v>146</v>
      </c>
      <c r="Q78" s="51" t="s">
        <v>147</v>
      </c>
      <c r="R78" s="51" t="s">
        <v>148</v>
      </c>
      <c r="S78" s="74">
        <v>780.35</v>
      </c>
      <c r="T78" s="74">
        <v>858385</v>
      </c>
      <c r="U78" s="74"/>
      <c r="V78" s="74">
        <v>858385</v>
      </c>
    </row>
    <row r="79" spans="1:22" ht="15" customHeight="1">
      <c r="A79" s="51">
        <v>23</v>
      </c>
      <c r="B79" s="51" t="s">
        <v>447</v>
      </c>
      <c r="C79" s="51" t="s">
        <v>448</v>
      </c>
      <c r="D79" s="51" t="s">
        <v>449</v>
      </c>
      <c r="E79" s="51" t="s">
        <v>448</v>
      </c>
      <c r="F79" s="51" t="s">
        <v>170</v>
      </c>
      <c r="G79" s="51" t="s">
        <v>141</v>
      </c>
      <c r="H79" s="51">
        <v>1005002028</v>
      </c>
      <c r="I79" s="51" t="s">
        <v>88</v>
      </c>
      <c r="J79" s="138">
        <v>73</v>
      </c>
      <c r="K79" s="51" t="s">
        <v>171</v>
      </c>
      <c r="L79" s="51">
        <v>1001025335</v>
      </c>
      <c r="M79" s="51" t="s">
        <v>451</v>
      </c>
      <c r="N79" s="51" t="s">
        <v>178</v>
      </c>
      <c r="O79" s="138" t="s">
        <v>179</v>
      </c>
      <c r="P79" s="51" t="s">
        <v>146</v>
      </c>
      <c r="Q79" s="51" t="s">
        <v>147</v>
      </c>
      <c r="R79" s="51" t="s">
        <v>148</v>
      </c>
      <c r="S79" s="74">
        <v>2583.65</v>
      </c>
      <c r="T79" s="74">
        <v>3410417</v>
      </c>
      <c r="U79" s="74"/>
      <c r="V79" s="74">
        <v>3410417</v>
      </c>
    </row>
    <row r="80" spans="1:22" ht="15" customHeight="1">
      <c r="A80" s="51">
        <v>23</v>
      </c>
      <c r="B80" s="51" t="s">
        <v>447</v>
      </c>
      <c r="C80" s="51" t="s">
        <v>448</v>
      </c>
      <c r="D80" s="51" t="s">
        <v>449</v>
      </c>
      <c r="E80" s="51" t="s">
        <v>448</v>
      </c>
      <c r="F80" s="51" t="s">
        <v>170</v>
      </c>
      <c r="G80" s="51" t="s">
        <v>141</v>
      </c>
      <c r="H80" s="51">
        <v>1005002029</v>
      </c>
      <c r="I80" s="51" t="s">
        <v>88</v>
      </c>
      <c r="J80" s="138">
        <v>73</v>
      </c>
      <c r="K80" s="51" t="s">
        <v>171</v>
      </c>
      <c r="L80" s="51">
        <v>1001025905</v>
      </c>
      <c r="M80" s="51" t="s">
        <v>452</v>
      </c>
      <c r="N80" s="51" t="s">
        <v>178</v>
      </c>
      <c r="O80" s="138" t="s">
        <v>179</v>
      </c>
      <c r="P80" s="51" t="s">
        <v>146</v>
      </c>
      <c r="Q80" s="51" t="s">
        <v>147</v>
      </c>
      <c r="R80" s="51" t="s">
        <v>148</v>
      </c>
      <c r="S80" s="74">
        <v>1733.46</v>
      </c>
      <c r="T80" s="74">
        <v>2270832</v>
      </c>
      <c r="U80" s="74"/>
      <c r="V80" s="74">
        <v>2270832</v>
      </c>
    </row>
    <row r="81" spans="1:22" ht="15" customHeight="1">
      <c r="A81" s="51">
        <v>23</v>
      </c>
      <c r="B81" s="51" t="s">
        <v>447</v>
      </c>
      <c r="C81" s="51" t="s">
        <v>448</v>
      </c>
      <c r="D81" s="51" t="s">
        <v>449</v>
      </c>
      <c r="E81" s="51" t="s">
        <v>448</v>
      </c>
      <c r="F81" s="51" t="s">
        <v>170</v>
      </c>
      <c r="G81" s="51" t="s">
        <v>141</v>
      </c>
      <c r="H81" s="51">
        <v>1005002203</v>
      </c>
      <c r="I81" s="51" t="s">
        <v>89</v>
      </c>
      <c r="J81" s="138">
        <v>44</v>
      </c>
      <c r="K81" s="51" t="s">
        <v>171</v>
      </c>
      <c r="L81" s="51">
        <v>1001026480</v>
      </c>
      <c r="M81" s="51" t="s">
        <v>453</v>
      </c>
      <c r="N81" s="51" t="s">
        <v>178</v>
      </c>
      <c r="O81" s="138" t="s">
        <v>179</v>
      </c>
      <c r="P81" s="51" t="s">
        <v>146</v>
      </c>
      <c r="Q81" s="51" t="s">
        <v>147</v>
      </c>
      <c r="R81" s="51" t="s">
        <v>148</v>
      </c>
      <c r="S81" s="74">
        <v>1180.53</v>
      </c>
      <c r="T81" s="74">
        <v>1369414</v>
      </c>
      <c r="U81" s="74"/>
      <c r="V81" s="74">
        <v>1369414</v>
      </c>
    </row>
    <row r="82" spans="1:22" ht="15" customHeight="1">
      <c r="A82" s="56"/>
      <c r="B82" s="56" t="s">
        <v>149</v>
      </c>
      <c r="C82" s="56"/>
      <c r="D82" s="56"/>
      <c r="E82" s="56"/>
      <c r="F82" s="56"/>
      <c r="G82" s="56"/>
      <c r="H82" s="56"/>
      <c r="I82" s="56"/>
      <c r="J82" s="139"/>
      <c r="K82" s="56"/>
      <c r="L82" s="56"/>
      <c r="M82" s="56"/>
      <c r="N82" s="56"/>
      <c r="O82" s="139"/>
      <c r="P82" s="56" t="s">
        <v>146</v>
      </c>
      <c r="Q82" s="56"/>
      <c r="R82" s="56"/>
      <c r="S82" s="58">
        <v>6277.99</v>
      </c>
      <c r="T82" s="58">
        <v>7909048</v>
      </c>
      <c r="U82" s="58"/>
      <c r="V82" s="58">
        <v>7909048</v>
      </c>
    </row>
    <row r="83" spans="1:22" ht="15" customHeight="1">
      <c r="A83" s="51">
        <v>24</v>
      </c>
      <c r="B83" s="51" t="s">
        <v>469</v>
      </c>
      <c r="C83" s="51" t="s">
        <v>470</v>
      </c>
      <c r="D83" s="51" t="s">
        <v>471</v>
      </c>
      <c r="E83" s="51" t="s">
        <v>470</v>
      </c>
      <c r="F83" s="51" t="s">
        <v>170</v>
      </c>
      <c r="G83" s="51" t="s">
        <v>141</v>
      </c>
      <c r="H83" s="51">
        <v>1005002315</v>
      </c>
      <c r="I83" s="51" t="s">
        <v>10</v>
      </c>
      <c r="J83" s="138">
        <v>31</v>
      </c>
      <c r="K83" s="51" t="s">
        <v>171</v>
      </c>
      <c r="L83" s="51">
        <v>1001022813</v>
      </c>
      <c r="M83" s="51" t="s">
        <v>472</v>
      </c>
      <c r="N83" s="51" t="s">
        <v>178</v>
      </c>
      <c r="O83" s="138" t="s">
        <v>179</v>
      </c>
      <c r="P83" s="51" t="s">
        <v>146</v>
      </c>
      <c r="Q83" s="51" t="s">
        <v>147</v>
      </c>
      <c r="R83" s="51" t="s">
        <v>148</v>
      </c>
      <c r="S83" s="74">
        <v>3319.45</v>
      </c>
      <c r="T83" s="74">
        <v>2954310</v>
      </c>
      <c r="U83" s="74"/>
      <c r="V83" s="74">
        <v>2954310</v>
      </c>
    </row>
    <row r="84" spans="1:22" ht="15" customHeight="1">
      <c r="A84" s="51">
        <v>24</v>
      </c>
      <c r="B84" s="51" t="s">
        <v>469</v>
      </c>
      <c r="C84" s="51" t="s">
        <v>470</v>
      </c>
      <c r="D84" s="51" t="s">
        <v>471</v>
      </c>
      <c r="E84" s="51" t="s">
        <v>470</v>
      </c>
      <c r="F84" s="51" t="s">
        <v>170</v>
      </c>
      <c r="G84" s="51" t="s">
        <v>141</v>
      </c>
      <c r="H84" s="51">
        <v>1005002273</v>
      </c>
      <c r="I84" s="51" t="s">
        <v>43</v>
      </c>
      <c r="J84" s="138">
        <v>38</v>
      </c>
      <c r="K84" s="51" t="s">
        <v>171</v>
      </c>
      <c r="L84" s="51">
        <v>1001024056</v>
      </c>
      <c r="M84" s="51" t="s">
        <v>475</v>
      </c>
      <c r="N84" s="51" t="s">
        <v>178</v>
      </c>
      <c r="O84" s="138" t="s">
        <v>179</v>
      </c>
      <c r="P84" s="51" t="s">
        <v>146</v>
      </c>
      <c r="Q84" s="51" t="s">
        <v>147</v>
      </c>
      <c r="R84" s="51" t="s">
        <v>148</v>
      </c>
      <c r="S84" s="74">
        <v>8115.91</v>
      </c>
      <c r="T84" s="74">
        <v>7507219</v>
      </c>
      <c r="U84" s="74"/>
      <c r="V84" s="74">
        <v>7507219</v>
      </c>
    </row>
    <row r="85" spans="1:22" ht="15" customHeight="1">
      <c r="A85" s="56"/>
      <c r="B85" s="56" t="s">
        <v>149</v>
      </c>
      <c r="C85" s="56"/>
      <c r="D85" s="56"/>
      <c r="E85" s="56"/>
      <c r="F85" s="56"/>
      <c r="G85" s="56"/>
      <c r="H85" s="56"/>
      <c r="I85" s="56"/>
      <c r="J85" s="139"/>
      <c r="K85" s="56"/>
      <c r="L85" s="56"/>
      <c r="M85" s="56"/>
      <c r="N85" s="56"/>
      <c r="O85" s="139"/>
      <c r="P85" s="56" t="s">
        <v>146</v>
      </c>
      <c r="Q85" s="56"/>
      <c r="R85" s="56"/>
      <c r="S85" s="58">
        <v>11435.36</v>
      </c>
      <c r="T85" s="58">
        <v>10461529</v>
      </c>
      <c r="U85" s="58"/>
      <c r="V85" s="58">
        <v>10461529</v>
      </c>
    </row>
    <row r="86" spans="1:22" ht="15" customHeight="1">
      <c r="A86" s="51">
        <v>25</v>
      </c>
      <c r="B86" s="51" t="s">
        <v>482</v>
      </c>
      <c r="C86" s="51" t="s">
        <v>483</v>
      </c>
      <c r="D86" s="51" t="s">
        <v>471</v>
      </c>
      <c r="E86" s="51" t="s">
        <v>483</v>
      </c>
      <c r="F86" s="51" t="s">
        <v>170</v>
      </c>
      <c r="G86" s="51" t="s">
        <v>141</v>
      </c>
      <c r="H86" s="51">
        <v>1005002317</v>
      </c>
      <c r="I86" s="51" t="s">
        <v>10</v>
      </c>
      <c r="J86" s="138">
        <v>31</v>
      </c>
      <c r="K86" s="51" t="s">
        <v>171</v>
      </c>
      <c r="L86" s="51">
        <v>1001022811</v>
      </c>
      <c r="M86" s="51" t="s">
        <v>484</v>
      </c>
      <c r="N86" s="51" t="s">
        <v>178</v>
      </c>
      <c r="O86" s="138" t="s">
        <v>179</v>
      </c>
      <c r="P86" s="51" t="s">
        <v>146</v>
      </c>
      <c r="Q86" s="51" t="s">
        <v>147</v>
      </c>
      <c r="R86" s="51" t="s">
        <v>148</v>
      </c>
      <c r="S86" s="74">
        <v>4285.67</v>
      </c>
      <c r="T86" s="74">
        <v>3299967</v>
      </c>
      <c r="U86" s="74"/>
      <c r="V86" s="74">
        <v>3299967</v>
      </c>
    </row>
    <row r="87" spans="1:22" ht="15" customHeight="1">
      <c r="A87" s="51">
        <v>25</v>
      </c>
      <c r="B87" s="51" t="s">
        <v>482</v>
      </c>
      <c r="C87" s="51" t="s">
        <v>483</v>
      </c>
      <c r="D87" s="51" t="s">
        <v>471</v>
      </c>
      <c r="E87" s="51" t="s">
        <v>483</v>
      </c>
      <c r="F87" s="51" t="s">
        <v>170</v>
      </c>
      <c r="G87" s="51" t="s">
        <v>141</v>
      </c>
      <c r="H87" s="51">
        <v>1005002278</v>
      </c>
      <c r="I87" s="51" t="s">
        <v>43</v>
      </c>
      <c r="J87" s="138">
        <v>38</v>
      </c>
      <c r="K87" s="51" t="s">
        <v>171</v>
      </c>
      <c r="L87" s="51">
        <v>1001026072</v>
      </c>
      <c r="M87" s="51" t="s">
        <v>485</v>
      </c>
      <c r="N87" s="51" t="s">
        <v>178</v>
      </c>
      <c r="O87" s="138" t="s">
        <v>179</v>
      </c>
      <c r="P87" s="51" t="s">
        <v>146</v>
      </c>
      <c r="Q87" s="51" t="s">
        <v>147</v>
      </c>
      <c r="R87" s="51" t="s">
        <v>148</v>
      </c>
      <c r="S87" s="74">
        <v>21368.45</v>
      </c>
      <c r="T87" s="74">
        <v>22864243</v>
      </c>
      <c r="U87" s="74"/>
      <c r="V87" s="74">
        <v>22864243</v>
      </c>
    </row>
    <row r="88" spans="1:22" ht="15" customHeight="1">
      <c r="A88" s="56"/>
      <c r="B88" s="56" t="s">
        <v>149</v>
      </c>
      <c r="C88" s="56"/>
      <c r="D88" s="56"/>
      <c r="E88" s="56"/>
      <c r="F88" s="56"/>
      <c r="G88" s="56"/>
      <c r="H88" s="56"/>
      <c r="I88" s="56"/>
      <c r="J88" s="139"/>
      <c r="K88" s="56"/>
      <c r="L88" s="56"/>
      <c r="M88" s="56"/>
      <c r="N88" s="56"/>
      <c r="O88" s="139"/>
      <c r="P88" s="56" t="s">
        <v>146</v>
      </c>
      <c r="Q88" s="56"/>
      <c r="R88" s="56"/>
      <c r="S88" s="58">
        <v>25654.12</v>
      </c>
      <c r="T88" s="58">
        <v>26164210</v>
      </c>
      <c r="U88" s="58"/>
      <c r="V88" s="58">
        <v>26164210</v>
      </c>
    </row>
    <row r="89" spans="1:22" ht="15" customHeight="1">
      <c r="A89" s="51">
        <v>26</v>
      </c>
      <c r="B89" s="51" t="s">
        <v>499</v>
      </c>
      <c r="C89" s="51" t="s">
        <v>500</v>
      </c>
      <c r="D89" s="51" t="s">
        <v>501</v>
      </c>
      <c r="E89" s="51" t="s">
        <v>500</v>
      </c>
      <c r="F89" s="51" t="s">
        <v>170</v>
      </c>
      <c r="G89" s="51" t="s">
        <v>141</v>
      </c>
      <c r="H89" s="51">
        <v>1005000917</v>
      </c>
      <c r="I89" s="51" t="s">
        <v>92</v>
      </c>
      <c r="J89" s="138">
        <v>255</v>
      </c>
      <c r="K89" s="51" t="s">
        <v>171</v>
      </c>
      <c r="L89" s="51">
        <v>1001022412</v>
      </c>
      <c r="M89" s="51" t="s">
        <v>502</v>
      </c>
      <c r="N89" s="51" t="s">
        <v>178</v>
      </c>
      <c r="O89" s="138" t="s">
        <v>179</v>
      </c>
      <c r="P89" s="51" t="s">
        <v>146</v>
      </c>
      <c r="Q89" s="51" t="s">
        <v>147</v>
      </c>
      <c r="R89" s="51" t="s">
        <v>148</v>
      </c>
      <c r="S89" s="74">
        <v>5469.47</v>
      </c>
      <c r="T89" s="74">
        <v>5606209</v>
      </c>
      <c r="U89" s="74"/>
      <c r="V89" s="74">
        <v>5606209</v>
      </c>
    </row>
    <row r="90" spans="1:22" ht="15" customHeight="1">
      <c r="A90" s="51">
        <v>26</v>
      </c>
      <c r="B90" s="51" t="s">
        <v>499</v>
      </c>
      <c r="C90" s="51" t="s">
        <v>500</v>
      </c>
      <c r="D90" s="51" t="s">
        <v>501</v>
      </c>
      <c r="E90" s="51" t="s">
        <v>500</v>
      </c>
      <c r="F90" s="51" t="s">
        <v>170</v>
      </c>
      <c r="G90" s="51" t="s">
        <v>141</v>
      </c>
      <c r="H90" s="51">
        <v>1005001151</v>
      </c>
      <c r="I90" s="51" t="s">
        <v>93</v>
      </c>
      <c r="J90" s="138">
        <v>217</v>
      </c>
      <c r="K90" s="51" t="s">
        <v>171</v>
      </c>
      <c r="L90" s="51">
        <v>1001023281</v>
      </c>
      <c r="M90" s="51" t="s">
        <v>503</v>
      </c>
      <c r="N90" s="51" t="s">
        <v>178</v>
      </c>
      <c r="O90" s="138" t="s">
        <v>179</v>
      </c>
      <c r="P90" s="51" t="s">
        <v>146</v>
      </c>
      <c r="Q90" s="51" t="s">
        <v>147</v>
      </c>
      <c r="R90" s="51" t="s">
        <v>148</v>
      </c>
      <c r="S90" s="74">
        <v>3300.22</v>
      </c>
      <c r="T90" s="74">
        <v>3382726</v>
      </c>
      <c r="U90" s="74"/>
      <c r="V90" s="74">
        <v>3382726</v>
      </c>
    </row>
    <row r="91" spans="1:22" ht="15" customHeight="1">
      <c r="A91" s="51">
        <v>26</v>
      </c>
      <c r="B91" s="51" t="s">
        <v>499</v>
      </c>
      <c r="C91" s="51" t="s">
        <v>500</v>
      </c>
      <c r="D91" s="51" t="s">
        <v>501</v>
      </c>
      <c r="E91" s="51" t="s">
        <v>500</v>
      </c>
      <c r="F91" s="51" t="s">
        <v>170</v>
      </c>
      <c r="G91" s="51" t="s">
        <v>141</v>
      </c>
      <c r="H91" s="51">
        <v>1005002156</v>
      </c>
      <c r="I91" s="51" t="s">
        <v>62</v>
      </c>
      <c r="J91" s="138">
        <v>52</v>
      </c>
      <c r="K91" s="51" t="s">
        <v>171</v>
      </c>
      <c r="L91" s="51">
        <v>1001026447</v>
      </c>
      <c r="M91" s="51" t="s">
        <v>504</v>
      </c>
      <c r="N91" s="51" t="s">
        <v>178</v>
      </c>
      <c r="O91" s="138" t="s">
        <v>179</v>
      </c>
      <c r="P91" s="51" t="s">
        <v>146</v>
      </c>
      <c r="Q91" s="51" t="s">
        <v>147</v>
      </c>
      <c r="R91" s="51" t="s">
        <v>148</v>
      </c>
      <c r="S91" s="74">
        <v>2415.41</v>
      </c>
      <c r="T91" s="74">
        <v>2850183</v>
      </c>
      <c r="U91" s="74"/>
      <c r="V91" s="74">
        <v>2850183</v>
      </c>
    </row>
    <row r="92" spans="1:22" ht="15" customHeight="1">
      <c r="A92" s="51">
        <v>26</v>
      </c>
      <c r="B92" s="51" t="s">
        <v>499</v>
      </c>
      <c r="C92" s="51" t="s">
        <v>500</v>
      </c>
      <c r="D92" s="51" t="s">
        <v>501</v>
      </c>
      <c r="E92" s="51" t="s">
        <v>500</v>
      </c>
      <c r="F92" s="51" t="s">
        <v>170</v>
      </c>
      <c r="G92" s="51" t="s">
        <v>141</v>
      </c>
      <c r="H92" s="51">
        <v>1005002283</v>
      </c>
      <c r="I92" s="51" t="s">
        <v>40</v>
      </c>
      <c r="J92" s="138">
        <v>37</v>
      </c>
      <c r="K92" s="51" t="s">
        <v>171</v>
      </c>
      <c r="L92" s="51">
        <v>1001027240</v>
      </c>
      <c r="M92" s="51" t="s">
        <v>505</v>
      </c>
      <c r="N92" s="51" t="s">
        <v>178</v>
      </c>
      <c r="O92" s="138" t="s">
        <v>179</v>
      </c>
      <c r="P92" s="51" t="s">
        <v>146</v>
      </c>
      <c r="Q92" s="51" t="s">
        <v>147</v>
      </c>
      <c r="R92" s="51" t="s">
        <v>148</v>
      </c>
      <c r="S92" s="74">
        <v>2027.14</v>
      </c>
      <c r="T92" s="74">
        <v>1976464</v>
      </c>
      <c r="U92" s="74"/>
      <c r="V92" s="74">
        <v>1976464</v>
      </c>
    </row>
    <row r="93" spans="1:22" ht="15" customHeight="1">
      <c r="A93" s="56"/>
      <c r="B93" s="56" t="s">
        <v>149</v>
      </c>
      <c r="C93" s="56"/>
      <c r="D93" s="56"/>
      <c r="E93" s="56"/>
      <c r="F93" s="56"/>
      <c r="G93" s="56"/>
      <c r="H93" s="56"/>
      <c r="I93" s="56"/>
      <c r="J93" s="139"/>
      <c r="K93" s="56"/>
      <c r="L93" s="56"/>
      <c r="M93" s="56"/>
      <c r="N93" s="56"/>
      <c r="O93" s="139"/>
      <c r="P93" s="56" t="s">
        <v>146</v>
      </c>
      <c r="Q93" s="56"/>
      <c r="R93" s="56"/>
      <c r="S93" s="58">
        <v>13212.24</v>
      </c>
      <c r="T93" s="58">
        <v>13815582</v>
      </c>
      <c r="U93" s="58"/>
      <c r="V93" s="58">
        <v>13815582</v>
      </c>
    </row>
    <row r="94" spans="1:22" ht="15" customHeight="1">
      <c r="A94" s="51">
        <v>27</v>
      </c>
      <c r="B94" s="51" t="s">
        <v>506</v>
      </c>
      <c r="C94" s="51" t="s">
        <v>507</v>
      </c>
      <c r="D94" s="51" t="s">
        <v>217</v>
      </c>
      <c r="E94" s="51" t="s">
        <v>507</v>
      </c>
      <c r="F94" s="51" t="s">
        <v>170</v>
      </c>
      <c r="G94" s="51" t="s">
        <v>141</v>
      </c>
      <c r="H94" s="51">
        <v>1005002392</v>
      </c>
      <c r="I94" s="51" t="s">
        <v>90</v>
      </c>
      <c r="J94" s="138">
        <v>15</v>
      </c>
      <c r="K94" s="51" t="s">
        <v>171</v>
      </c>
      <c r="L94" s="51">
        <v>1001026185</v>
      </c>
      <c r="M94" s="51" t="s">
        <v>508</v>
      </c>
      <c r="N94" s="51" t="s">
        <v>178</v>
      </c>
      <c r="O94" s="138" t="s">
        <v>179</v>
      </c>
      <c r="P94" s="51" t="s">
        <v>146</v>
      </c>
      <c r="Q94" s="51" t="s">
        <v>147</v>
      </c>
      <c r="R94" s="51" t="s">
        <v>148</v>
      </c>
      <c r="S94" s="74">
        <v>3687.36</v>
      </c>
      <c r="T94" s="74">
        <v>4793568</v>
      </c>
      <c r="U94" s="74"/>
      <c r="V94" s="74">
        <v>4793568</v>
      </c>
    </row>
    <row r="95" spans="1:22" ht="15" customHeight="1">
      <c r="A95" s="56"/>
      <c r="B95" s="56" t="s">
        <v>149</v>
      </c>
      <c r="C95" s="56"/>
      <c r="D95" s="56"/>
      <c r="E95" s="56"/>
      <c r="F95" s="56"/>
      <c r="G95" s="56"/>
      <c r="H95" s="56"/>
      <c r="I95" s="56"/>
      <c r="J95" s="139"/>
      <c r="K95" s="56"/>
      <c r="L95" s="56"/>
      <c r="M95" s="56"/>
      <c r="N95" s="56"/>
      <c r="O95" s="139"/>
      <c r="P95" s="56" t="s">
        <v>146</v>
      </c>
      <c r="Q95" s="56"/>
      <c r="R95" s="56"/>
      <c r="S95" s="58">
        <v>3687.36</v>
      </c>
      <c r="T95" s="58">
        <v>4793568</v>
      </c>
      <c r="U95" s="58"/>
      <c r="V95" s="58">
        <v>4793568</v>
      </c>
    </row>
    <row r="96" spans="1:22" ht="15" customHeight="1">
      <c r="A96" s="51">
        <v>28</v>
      </c>
      <c r="B96" s="51" t="s">
        <v>526</v>
      </c>
      <c r="C96" s="51" t="s">
        <v>527</v>
      </c>
      <c r="D96" s="51" t="s">
        <v>501</v>
      </c>
      <c r="E96" s="51" t="s">
        <v>527</v>
      </c>
      <c r="F96" s="51" t="s">
        <v>170</v>
      </c>
      <c r="G96" s="51" t="s">
        <v>141</v>
      </c>
      <c r="H96" s="51">
        <v>1005000923</v>
      </c>
      <c r="I96" s="51" t="s">
        <v>94</v>
      </c>
      <c r="J96" s="138">
        <v>254</v>
      </c>
      <c r="K96" s="51" t="s">
        <v>171</v>
      </c>
      <c r="L96" s="51">
        <v>1001022755</v>
      </c>
      <c r="M96" s="51" t="s">
        <v>528</v>
      </c>
      <c r="N96" s="51" t="s">
        <v>178</v>
      </c>
      <c r="O96" s="138" t="s">
        <v>179</v>
      </c>
      <c r="P96" s="51" t="s">
        <v>146</v>
      </c>
      <c r="Q96" s="51" t="s">
        <v>147</v>
      </c>
      <c r="R96" s="51" t="s">
        <v>148</v>
      </c>
      <c r="S96" s="74">
        <v>2885.6</v>
      </c>
      <c r="T96" s="74">
        <v>2885600</v>
      </c>
      <c r="U96" s="74"/>
      <c r="V96" s="74">
        <v>2885600</v>
      </c>
    </row>
    <row r="97" spans="1:22" ht="15" customHeight="1">
      <c r="A97" s="51">
        <v>28</v>
      </c>
      <c r="B97" s="51" t="s">
        <v>526</v>
      </c>
      <c r="C97" s="51" t="s">
        <v>527</v>
      </c>
      <c r="D97" s="51" t="s">
        <v>501</v>
      </c>
      <c r="E97" s="51" t="s">
        <v>527</v>
      </c>
      <c r="F97" s="51" t="s">
        <v>170</v>
      </c>
      <c r="G97" s="51" t="s">
        <v>141</v>
      </c>
      <c r="H97" s="51">
        <v>1005001373</v>
      </c>
      <c r="I97" s="51" t="s">
        <v>95</v>
      </c>
      <c r="J97" s="138">
        <v>175</v>
      </c>
      <c r="K97" s="51" t="s">
        <v>171</v>
      </c>
      <c r="L97" s="51">
        <v>1001024214</v>
      </c>
      <c r="M97" s="51" t="s">
        <v>529</v>
      </c>
      <c r="N97" s="51" t="s">
        <v>178</v>
      </c>
      <c r="O97" s="138" t="s">
        <v>179</v>
      </c>
      <c r="P97" s="51" t="s">
        <v>146</v>
      </c>
      <c r="Q97" s="51" t="s">
        <v>147</v>
      </c>
      <c r="R97" s="51" t="s">
        <v>148</v>
      </c>
      <c r="S97" s="74">
        <v>3236.65</v>
      </c>
      <c r="T97" s="74">
        <v>3527949</v>
      </c>
      <c r="U97" s="74"/>
      <c r="V97" s="74">
        <v>3527949</v>
      </c>
    </row>
    <row r="98" spans="1:22" ht="15" customHeight="1">
      <c r="A98" s="51">
        <v>28</v>
      </c>
      <c r="B98" s="51" t="s">
        <v>526</v>
      </c>
      <c r="C98" s="51" t="s">
        <v>527</v>
      </c>
      <c r="D98" s="51" t="s">
        <v>501</v>
      </c>
      <c r="E98" s="51" t="s">
        <v>527</v>
      </c>
      <c r="F98" s="51" t="s">
        <v>170</v>
      </c>
      <c r="G98" s="51" t="s">
        <v>141</v>
      </c>
      <c r="H98" s="51">
        <v>1005002284</v>
      </c>
      <c r="I98" s="51" t="s">
        <v>40</v>
      </c>
      <c r="J98" s="138">
        <v>37</v>
      </c>
      <c r="K98" s="51" t="s">
        <v>171</v>
      </c>
      <c r="L98" s="51">
        <v>1001027243</v>
      </c>
      <c r="M98" s="51" t="s">
        <v>530</v>
      </c>
      <c r="N98" s="51" t="s">
        <v>178</v>
      </c>
      <c r="O98" s="138" t="s">
        <v>179</v>
      </c>
      <c r="P98" s="51" t="s">
        <v>146</v>
      </c>
      <c r="Q98" s="51" t="s">
        <v>147</v>
      </c>
      <c r="R98" s="51" t="s">
        <v>148</v>
      </c>
      <c r="S98" s="74">
        <v>1453.66</v>
      </c>
      <c r="T98" s="74">
        <v>1417320</v>
      </c>
      <c r="U98" s="74"/>
      <c r="V98" s="74">
        <v>1417320</v>
      </c>
    </row>
    <row r="99" spans="1:22" ht="15" customHeight="1">
      <c r="A99" s="56"/>
      <c r="B99" s="56" t="s">
        <v>149</v>
      </c>
      <c r="C99" s="56"/>
      <c r="D99" s="56"/>
      <c r="E99" s="56"/>
      <c r="F99" s="56"/>
      <c r="G99" s="56"/>
      <c r="H99" s="56"/>
      <c r="I99" s="56"/>
      <c r="J99" s="139"/>
      <c r="K99" s="56"/>
      <c r="L99" s="56"/>
      <c r="M99" s="56"/>
      <c r="N99" s="56"/>
      <c r="O99" s="139"/>
      <c r="P99" s="56" t="s">
        <v>146</v>
      </c>
      <c r="Q99" s="56"/>
      <c r="R99" s="56"/>
      <c r="S99" s="58">
        <v>7575.91</v>
      </c>
      <c r="T99" s="58">
        <v>7830869</v>
      </c>
      <c r="U99" s="58"/>
      <c r="V99" s="58">
        <v>7830869</v>
      </c>
    </row>
    <row r="100" spans="1:22" ht="15" customHeight="1">
      <c r="A100" s="51">
        <v>29</v>
      </c>
      <c r="B100" s="51" t="s">
        <v>531</v>
      </c>
      <c r="C100" s="51" t="s">
        <v>532</v>
      </c>
      <c r="D100" s="51"/>
      <c r="E100" s="51" t="s">
        <v>436</v>
      </c>
      <c r="F100" s="51" t="s">
        <v>183</v>
      </c>
      <c r="G100" s="51" t="s">
        <v>141</v>
      </c>
      <c r="H100" s="51">
        <v>1688</v>
      </c>
      <c r="I100" s="51" t="s">
        <v>86</v>
      </c>
      <c r="J100" s="138">
        <v>491</v>
      </c>
      <c r="K100" s="51" t="s">
        <v>171</v>
      </c>
      <c r="L100" s="51">
        <v>1001018636</v>
      </c>
      <c r="M100" s="51">
        <v>1352000000331</v>
      </c>
      <c r="N100" s="51" t="s">
        <v>296</v>
      </c>
      <c r="O100" s="138" t="s">
        <v>297</v>
      </c>
      <c r="P100" s="51" t="s">
        <v>146</v>
      </c>
      <c r="Q100" s="51" t="s">
        <v>147</v>
      </c>
      <c r="R100" s="51" t="s">
        <v>148</v>
      </c>
      <c r="S100" s="74">
        <v>1170.78</v>
      </c>
      <c r="T100" s="74">
        <v>11824979</v>
      </c>
      <c r="U100" s="74"/>
      <c r="V100" s="74">
        <v>11824979</v>
      </c>
    </row>
    <row r="101" spans="1:22" ht="15" customHeight="1">
      <c r="A101" s="56"/>
      <c r="B101" s="56" t="s">
        <v>149</v>
      </c>
      <c r="C101" s="56"/>
      <c r="D101" s="56"/>
      <c r="E101" s="56"/>
      <c r="F101" s="56"/>
      <c r="G101" s="56"/>
      <c r="H101" s="56"/>
      <c r="I101" s="56"/>
      <c r="J101" s="139"/>
      <c r="K101" s="56"/>
      <c r="L101" s="56"/>
      <c r="M101" s="56"/>
      <c r="N101" s="56"/>
      <c r="O101" s="139"/>
      <c r="P101" s="56" t="s">
        <v>146</v>
      </c>
      <c r="Q101" s="56"/>
      <c r="R101" s="56"/>
      <c r="S101" s="58">
        <v>1170.78</v>
      </c>
      <c r="T101" s="58">
        <v>11824979</v>
      </c>
      <c r="U101" s="58"/>
      <c r="V101" s="58">
        <v>11824979</v>
      </c>
    </row>
    <row r="102" spans="1:22" ht="15" customHeight="1">
      <c r="A102" s="51">
        <v>30</v>
      </c>
      <c r="B102" s="51" t="s">
        <v>545</v>
      </c>
      <c r="C102" s="51" t="s">
        <v>546</v>
      </c>
      <c r="D102" s="51" t="s">
        <v>535</v>
      </c>
      <c r="E102" s="51" t="s">
        <v>444</v>
      </c>
      <c r="F102" s="51" t="s">
        <v>170</v>
      </c>
      <c r="G102" s="51" t="s">
        <v>141</v>
      </c>
      <c r="H102" s="51">
        <v>1005000647</v>
      </c>
      <c r="I102" s="51" t="s">
        <v>87</v>
      </c>
      <c r="J102" s="138">
        <v>296</v>
      </c>
      <c r="K102" s="51" t="s">
        <v>171</v>
      </c>
      <c r="L102" s="51">
        <v>1001021988</v>
      </c>
      <c r="M102" s="51">
        <v>1082000002164</v>
      </c>
      <c r="N102" s="51" t="s">
        <v>178</v>
      </c>
      <c r="O102" s="138" t="s">
        <v>179</v>
      </c>
      <c r="P102" s="51" t="s">
        <v>146</v>
      </c>
      <c r="Q102" s="51" t="s">
        <v>147</v>
      </c>
      <c r="R102" s="51" t="s">
        <v>148</v>
      </c>
      <c r="S102" s="74">
        <v>630.4</v>
      </c>
      <c r="T102" s="74">
        <v>775392</v>
      </c>
      <c r="U102" s="74"/>
      <c r="V102" s="74">
        <v>775392</v>
      </c>
    </row>
    <row r="103" spans="1:22" ht="15" customHeight="1">
      <c r="A103" s="51">
        <v>30</v>
      </c>
      <c r="B103" s="51" t="s">
        <v>545</v>
      </c>
      <c r="C103" s="51" t="s">
        <v>546</v>
      </c>
      <c r="D103" s="51" t="s">
        <v>535</v>
      </c>
      <c r="E103" s="51" t="s">
        <v>276</v>
      </c>
      <c r="F103" s="51" t="s">
        <v>170</v>
      </c>
      <c r="G103" s="51" t="s">
        <v>141</v>
      </c>
      <c r="H103" s="51">
        <v>1005002222</v>
      </c>
      <c r="I103" s="51" t="s">
        <v>51</v>
      </c>
      <c r="J103" s="138">
        <v>43</v>
      </c>
      <c r="K103" s="51" t="s">
        <v>171</v>
      </c>
      <c r="L103" s="51">
        <v>1001026178</v>
      </c>
      <c r="M103" s="51">
        <v>1082000002752</v>
      </c>
      <c r="N103" s="51" t="s">
        <v>178</v>
      </c>
      <c r="O103" s="138" t="s">
        <v>179</v>
      </c>
      <c r="P103" s="51" t="s">
        <v>146</v>
      </c>
      <c r="Q103" s="51" t="s">
        <v>147</v>
      </c>
      <c r="R103" s="51" t="s">
        <v>148</v>
      </c>
      <c r="S103" s="74">
        <v>5329.66</v>
      </c>
      <c r="T103" s="74">
        <v>6662076</v>
      </c>
      <c r="U103" s="74"/>
      <c r="V103" s="74">
        <v>6662076</v>
      </c>
    </row>
    <row r="104" spans="1:22" ht="15" customHeight="1">
      <c r="A104" s="51">
        <v>30</v>
      </c>
      <c r="B104" s="51" t="s">
        <v>545</v>
      </c>
      <c r="C104" s="51" t="s">
        <v>546</v>
      </c>
      <c r="D104" s="51" t="s">
        <v>535</v>
      </c>
      <c r="E104" s="51" t="s">
        <v>547</v>
      </c>
      <c r="F104" s="51" t="s">
        <v>170</v>
      </c>
      <c r="G104" s="51" t="s">
        <v>141</v>
      </c>
      <c r="H104" s="51">
        <v>1005002331</v>
      </c>
      <c r="I104" s="51" t="s">
        <v>80</v>
      </c>
      <c r="J104" s="138">
        <v>30</v>
      </c>
      <c r="K104" s="51" t="s">
        <v>171</v>
      </c>
      <c r="L104" s="51">
        <v>1001026048</v>
      </c>
      <c r="M104" s="51">
        <v>1082000002725</v>
      </c>
      <c r="N104" s="51" t="s">
        <v>178</v>
      </c>
      <c r="O104" s="138" t="s">
        <v>179</v>
      </c>
      <c r="P104" s="51" t="s">
        <v>146</v>
      </c>
      <c r="Q104" s="51" t="s">
        <v>147</v>
      </c>
      <c r="R104" s="51" t="s">
        <v>148</v>
      </c>
      <c r="S104" s="74">
        <v>85.59</v>
      </c>
      <c r="T104" s="74">
        <v>107843</v>
      </c>
      <c r="U104" s="74"/>
      <c r="V104" s="74">
        <v>107843</v>
      </c>
    </row>
    <row r="105" spans="1:22" ht="15" customHeight="1">
      <c r="A105" s="51">
        <v>30</v>
      </c>
      <c r="B105" s="51" t="s">
        <v>545</v>
      </c>
      <c r="C105" s="51" t="s">
        <v>546</v>
      </c>
      <c r="D105" s="51" t="s">
        <v>535</v>
      </c>
      <c r="E105" s="51" t="s">
        <v>548</v>
      </c>
      <c r="F105" s="51" t="s">
        <v>170</v>
      </c>
      <c r="G105" s="51" t="s">
        <v>141</v>
      </c>
      <c r="H105" s="51">
        <v>1005002370</v>
      </c>
      <c r="I105" s="51" t="s">
        <v>60</v>
      </c>
      <c r="J105" s="138">
        <v>21</v>
      </c>
      <c r="K105" s="51" t="s">
        <v>171</v>
      </c>
      <c r="L105" s="51">
        <v>1001025786</v>
      </c>
      <c r="M105" s="51">
        <v>1082000002688</v>
      </c>
      <c r="N105" s="51" t="s">
        <v>178</v>
      </c>
      <c r="O105" s="138" t="s">
        <v>179</v>
      </c>
      <c r="P105" s="51" t="s">
        <v>146</v>
      </c>
      <c r="Q105" s="51" t="s">
        <v>147</v>
      </c>
      <c r="R105" s="51" t="s">
        <v>148</v>
      </c>
      <c r="S105" s="74">
        <v>1442.64</v>
      </c>
      <c r="T105" s="74">
        <v>1861005</v>
      </c>
      <c r="U105" s="74"/>
      <c r="V105" s="74">
        <v>1861005</v>
      </c>
    </row>
    <row r="106" spans="1:22" ht="15" customHeight="1">
      <c r="A106" s="56"/>
      <c r="B106" s="56" t="s">
        <v>149</v>
      </c>
      <c r="C106" s="56"/>
      <c r="D106" s="56"/>
      <c r="E106" s="56"/>
      <c r="F106" s="56"/>
      <c r="G106" s="56"/>
      <c r="H106" s="56"/>
      <c r="I106" s="56"/>
      <c r="J106" s="139"/>
      <c r="K106" s="56"/>
      <c r="L106" s="56"/>
      <c r="M106" s="56"/>
      <c r="N106" s="56"/>
      <c r="O106" s="139"/>
      <c r="P106" s="56" t="s">
        <v>146</v>
      </c>
      <c r="Q106" s="56"/>
      <c r="R106" s="56"/>
      <c r="S106" s="58">
        <v>7488.29</v>
      </c>
      <c r="T106" s="58">
        <v>9406316</v>
      </c>
      <c r="U106" s="58"/>
      <c r="V106" s="58">
        <v>9406316</v>
      </c>
    </row>
    <row r="107" spans="1:22" ht="15" customHeight="1">
      <c r="A107" s="51">
        <v>31</v>
      </c>
      <c r="B107" s="51" t="s">
        <v>554</v>
      </c>
      <c r="C107" s="51" t="s">
        <v>555</v>
      </c>
      <c r="D107" s="51" t="s">
        <v>535</v>
      </c>
      <c r="E107" s="51" t="s">
        <v>330</v>
      </c>
      <c r="F107" s="51" t="s">
        <v>183</v>
      </c>
      <c r="G107" s="51" t="s">
        <v>141</v>
      </c>
      <c r="H107" s="51">
        <v>1005002351</v>
      </c>
      <c r="I107" s="51" t="s">
        <v>47</v>
      </c>
      <c r="J107" s="138">
        <v>25</v>
      </c>
      <c r="K107" s="51" t="s">
        <v>171</v>
      </c>
      <c r="L107" s="51">
        <v>1001027387</v>
      </c>
      <c r="M107" s="51">
        <v>1142000003066</v>
      </c>
      <c r="N107" s="51" t="s">
        <v>334</v>
      </c>
      <c r="O107" s="138" t="s">
        <v>297</v>
      </c>
      <c r="P107" s="51" t="s">
        <v>146</v>
      </c>
      <c r="Q107" s="51" t="s">
        <v>147</v>
      </c>
      <c r="R107" s="51" t="s">
        <v>148</v>
      </c>
      <c r="S107" s="74">
        <v>27560</v>
      </c>
      <c r="T107" s="74">
        <v>2756000</v>
      </c>
      <c r="U107" s="74"/>
      <c r="V107" s="74">
        <v>2756000</v>
      </c>
    </row>
    <row r="108" spans="1:22" ht="15" customHeight="1">
      <c r="A108" s="51">
        <v>31</v>
      </c>
      <c r="B108" s="51" t="s">
        <v>554</v>
      </c>
      <c r="C108" s="51" t="s">
        <v>555</v>
      </c>
      <c r="D108" s="51" t="s">
        <v>535</v>
      </c>
      <c r="E108" s="51" t="s">
        <v>330</v>
      </c>
      <c r="F108" s="51" t="s">
        <v>183</v>
      </c>
      <c r="G108" s="51" t="s">
        <v>141</v>
      </c>
      <c r="H108" s="51">
        <v>1005002352</v>
      </c>
      <c r="I108" s="51" t="s">
        <v>47</v>
      </c>
      <c r="J108" s="138">
        <v>25</v>
      </c>
      <c r="K108" s="51" t="s">
        <v>171</v>
      </c>
      <c r="L108" s="51">
        <v>1001027387</v>
      </c>
      <c r="M108" s="51">
        <v>1142000003066</v>
      </c>
      <c r="N108" s="51" t="s">
        <v>334</v>
      </c>
      <c r="O108" s="138" t="s">
        <v>297</v>
      </c>
      <c r="P108" s="51" t="s">
        <v>146</v>
      </c>
      <c r="Q108" s="51" t="s">
        <v>147</v>
      </c>
      <c r="R108" s="51" t="s">
        <v>148</v>
      </c>
      <c r="S108" s="74">
        <v>75.78</v>
      </c>
      <c r="T108" s="74">
        <v>948008</v>
      </c>
      <c r="U108" s="74"/>
      <c r="V108" s="74">
        <v>948008</v>
      </c>
    </row>
    <row r="109" spans="1:22" ht="15" customHeight="1">
      <c r="A109" s="51">
        <v>31</v>
      </c>
      <c r="B109" s="51" t="s">
        <v>554</v>
      </c>
      <c r="C109" s="51" t="s">
        <v>555</v>
      </c>
      <c r="D109" s="51" t="s">
        <v>535</v>
      </c>
      <c r="E109" s="51" t="s">
        <v>330</v>
      </c>
      <c r="F109" s="51" t="s">
        <v>183</v>
      </c>
      <c r="G109" s="51" t="s">
        <v>141</v>
      </c>
      <c r="H109" s="51">
        <v>1005002353</v>
      </c>
      <c r="I109" s="51" t="s">
        <v>47</v>
      </c>
      <c r="J109" s="138">
        <v>25</v>
      </c>
      <c r="K109" s="51" t="s">
        <v>171</v>
      </c>
      <c r="L109" s="51">
        <v>1001027385</v>
      </c>
      <c r="M109" s="51">
        <v>1142000003064</v>
      </c>
      <c r="N109" s="51" t="s">
        <v>296</v>
      </c>
      <c r="O109" s="138" t="s">
        <v>297</v>
      </c>
      <c r="P109" s="51" t="s">
        <v>146</v>
      </c>
      <c r="Q109" s="51" t="s">
        <v>147</v>
      </c>
      <c r="R109" s="51" t="s">
        <v>148</v>
      </c>
      <c r="S109" s="74">
        <v>48320</v>
      </c>
      <c r="T109" s="74">
        <v>9664000</v>
      </c>
      <c r="U109" s="74"/>
      <c r="V109" s="74">
        <v>9664000</v>
      </c>
    </row>
    <row r="110" spans="1:22" ht="15" customHeight="1">
      <c r="A110" s="51">
        <v>31</v>
      </c>
      <c r="B110" s="51" t="s">
        <v>554</v>
      </c>
      <c r="C110" s="51" t="s">
        <v>555</v>
      </c>
      <c r="D110" s="51" t="s">
        <v>535</v>
      </c>
      <c r="E110" s="51" t="s">
        <v>330</v>
      </c>
      <c r="F110" s="51" t="s">
        <v>183</v>
      </c>
      <c r="G110" s="51" t="s">
        <v>141</v>
      </c>
      <c r="H110" s="51">
        <v>1005002354</v>
      </c>
      <c r="I110" s="51" t="s">
        <v>47</v>
      </c>
      <c r="J110" s="138">
        <v>25</v>
      </c>
      <c r="K110" s="51" t="s">
        <v>171</v>
      </c>
      <c r="L110" s="51">
        <v>1001027385</v>
      </c>
      <c r="M110" s="51">
        <v>1142000003064</v>
      </c>
      <c r="N110" s="51" t="s">
        <v>296</v>
      </c>
      <c r="O110" s="138" t="s">
        <v>297</v>
      </c>
      <c r="P110" s="51" t="s">
        <v>146</v>
      </c>
      <c r="Q110" s="51" t="s">
        <v>147</v>
      </c>
      <c r="R110" s="51" t="s">
        <v>148</v>
      </c>
      <c r="S110" s="74">
        <v>192.04</v>
      </c>
      <c r="T110" s="74">
        <v>2402421</v>
      </c>
      <c r="U110" s="74"/>
      <c r="V110" s="74">
        <v>2402421</v>
      </c>
    </row>
    <row r="111" spans="1:22" ht="15" customHeight="1">
      <c r="A111" s="56"/>
      <c r="B111" s="56" t="s">
        <v>149</v>
      </c>
      <c r="C111" s="56"/>
      <c r="D111" s="56"/>
      <c r="E111" s="56"/>
      <c r="F111" s="56"/>
      <c r="G111" s="56"/>
      <c r="H111" s="56"/>
      <c r="I111" s="56"/>
      <c r="J111" s="139"/>
      <c r="K111" s="56"/>
      <c r="L111" s="56"/>
      <c r="M111" s="56"/>
      <c r="N111" s="56"/>
      <c r="O111" s="139"/>
      <c r="P111" s="56" t="s">
        <v>146</v>
      </c>
      <c r="Q111" s="56"/>
      <c r="R111" s="56"/>
      <c r="S111" s="58">
        <v>76147.820000000007</v>
      </c>
      <c r="T111" s="58">
        <v>15770429</v>
      </c>
      <c r="U111" s="58"/>
      <c r="V111" s="58">
        <v>15770429</v>
      </c>
    </row>
    <row r="112" spans="1:22" ht="15" customHeight="1">
      <c r="A112" s="59"/>
      <c r="B112" s="59" t="s">
        <v>624</v>
      </c>
      <c r="C112" s="59"/>
      <c r="D112" s="59"/>
      <c r="E112" s="59"/>
      <c r="F112" s="59"/>
      <c r="G112" s="59"/>
      <c r="H112" s="59"/>
      <c r="I112" s="59"/>
      <c r="J112" s="140"/>
      <c r="K112" s="59"/>
      <c r="L112" s="59"/>
      <c r="M112" s="59"/>
      <c r="N112" s="59"/>
      <c r="O112" s="140"/>
      <c r="P112" s="59" t="s">
        <v>146</v>
      </c>
      <c r="Q112" s="59"/>
      <c r="R112" s="59"/>
      <c r="S112" s="61">
        <v>684699.59</v>
      </c>
      <c r="T112" s="61">
        <v>1251742204</v>
      </c>
      <c r="U112" s="61">
        <v>1734452.5</v>
      </c>
      <c r="V112" s="61">
        <v>1253476656.5</v>
      </c>
    </row>
  </sheetData>
  <mergeCells count="23">
    <mergeCell ref="F5:F7"/>
    <mergeCell ref="A5:A7"/>
    <mergeCell ref="B5:B7"/>
    <mergeCell ref="C5:C7"/>
    <mergeCell ref="D5:D7"/>
    <mergeCell ref="E5:E7"/>
    <mergeCell ref="R5:R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S5:V5"/>
    <mergeCell ref="S6:S7"/>
    <mergeCell ref="T6:T7"/>
    <mergeCell ref="U6:U7"/>
    <mergeCell ref="V6:V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V39"/>
  <sheetViews>
    <sheetView workbookViewId="0">
      <pane xSplit="3" ySplit="8" topLeftCell="D32" activePane="bottomRight" state="frozen"/>
      <selection pane="topRight" activeCell="D1" sqref="D1"/>
      <selection pane="bottomLeft" activeCell="A9" sqref="A9"/>
      <selection pane="bottomRight" activeCell="V42" sqref="V42"/>
    </sheetView>
  </sheetViews>
  <sheetFormatPr defaultColWidth="9.1796875" defaultRowHeight="14.5"/>
  <cols>
    <col min="1" max="1" width="4.453125" style="5" customWidth="1"/>
    <col min="2" max="2" width="14.81640625" style="5" hidden="1" customWidth="1"/>
    <col min="3" max="3" width="36.54296875" style="5" bestFit="1" customWidth="1"/>
    <col min="4" max="4" width="25.36328125" style="5" customWidth="1"/>
    <col min="5" max="5" width="36.54296875" style="5" hidden="1" customWidth="1"/>
    <col min="6" max="6" width="30.26953125" style="5" hidden="1" customWidth="1"/>
    <col min="7" max="7" width="4.453125" style="5" hidden="1" customWidth="1"/>
    <col min="8" max="8" width="12.453125" style="5" hidden="1" customWidth="1"/>
    <col min="9" max="9" width="12.453125" style="5" bestFit="1" customWidth="1"/>
    <col min="10" max="10" width="9.1796875" style="5" customWidth="1"/>
    <col min="11" max="11" width="12.453125" style="5" hidden="1" customWidth="1"/>
    <col min="12" max="12" width="12.453125" style="5" bestFit="1" customWidth="1"/>
    <col min="13" max="13" width="36.54296875" style="5" hidden="1" customWidth="1"/>
    <col min="14" max="14" width="18.453125" style="5" hidden="1" customWidth="1"/>
    <col min="15" max="15" width="12.08984375" style="141" customWidth="1"/>
    <col min="16" max="16" width="4.453125" style="5" hidden="1" customWidth="1"/>
    <col min="17" max="18" width="6.7265625" style="5" hidden="1" customWidth="1"/>
    <col min="19" max="19" width="17.1796875" style="65" customWidth="1"/>
    <col min="20" max="20" width="30.26953125" style="65" hidden="1" customWidth="1"/>
    <col min="21" max="21" width="1.1796875" style="65" hidden="1" customWidth="1"/>
    <col min="22" max="22" width="21.90625" style="65" customWidth="1"/>
    <col min="23" max="16384" width="9.1796875" style="5"/>
  </cols>
  <sheetData>
    <row r="1" spans="1:22">
      <c r="A1" s="62" t="s">
        <v>625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137"/>
      <c r="P1" s="63"/>
      <c r="Q1" s="63"/>
      <c r="R1" s="63"/>
    </row>
    <row r="2" spans="1:22">
      <c r="A2" s="62" t="s">
        <v>696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37"/>
      <c r="P2" s="63"/>
      <c r="Q2" s="63"/>
      <c r="R2" s="63"/>
    </row>
    <row r="3" spans="1:22">
      <c r="A3" s="4" t="s">
        <v>644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137"/>
      <c r="P3" s="63"/>
      <c r="Q3" s="63"/>
      <c r="R3" s="63"/>
    </row>
    <row r="4" spans="1:22">
      <c r="A4" s="66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137"/>
      <c r="P4" s="63"/>
      <c r="Q4" s="63"/>
      <c r="R4" s="63"/>
    </row>
    <row r="5" spans="1:22" s="63" customFormat="1" ht="15" customHeight="1">
      <c r="A5" s="202" t="s">
        <v>124</v>
      </c>
      <c r="B5" s="202" t="s">
        <v>125</v>
      </c>
      <c r="C5" s="202" t="s">
        <v>126</v>
      </c>
      <c r="D5" s="208" t="s">
        <v>127</v>
      </c>
      <c r="E5" s="202" t="s">
        <v>128</v>
      </c>
      <c r="F5" s="202" t="s">
        <v>129</v>
      </c>
      <c r="G5" s="202" t="s">
        <v>0</v>
      </c>
      <c r="H5" s="202" t="s">
        <v>130</v>
      </c>
      <c r="I5" s="202" t="s">
        <v>131</v>
      </c>
      <c r="J5" s="202" t="s">
        <v>635</v>
      </c>
      <c r="K5" s="202" t="s">
        <v>132</v>
      </c>
      <c r="L5" s="202" t="s">
        <v>707</v>
      </c>
      <c r="M5" s="205" t="s">
        <v>133</v>
      </c>
      <c r="N5" s="202" t="s">
        <v>134</v>
      </c>
      <c r="O5" s="208" t="s">
        <v>637</v>
      </c>
      <c r="P5" s="202" t="s">
        <v>1</v>
      </c>
      <c r="Q5" s="202" t="s">
        <v>2</v>
      </c>
      <c r="R5" s="202" t="s">
        <v>638</v>
      </c>
      <c r="S5" s="193" t="s">
        <v>639</v>
      </c>
      <c r="T5" s="194"/>
      <c r="U5" s="194"/>
      <c r="V5" s="195"/>
    </row>
    <row r="6" spans="1:22" s="63" customFormat="1" ht="15" customHeight="1">
      <c r="A6" s="203"/>
      <c r="B6" s="203"/>
      <c r="C6" s="203"/>
      <c r="D6" s="209"/>
      <c r="E6" s="203"/>
      <c r="F6" s="203"/>
      <c r="G6" s="203"/>
      <c r="H6" s="203"/>
      <c r="I6" s="203"/>
      <c r="J6" s="203"/>
      <c r="K6" s="203"/>
      <c r="L6" s="203"/>
      <c r="M6" s="206"/>
      <c r="N6" s="203"/>
      <c r="O6" s="209"/>
      <c r="P6" s="203"/>
      <c r="Q6" s="203"/>
      <c r="R6" s="203"/>
      <c r="S6" s="196" t="s">
        <v>640</v>
      </c>
      <c r="T6" s="198" t="s">
        <v>641</v>
      </c>
      <c r="U6" s="198" t="s">
        <v>642</v>
      </c>
      <c r="V6" s="200" t="s">
        <v>643</v>
      </c>
    </row>
    <row r="7" spans="1:22" s="63" customFormat="1" ht="15" customHeight="1">
      <c r="A7" s="204"/>
      <c r="B7" s="204"/>
      <c r="C7" s="204"/>
      <c r="D7" s="210"/>
      <c r="E7" s="204"/>
      <c r="F7" s="204"/>
      <c r="G7" s="204"/>
      <c r="H7" s="204"/>
      <c r="I7" s="204"/>
      <c r="J7" s="204"/>
      <c r="K7" s="204"/>
      <c r="L7" s="204"/>
      <c r="M7" s="207"/>
      <c r="N7" s="204"/>
      <c r="O7" s="210"/>
      <c r="P7" s="204"/>
      <c r="Q7" s="204"/>
      <c r="R7" s="204"/>
      <c r="S7" s="197"/>
      <c r="T7" s="199"/>
      <c r="U7" s="199"/>
      <c r="V7" s="201"/>
    </row>
    <row r="8" spans="1:22" s="63" customFormat="1" ht="15" customHeight="1">
      <c r="A8" s="67" t="s">
        <v>124</v>
      </c>
      <c r="B8" s="67" t="s">
        <v>627</v>
      </c>
      <c r="C8" s="67" t="s">
        <v>126</v>
      </c>
      <c r="D8" s="67" t="s">
        <v>628</v>
      </c>
      <c r="E8" s="67" t="s">
        <v>128</v>
      </c>
      <c r="F8" s="67" t="s">
        <v>633</v>
      </c>
      <c r="G8" s="67" t="s">
        <v>0</v>
      </c>
      <c r="H8" s="67" t="s">
        <v>634</v>
      </c>
      <c r="I8" s="67" t="s">
        <v>131</v>
      </c>
      <c r="J8" s="67" t="s">
        <v>635</v>
      </c>
      <c r="K8" s="67" t="s">
        <v>132</v>
      </c>
      <c r="L8" s="67" t="s">
        <v>636</v>
      </c>
      <c r="M8" s="68" t="s">
        <v>133</v>
      </c>
      <c r="N8" s="67" t="s">
        <v>134</v>
      </c>
      <c r="O8" s="67" t="s">
        <v>637</v>
      </c>
      <c r="P8" s="67" t="s">
        <v>1</v>
      </c>
      <c r="Q8" s="67" t="s">
        <v>2</v>
      </c>
      <c r="R8" s="67" t="s">
        <v>638</v>
      </c>
      <c r="S8" s="70" t="s">
        <v>640</v>
      </c>
      <c r="T8" s="70" t="s">
        <v>641</v>
      </c>
      <c r="U8" s="71" t="s">
        <v>642</v>
      </c>
      <c r="V8" s="72" t="s">
        <v>643</v>
      </c>
    </row>
    <row r="9" spans="1:22" ht="15" customHeight="1">
      <c r="A9" s="51">
        <v>1</v>
      </c>
      <c r="B9" s="51" t="s">
        <v>250</v>
      </c>
      <c r="C9" s="51" t="s">
        <v>251</v>
      </c>
      <c r="D9" s="51" t="s">
        <v>252</v>
      </c>
      <c r="E9" s="51" t="s">
        <v>251</v>
      </c>
      <c r="F9" s="51" t="s">
        <v>153</v>
      </c>
      <c r="G9" s="51" t="s">
        <v>141</v>
      </c>
      <c r="H9" s="51">
        <v>1385000045</v>
      </c>
      <c r="I9" s="51" t="s">
        <v>45</v>
      </c>
      <c r="J9" s="51">
        <v>109</v>
      </c>
      <c r="K9" s="51" t="s">
        <v>253</v>
      </c>
      <c r="L9" s="51">
        <v>1381002095</v>
      </c>
      <c r="M9" s="51" t="s">
        <v>254</v>
      </c>
      <c r="N9" s="51" t="s">
        <v>144</v>
      </c>
      <c r="O9" s="138" t="s">
        <v>145</v>
      </c>
      <c r="P9" s="51" t="s">
        <v>146</v>
      </c>
      <c r="Q9" s="51" t="s">
        <v>147</v>
      </c>
      <c r="R9" s="51" t="s">
        <v>255</v>
      </c>
      <c r="S9" s="74">
        <v>102.23</v>
      </c>
      <c r="T9" s="74">
        <v>1501555</v>
      </c>
      <c r="U9" s="74"/>
      <c r="V9" s="74">
        <v>1501555</v>
      </c>
    </row>
    <row r="10" spans="1:22" ht="15" customHeight="1">
      <c r="A10" s="51">
        <v>1</v>
      </c>
      <c r="B10" s="51" t="s">
        <v>250</v>
      </c>
      <c r="C10" s="51" t="s">
        <v>251</v>
      </c>
      <c r="D10" s="51" t="s">
        <v>252</v>
      </c>
      <c r="E10" s="51" t="s">
        <v>251</v>
      </c>
      <c r="F10" s="51" t="s">
        <v>153</v>
      </c>
      <c r="G10" s="51" t="s">
        <v>141</v>
      </c>
      <c r="H10" s="51">
        <v>1385000050</v>
      </c>
      <c r="I10" s="51" t="s">
        <v>46</v>
      </c>
      <c r="J10" s="51">
        <v>106</v>
      </c>
      <c r="K10" s="51" t="s">
        <v>253</v>
      </c>
      <c r="L10" s="51">
        <v>1381002169</v>
      </c>
      <c r="M10" s="51" t="s">
        <v>256</v>
      </c>
      <c r="N10" s="51" t="s">
        <v>144</v>
      </c>
      <c r="O10" s="138" t="s">
        <v>145</v>
      </c>
      <c r="P10" s="51" t="s">
        <v>146</v>
      </c>
      <c r="Q10" s="51" t="s">
        <v>147</v>
      </c>
      <c r="R10" s="51" t="s">
        <v>255</v>
      </c>
      <c r="S10" s="74">
        <v>83.09</v>
      </c>
      <c r="T10" s="74">
        <v>1222337</v>
      </c>
      <c r="U10" s="74"/>
      <c r="V10" s="74">
        <v>1222337</v>
      </c>
    </row>
    <row r="11" spans="1:22" ht="15" customHeight="1">
      <c r="A11" s="51">
        <v>1</v>
      </c>
      <c r="B11" s="51" t="s">
        <v>250</v>
      </c>
      <c r="C11" s="51" t="s">
        <v>251</v>
      </c>
      <c r="D11" s="51" t="s">
        <v>252</v>
      </c>
      <c r="E11" s="51" t="s">
        <v>251</v>
      </c>
      <c r="F11" s="51" t="s">
        <v>153</v>
      </c>
      <c r="G11" s="51" t="s">
        <v>141</v>
      </c>
      <c r="H11" s="51">
        <v>1385000054</v>
      </c>
      <c r="I11" s="51" t="s">
        <v>25</v>
      </c>
      <c r="J11" s="51">
        <v>95</v>
      </c>
      <c r="K11" s="51" t="s">
        <v>253</v>
      </c>
      <c r="L11" s="51">
        <v>1381002173</v>
      </c>
      <c r="M11" s="51" t="s">
        <v>257</v>
      </c>
      <c r="N11" s="51" t="s">
        <v>144</v>
      </c>
      <c r="O11" s="138" t="s">
        <v>145</v>
      </c>
      <c r="P11" s="51" t="s">
        <v>146</v>
      </c>
      <c r="Q11" s="51" t="s">
        <v>147</v>
      </c>
      <c r="R11" s="51" t="s">
        <v>255</v>
      </c>
      <c r="S11" s="74">
        <v>77.209999999999994</v>
      </c>
      <c r="T11" s="74">
        <v>1143557</v>
      </c>
      <c r="U11" s="74"/>
      <c r="V11" s="74">
        <v>1143557</v>
      </c>
    </row>
    <row r="12" spans="1:22" ht="15" customHeight="1">
      <c r="A12" s="51">
        <v>1</v>
      </c>
      <c r="B12" s="51" t="s">
        <v>250</v>
      </c>
      <c r="C12" s="51" t="s">
        <v>251</v>
      </c>
      <c r="D12" s="51" t="s">
        <v>252</v>
      </c>
      <c r="E12" s="51" t="s">
        <v>251</v>
      </c>
      <c r="F12" s="51" t="s">
        <v>153</v>
      </c>
      <c r="G12" s="51" t="s">
        <v>141</v>
      </c>
      <c r="H12" s="51">
        <v>1385000061</v>
      </c>
      <c r="I12" s="51" t="s">
        <v>39</v>
      </c>
      <c r="J12" s="51">
        <v>65</v>
      </c>
      <c r="K12" s="51" t="s">
        <v>253</v>
      </c>
      <c r="L12" s="51">
        <v>1381002307</v>
      </c>
      <c r="M12" s="51" t="s">
        <v>258</v>
      </c>
      <c r="N12" s="51" t="s">
        <v>144</v>
      </c>
      <c r="O12" s="138" t="s">
        <v>145</v>
      </c>
      <c r="P12" s="51" t="s">
        <v>146</v>
      </c>
      <c r="Q12" s="51" t="s">
        <v>147</v>
      </c>
      <c r="R12" s="51" t="s">
        <v>255</v>
      </c>
      <c r="S12" s="74">
        <v>31.21</v>
      </c>
      <c r="T12" s="74">
        <v>449892</v>
      </c>
      <c r="U12" s="74"/>
      <c r="V12" s="74">
        <v>449892</v>
      </c>
    </row>
    <row r="13" spans="1:22" ht="15" customHeight="1">
      <c r="A13" s="51">
        <v>1</v>
      </c>
      <c r="B13" s="51" t="s">
        <v>250</v>
      </c>
      <c r="C13" s="51" t="s">
        <v>251</v>
      </c>
      <c r="D13" s="51" t="s">
        <v>252</v>
      </c>
      <c r="E13" s="51" t="s">
        <v>251</v>
      </c>
      <c r="F13" s="51" t="s">
        <v>153</v>
      </c>
      <c r="G13" s="51" t="s">
        <v>141</v>
      </c>
      <c r="H13" s="51">
        <v>1385000062</v>
      </c>
      <c r="I13" s="51" t="s">
        <v>39</v>
      </c>
      <c r="J13" s="51">
        <v>65</v>
      </c>
      <c r="K13" s="51" t="s">
        <v>253</v>
      </c>
      <c r="L13" s="51">
        <v>1381002313</v>
      </c>
      <c r="M13" s="51" t="s">
        <v>259</v>
      </c>
      <c r="N13" s="51" t="s">
        <v>144</v>
      </c>
      <c r="O13" s="138" t="s">
        <v>145</v>
      </c>
      <c r="P13" s="51" t="s">
        <v>146</v>
      </c>
      <c r="Q13" s="51" t="s">
        <v>147</v>
      </c>
      <c r="R13" s="51" t="s">
        <v>255</v>
      </c>
      <c r="S13" s="74">
        <v>57.02</v>
      </c>
      <c r="T13" s="74">
        <v>812934</v>
      </c>
      <c r="U13" s="74"/>
      <c r="V13" s="74">
        <v>812934</v>
      </c>
    </row>
    <row r="14" spans="1:22" ht="15" customHeight="1">
      <c r="A14" s="51">
        <v>1</v>
      </c>
      <c r="B14" s="51" t="s">
        <v>250</v>
      </c>
      <c r="C14" s="51" t="s">
        <v>251</v>
      </c>
      <c r="D14" s="51" t="s">
        <v>252</v>
      </c>
      <c r="E14" s="51" t="s">
        <v>251</v>
      </c>
      <c r="F14" s="51" t="s">
        <v>153</v>
      </c>
      <c r="G14" s="51" t="s">
        <v>141</v>
      </c>
      <c r="H14" s="51">
        <v>1385000075</v>
      </c>
      <c r="I14" s="51" t="s">
        <v>47</v>
      </c>
      <c r="J14" s="51">
        <v>25</v>
      </c>
      <c r="K14" s="51" t="s">
        <v>253</v>
      </c>
      <c r="L14" s="51">
        <v>1381002416</v>
      </c>
      <c r="M14" s="51" t="s">
        <v>260</v>
      </c>
      <c r="N14" s="51" t="s">
        <v>144</v>
      </c>
      <c r="O14" s="138" t="s">
        <v>145</v>
      </c>
      <c r="P14" s="51" t="s">
        <v>146</v>
      </c>
      <c r="Q14" s="51" t="s">
        <v>147</v>
      </c>
      <c r="R14" s="51" t="s">
        <v>255</v>
      </c>
      <c r="S14" s="74">
        <v>31</v>
      </c>
      <c r="T14" s="74">
        <v>449531</v>
      </c>
      <c r="U14" s="74"/>
      <c r="V14" s="74">
        <v>449531</v>
      </c>
    </row>
    <row r="15" spans="1:22" ht="15" customHeight="1">
      <c r="A15" s="56"/>
      <c r="B15" s="56" t="s">
        <v>149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139"/>
      <c r="P15" s="56" t="s">
        <v>146</v>
      </c>
      <c r="Q15" s="56"/>
      <c r="R15" s="56"/>
      <c r="S15" s="58">
        <v>381.76</v>
      </c>
      <c r="T15" s="58">
        <v>5579806</v>
      </c>
      <c r="U15" s="58"/>
      <c r="V15" s="58">
        <v>5579806</v>
      </c>
    </row>
    <row r="16" spans="1:22" ht="15" customHeight="1">
      <c r="A16" s="51">
        <v>2</v>
      </c>
      <c r="B16" s="51" t="s">
        <v>326</v>
      </c>
      <c r="C16" s="51" t="s">
        <v>327</v>
      </c>
      <c r="D16" s="51" t="s">
        <v>182</v>
      </c>
      <c r="E16" s="51" t="s">
        <v>327</v>
      </c>
      <c r="F16" s="51" t="s">
        <v>153</v>
      </c>
      <c r="G16" s="51" t="s">
        <v>141</v>
      </c>
      <c r="H16" s="51">
        <v>9271000098</v>
      </c>
      <c r="I16" s="51" t="s">
        <v>69</v>
      </c>
      <c r="J16" s="51">
        <v>630</v>
      </c>
      <c r="K16" s="51" t="s">
        <v>253</v>
      </c>
      <c r="L16" s="51">
        <v>1381000575</v>
      </c>
      <c r="M16" s="51" t="s">
        <v>328</v>
      </c>
      <c r="N16" s="51" t="s">
        <v>144</v>
      </c>
      <c r="O16" s="138" t="s">
        <v>145</v>
      </c>
      <c r="P16" s="51" t="s">
        <v>146</v>
      </c>
      <c r="Q16" s="51" t="s">
        <v>147</v>
      </c>
      <c r="R16" s="51" t="s">
        <v>255</v>
      </c>
      <c r="S16" s="74">
        <v>349.49</v>
      </c>
      <c r="T16" s="74">
        <v>3766454</v>
      </c>
      <c r="U16" s="74"/>
      <c r="V16" s="74">
        <v>3766454</v>
      </c>
    </row>
    <row r="17" spans="1:22" ht="15" customHeight="1">
      <c r="A17" s="56"/>
      <c r="B17" s="56" t="s">
        <v>149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139"/>
      <c r="P17" s="56" t="s">
        <v>146</v>
      </c>
      <c r="Q17" s="56"/>
      <c r="R17" s="56"/>
      <c r="S17" s="58">
        <v>349.49</v>
      </c>
      <c r="T17" s="58">
        <v>3766454</v>
      </c>
      <c r="U17" s="58"/>
      <c r="V17" s="58">
        <v>3766454</v>
      </c>
    </row>
    <row r="18" spans="1:22" ht="15" customHeight="1">
      <c r="A18" s="51">
        <v>3</v>
      </c>
      <c r="B18" s="51" t="s">
        <v>357</v>
      </c>
      <c r="C18" s="51" t="s">
        <v>358</v>
      </c>
      <c r="D18" s="51" t="s">
        <v>359</v>
      </c>
      <c r="E18" s="51" t="s">
        <v>358</v>
      </c>
      <c r="F18" s="51" t="s">
        <v>153</v>
      </c>
      <c r="G18" s="51" t="s">
        <v>141</v>
      </c>
      <c r="H18" s="51">
        <v>9271000358</v>
      </c>
      <c r="I18" s="51" t="s">
        <v>73</v>
      </c>
      <c r="J18" s="51">
        <v>417</v>
      </c>
      <c r="K18" s="51" t="s">
        <v>253</v>
      </c>
      <c r="L18" s="51">
        <v>1381001241</v>
      </c>
      <c r="M18" s="51" t="s">
        <v>360</v>
      </c>
      <c r="N18" s="51" t="s">
        <v>144</v>
      </c>
      <c r="O18" s="138" t="s">
        <v>145</v>
      </c>
      <c r="P18" s="51" t="s">
        <v>146</v>
      </c>
      <c r="Q18" s="51" t="s">
        <v>147</v>
      </c>
      <c r="R18" s="51" t="s">
        <v>255</v>
      </c>
      <c r="S18" s="74">
        <v>28410</v>
      </c>
      <c r="T18" s="74">
        <v>2841000</v>
      </c>
      <c r="U18" s="74"/>
      <c r="V18" s="74">
        <v>2841000</v>
      </c>
    </row>
    <row r="19" spans="1:22" ht="15" customHeight="1">
      <c r="A19" s="56"/>
      <c r="B19" s="56" t="s">
        <v>149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139"/>
      <c r="P19" s="56" t="s">
        <v>146</v>
      </c>
      <c r="Q19" s="56"/>
      <c r="R19" s="56"/>
      <c r="S19" s="58">
        <v>28410</v>
      </c>
      <c r="T19" s="58">
        <v>2841000</v>
      </c>
      <c r="U19" s="58"/>
      <c r="V19" s="58">
        <v>2841000</v>
      </c>
    </row>
    <row r="20" spans="1:22" ht="15" customHeight="1">
      <c r="A20" s="51">
        <v>4</v>
      </c>
      <c r="B20" s="51" t="s">
        <v>399</v>
      </c>
      <c r="C20" s="51" t="s">
        <v>400</v>
      </c>
      <c r="D20" s="51" t="s">
        <v>401</v>
      </c>
      <c r="E20" s="51" t="s">
        <v>400</v>
      </c>
      <c r="F20" s="51" t="s">
        <v>153</v>
      </c>
      <c r="G20" s="51" t="s">
        <v>141</v>
      </c>
      <c r="H20" s="51">
        <v>1005002457</v>
      </c>
      <c r="I20" s="51" t="s">
        <v>9</v>
      </c>
      <c r="J20" s="51">
        <v>9</v>
      </c>
      <c r="K20" s="51" t="s">
        <v>253</v>
      </c>
      <c r="L20" s="51">
        <v>1001027801</v>
      </c>
      <c r="M20" s="51" t="s">
        <v>402</v>
      </c>
      <c r="N20" s="51" t="s">
        <v>144</v>
      </c>
      <c r="O20" s="138" t="s">
        <v>145</v>
      </c>
      <c r="P20" s="51" t="s">
        <v>146</v>
      </c>
      <c r="Q20" s="51" t="s">
        <v>147</v>
      </c>
      <c r="R20" s="51" t="s">
        <v>148</v>
      </c>
      <c r="S20" s="74">
        <v>243.34</v>
      </c>
      <c r="T20" s="74">
        <v>3632580</v>
      </c>
      <c r="U20" s="74">
        <v>399583.8</v>
      </c>
      <c r="V20" s="74">
        <v>4032163.8</v>
      </c>
    </row>
    <row r="21" spans="1:22" ht="15" customHeight="1">
      <c r="A21" s="56"/>
      <c r="B21" s="56" t="s">
        <v>149</v>
      </c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139"/>
      <c r="P21" s="56" t="s">
        <v>146</v>
      </c>
      <c r="Q21" s="56"/>
      <c r="R21" s="56"/>
      <c r="S21" s="58">
        <v>243.34</v>
      </c>
      <c r="T21" s="58">
        <v>3632580</v>
      </c>
      <c r="U21" s="58">
        <v>399583.8</v>
      </c>
      <c r="V21" s="58">
        <v>4032163.8</v>
      </c>
    </row>
    <row r="22" spans="1:22" ht="15" customHeight="1">
      <c r="A22" s="51">
        <v>5</v>
      </c>
      <c r="B22" s="51" t="s">
        <v>412</v>
      </c>
      <c r="C22" s="51" t="s">
        <v>413</v>
      </c>
      <c r="D22" s="51" t="s">
        <v>414</v>
      </c>
      <c r="E22" s="51" t="s">
        <v>413</v>
      </c>
      <c r="F22" s="51" t="s">
        <v>153</v>
      </c>
      <c r="G22" s="51" t="s">
        <v>141</v>
      </c>
      <c r="H22" s="51">
        <v>1385000063</v>
      </c>
      <c r="I22" s="51" t="s">
        <v>39</v>
      </c>
      <c r="J22" s="51">
        <v>65</v>
      </c>
      <c r="K22" s="51" t="s">
        <v>253</v>
      </c>
      <c r="L22" s="51">
        <v>1381002279</v>
      </c>
      <c r="M22" s="51" t="s">
        <v>415</v>
      </c>
      <c r="N22" s="51" t="s">
        <v>144</v>
      </c>
      <c r="O22" s="138" t="s">
        <v>145</v>
      </c>
      <c r="P22" s="51" t="s">
        <v>146</v>
      </c>
      <c r="Q22" s="51" t="s">
        <v>147</v>
      </c>
      <c r="R22" s="51" t="s">
        <v>255</v>
      </c>
      <c r="S22" s="74">
        <v>110320</v>
      </c>
      <c r="T22" s="74">
        <v>6830500</v>
      </c>
      <c r="U22" s="74"/>
      <c r="V22" s="74">
        <v>6830500</v>
      </c>
    </row>
    <row r="23" spans="1:22" ht="15" customHeight="1">
      <c r="A23" s="51">
        <v>5</v>
      </c>
      <c r="B23" s="51" t="s">
        <v>412</v>
      </c>
      <c r="C23" s="51" t="s">
        <v>413</v>
      </c>
      <c r="D23" s="51" t="s">
        <v>414</v>
      </c>
      <c r="E23" s="51" t="s">
        <v>413</v>
      </c>
      <c r="F23" s="51" t="s">
        <v>153</v>
      </c>
      <c r="G23" s="51" t="s">
        <v>141</v>
      </c>
      <c r="H23" s="51">
        <v>1385000066</v>
      </c>
      <c r="I23" s="51" t="s">
        <v>39</v>
      </c>
      <c r="J23" s="51">
        <v>65</v>
      </c>
      <c r="K23" s="51" t="s">
        <v>253</v>
      </c>
      <c r="L23" s="51">
        <v>1381002274</v>
      </c>
      <c r="M23" s="51" t="s">
        <v>416</v>
      </c>
      <c r="N23" s="51" t="s">
        <v>144</v>
      </c>
      <c r="O23" s="138" t="s">
        <v>145</v>
      </c>
      <c r="P23" s="51" t="s">
        <v>146</v>
      </c>
      <c r="Q23" s="51" t="s">
        <v>147</v>
      </c>
      <c r="R23" s="51" t="s">
        <v>255</v>
      </c>
      <c r="S23" s="74">
        <v>66920</v>
      </c>
      <c r="T23" s="74">
        <v>3494250</v>
      </c>
      <c r="U23" s="74"/>
      <c r="V23" s="74">
        <v>3494250</v>
      </c>
    </row>
    <row r="24" spans="1:22" ht="15" customHeight="1">
      <c r="A24" s="56"/>
      <c r="B24" s="56" t="s">
        <v>149</v>
      </c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139"/>
      <c r="P24" s="56" t="s">
        <v>146</v>
      </c>
      <c r="Q24" s="56"/>
      <c r="R24" s="56"/>
      <c r="S24" s="58">
        <v>177240</v>
      </c>
      <c r="T24" s="58">
        <v>10324750</v>
      </c>
      <c r="U24" s="58"/>
      <c r="V24" s="58">
        <v>10324750</v>
      </c>
    </row>
    <row r="25" spans="1:22" ht="15" customHeight="1">
      <c r="A25" s="51">
        <v>6</v>
      </c>
      <c r="B25" s="51" t="s">
        <v>417</v>
      </c>
      <c r="C25" s="51" t="s">
        <v>418</v>
      </c>
      <c r="D25" s="51" t="s">
        <v>419</v>
      </c>
      <c r="E25" s="51" t="s">
        <v>418</v>
      </c>
      <c r="F25" s="51" t="s">
        <v>140</v>
      </c>
      <c r="G25" s="51" t="s">
        <v>141</v>
      </c>
      <c r="H25" s="51">
        <v>1385000077</v>
      </c>
      <c r="I25" s="51" t="s">
        <v>12</v>
      </c>
      <c r="J25" s="51">
        <v>10</v>
      </c>
      <c r="K25" s="51" t="s">
        <v>253</v>
      </c>
      <c r="L25" s="51">
        <v>1381002350</v>
      </c>
      <c r="M25" s="51" t="s">
        <v>420</v>
      </c>
      <c r="N25" s="51" t="s">
        <v>144</v>
      </c>
      <c r="O25" s="138" t="s">
        <v>145</v>
      </c>
      <c r="P25" s="51" t="s">
        <v>146</v>
      </c>
      <c r="Q25" s="51" t="s">
        <v>147</v>
      </c>
      <c r="R25" s="51" t="s">
        <v>255</v>
      </c>
      <c r="S25" s="74">
        <v>22.7</v>
      </c>
      <c r="T25" s="74">
        <v>324338</v>
      </c>
      <c r="U25" s="74">
        <v>35677.18</v>
      </c>
      <c r="V25" s="74">
        <v>360015.18</v>
      </c>
    </row>
    <row r="26" spans="1:22" ht="15" customHeight="1">
      <c r="A26" s="56"/>
      <c r="B26" s="56" t="s">
        <v>149</v>
      </c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139"/>
      <c r="P26" s="56" t="s">
        <v>146</v>
      </c>
      <c r="Q26" s="56"/>
      <c r="R26" s="56"/>
      <c r="S26" s="58">
        <v>22.7</v>
      </c>
      <c r="T26" s="58">
        <v>324338</v>
      </c>
      <c r="U26" s="58">
        <v>35677.18</v>
      </c>
      <c r="V26" s="58">
        <v>360015.18</v>
      </c>
    </row>
    <row r="27" spans="1:22" ht="15" customHeight="1">
      <c r="A27" s="51">
        <v>7</v>
      </c>
      <c r="B27" s="51" t="s">
        <v>566</v>
      </c>
      <c r="C27" s="51" t="s">
        <v>567</v>
      </c>
      <c r="D27" s="51" t="s">
        <v>535</v>
      </c>
      <c r="E27" s="51" t="s">
        <v>568</v>
      </c>
      <c r="F27" s="51" t="s">
        <v>153</v>
      </c>
      <c r="G27" s="51" t="s">
        <v>141</v>
      </c>
      <c r="H27" s="51">
        <v>1385000020</v>
      </c>
      <c r="I27" s="51" t="s">
        <v>108</v>
      </c>
      <c r="J27" s="51">
        <v>295</v>
      </c>
      <c r="K27" s="51" t="s">
        <v>253</v>
      </c>
      <c r="L27" s="51">
        <v>1381001614</v>
      </c>
      <c r="M27" s="51">
        <v>1002000004209</v>
      </c>
      <c r="N27" s="51" t="s">
        <v>144</v>
      </c>
      <c r="O27" s="138" t="s">
        <v>145</v>
      </c>
      <c r="P27" s="51" t="s">
        <v>146</v>
      </c>
      <c r="Q27" s="51" t="s">
        <v>147</v>
      </c>
      <c r="R27" s="51" t="s">
        <v>255</v>
      </c>
      <c r="S27" s="74">
        <v>30530</v>
      </c>
      <c r="T27" s="74">
        <v>3053000</v>
      </c>
      <c r="U27" s="74"/>
      <c r="V27" s="74">
        <v>3053000</v>
      </c>
    </row>
    <row r="28" spans="1:22" ht="15" customHeight="1">
      <c r="A28" s="51">
        <v>7</v>
      </c>
      <c r="B28" s="51" t="s">
        <v>566</v>
      </c>
      <c r="C28" s="51" t="s">
        <v>567</v>
      </c>
      <c r="D28" s="51" t="s">
        <v>535</v>
      </c>
      <c r="E28" s="51" t="s">
        <v>400</v>
      </c>
      <c r="F28" s="51" t="s">
        <v>153</v>
      </c>
      <c r="G28" s="51" t="s">
        <v>141</v>
      </c>
      <c r="H28" s="51">
        <v>1385000044</v>
      </c>
      <c r="I28" s="51" t="s">
        <v>29</v>
      </c>
      <c r="J28" s="51">
        <v>135</v>
      </c>
      <c r="K28" s="51" t="s">
        <v>253</v>
      </c>
      <c r="L28" s="51">
        <v>1381002079</v>
      </c>
      <c r="M28" s="51">
        <v>1002000004914</v>
      </c>
      <c r="N28" s="51" t="s">
        <v>144</v>
      </c>
      <c r="O28" s="138" t="s">
        <v>145</v>
      </c>
      <c r="P28" s="51" t="s">
        <v>146</v>
      </c>
      <c r="Q28" s="51" t="s">
        <v>147</v>
      </c>
      <c r="R28" s="51" t="s">
        <v>255</v>
      </c>
      <c r="S28" s="74">
        <v>57.11</v>
      </c>
      <c r="T28" s="74">
        <v>842944</v>
      </c>
      <c r="U28" s="74"/>
      <c r="V28" s="74">
        <v>842944</v>
      </c>
    </row>
    <row r="29" spans="1:22" ht="15" customHeight="1">
      <c r="A29" s="51">
        <v>7</v>
      </c>
      <c r="B29" s="51" t="s">
        <v>566</v>
      </c>
      <c r="C29" s="51" t="s">
        <v>567</v>
      </c>
      <c r="D29" s="51" t="s">
        <v>535</v>
      </c>
      <c r="E29" s="51" t="s">
        <v>568</v>
      </c>
      <c r="F29" s="51" t="s">
        <v>140</v>
      </c>
      <c r="G29" s="51" t="s">
        <v>141</v>
      </c>
      <c r="H29" s="51">
        <v>1385000046</v>
      </c>
      <c r="I29" s="51" t="s">
        <v>109</v>
      </c>
      <c r="J29" s="51">
        <v>108</v>
      </c>
      <c r="K29" s="51" t="s">
        <v>253</v>
      </c>
      <c r="L29" s="51">
        <v>1381002129</v>
      </c>
      <c r="M29" s="51">
        <v>1002000005007</v>
      </c>
      <c r="N29" s="51" t="s">
        <v>569</v>
      </c>
      <c r="O29" s="138" t="s">
        <v>570</v>
      </c>
      <c r="P29" s="51" t="s">
        <v>146</v>
      </c>
      <c r="Q29" s="51" t="s">
        <v>147</v>
      </c>
      <c r="R29" s="51" t="s">
        <v>255</v>
      </c>
      <c r="S29" s="74">
        <v>77540</v>
      </c>
      <c r="T29" s="74">
        <v>7754000</v>
      </c>
      <c r="U29" s="74"/>
      <c r="V29" s="74">
        <v>7754000</v>
      </c>
    </row>
    <row r="30" spans="1:22" ht="15" customHeight="1">
      <c r="A30" s="51">
        <v>7</v>
      </c>
      <c r="B30" s="51" t="s">
        <v>566</v>
      </c>
      <c r="C30" s="51" t="s">
        <v>567</v>
      </c>
      <c r="D30" s="51" t="s">
        <v>535</v>
      </c>
      <c r="E30" s="51" t="s">
        <v>568</v>
      </c>
      <c r="F30" s="51" t="s">
        <v>140</v>
      </c>
      <c r="G30" s="51" t="s">
        <v>141</v>
      </c>
      <c r="H30" s="51">
        <v>1385000047</v>
      </c>
      <c r="I30" s="51" t="s">
        <v>109</v>
      </c>
      <c r="J30" s="51">
        <v>108</v>
      </c>
      <c r="K30" s="51" t="s">
        <v>253</v>
      </c>
      <c r="L30" s="51">
        <v>1381002129</v>
      </c>
      <c r="M30" s="51">
        <v>1002000005007</v>
      </c>
      <c r="N30" s="51" t="s">
        <v>569</v>
      </c>
      <c r="O30" s="138" t="s">
        <v>570</v>
      </c>
      <c r="P30" s="51" t="s">
        <v>146</v>
      </c>
      <c r="Q30" s="51" t="s">
        <v>147</v>
      </c>
      <c r="R30" s="51" t="s">
        <v>255</v>
      </c>
      <c r="S30" s="74">
        <v>21760</v>
      </c>
      <c r="T30" s="74">
        <v>2176000</v>
      </c>
      <c r="U30" s="74"/>
      <c r="V30" s="74">
        <v>2176000</v>
      </c>
    </row>
    <row r="31" spans="1:22" ht="15" customHeight="1">
      <c r="A31" s="51">
        <v>7</v>
      </c>
      <c r="B31" s="51" t="s">
        <v>566</v>
      </c>
      <c r="C31" s="51" t="s">
        <v>567</v>
      </c>
      <c r="D31" s="51" t="s">
        <v>535</v>
      </c>
      <c r="E31" s="51" t="s">
        <v>400</v>
      </c>
      <c r="F31" s="51" t="s">
        <v>153</v>
      </c>
      <c r="G31" s="51" t="s">
        <v>141</v>
      </c>
      <c r="H31" s="51">
        <v>1385000060</v>
      </c>
      <c r="I31" s="51" t="s">
        <v>8</v>
      </c>
      <c r="J31" s="51">
        <v>66</v>
      </c>
      <c r="K31" s="51" t="s">
        <v>253</v>
      </c>
      <c r="L31" s="51">
        <v>1381002300</v>
      </c>
      <c r="M31" s="51">
        <v>1002000005337</v>
      </c>
      <c r="N31" s="51" t="s">
        <v>144</v>
      </c>
      <c r="O31" s="138" t="s">
        <v>145</v>
      </c>
      <c r="P31" s="51" t="s">
        <v>146</v>
      </c>
      <c r="Q31" s="51" t="s">
        <v>147</v>
      </c>
      <c r="R31" s="51" t="s">
        <v>255</v>
      </c>
      <c r="S31" s="74">
        <v>28980</v>
      </c>
      <c r="T31" s="74">
        <v>1449000</v>
      </c>
      <c r="U31" s="74"/>
      <c r="V31" s="74">
        <v>1449000</v>
      </c>
    </row>
    <row r="32" spans="1:22" ht="15" customHeight="1">
      <c r="A32" s="51">
        <v>7</v>
      </c>
      <c r="B32" s="51" t="s">
        <v>566</v>
      </c>
      <c r="C32" s="51" t="s">
        <v>567</v>
      </c>
      <c r="D32" s="51" t="s">
        <v>535</v>
      </c>
      <c r="E32" s="51" t="s">
        <v>568</v>
      </c>
      <c r="F32" s="51" t="s">
        <v>153</v>
      </c>
      <c r="G32" s="51" t="s">
        <v>141</v>
      </c>
      <c r="H32" s="51">
        <v>1385000064</v>
      </c>
      <c r="I32" s="51" t="s">
        <v>39</v>
      </c>
      <c r="J32" s="51">
        <v>65</v>
      </c>
      <c r="K32" s="51" t="s">
        <v>253</v>
      </c>
      <c r="L32" s="51">
        <v>1381002268</v>
      </c>
      <c r="M32" s="51">
        <v>1002000005292</v>
      </c>
      <c r="N32" s="51" t="s">
        <v>144</v>
      </c>
      <c r="O32" s="138" t="s">
        <v>145</v>
      </c>
      <c r="P32" s="51" t="s">
        <v>146</v>
      </c>
      <c r="Q32" s="51" t="s">
        <v>147</v>
      </c>
      <c r="R32" s="51" t="s">
        <v>255</v>
      </c>
      <c r="S32" s="74">
        <v>7.26</v>
      </c>
      <c r="T32" s="74">
        <v>102330</v>
      </c>
      <c r="U32" s="74"/>
      <c r="V32" s="74">
        <v>102330</v>
      </c>
    </row>
    <row r="33" spans="1:22" ht="15" customHeight="1">
      <c r="A33" s="51">
        <v>7</v>
      </c>
      <c r="B33" s="51" t="s">
        <v>566</v>
      </c>
      <c r="C33" s="51" t="s">
        <v>567</v>
      </c>
      <c r="D33" s="51" t="s">
        <v>535</v>
      </c>
      <c r="E33" s="51" t="s">
        <v>568</v>
      </c>
      <c r="F33" s="51" t="s">
        <v>153</v>
      </c>
      <c r="G33" s="51" t="s">
        <v>141</v>
      </c>
      <c r="H33" s="51">
        <v>1385000065</v>
      </c>
      <c r="I33" s="51" t="s">
        <v>39</v>
      </c>
      <c r="J33" s="51">
        <v>65</v>
      </c>
      <c r="K33" s="51" t="s">
        <v>253</v>
      </c>
      <c r="L33" s="51">
        <v>1381002268</v>
      </c>
      <c r="M33" s="51">
        <v>1002000005292</v>
      </c>
      <c r="N33" s="51" t="s">
        <v>144</v>
      </c>
      <c r="O33" s="138" t="s">
        <v>145</v>
      </c>
      <c r="P33" s="51" t="s">
        <v>146</v>
      </c>
      <c r="Q33" s="51" t="s">
        <v>147</v>
      </c>
      <c r="R33" s="51" t="s">
        <v>255</v>
      </c>
      <c r="S33" s="74">
        <v>9070</v>
      </c>
      <c r="T33" s="74">
        <v>1814000</v>
      </c>
      <c r="U33" s="74"/>
      <c r="V33" s="74">
        <v>1814000</v>
      </c>
    </row>
    <row r="34" spans="1:22" ht="15" customHeight="1">
      <c r="A34" s="51">
        <v>7</v>
      </c>
      <c r="B34" s="51" t="s">
        <v>566</v>
      </c>
      <c r="C34" s="51" t="s">
        <v>567</v>
      </c>
      <c r="D34" s="51" t="s">
        <v>535</v>
      </c>
      <c r="E34" s="51" t="s">
        <v>400</v>
      </c>
      <c r="F34" s="51" t="s">
        <v>153</v>
      </c>
      <c r="G34" s="51" t="s">
        <v>141</v>
      </c>
      <c r="H34" s="51">
        <v>1385000078</v>
      </c>
      <c r="I34" s="51" t="s">
        <v>9</v>
      </c>
      <c r="J34" s="51">
        <v>9</v>
      </c>
      <c r="K34" s="51" t="s">
        <v>253</v>
      </c>
      <c r="L34" s="51">
        <v>1381002466</v>
      </c>
      <c r="M34" s="51">
        <v>1002000005603</v>
      </c>
      <c r="N34" s="51" t="s">
        <v>144</v>
      </c>
      <c r="O34" s="138" t="s">
        <v>145</v>
      </c>
      <c r="P34" s="51" t="s">
        <v>146</v>
      </c>
      <c r="Q34" s="51" t="s">
        <v>147</v>
      </c>
      <c r="R34" s="51" t="s">
        <v>255</v>
      </c>
      <c r="S34" s="74">
        <v>26.06</v>
      </c>
      <c r="T34" s="74">
        <v>399708</v>
      </c>
      <c r="U34" s="74"/>
      <c r="V34" s="74">
        <v>399708</v>
      </c>
    </row>
    <row r="35" spans="1:22" ht="15" customHeight="1">
      <c r="A35" s="51">
        <v>7</v>
      </c>
      <c r="B35" s="51" t="s">
        <v>566</v>
      </c>
      <c r="C35" s="51" t="s">
        <v>567</v>
      </c>
      <c r="D35" s="51" t="s">
        <v>535</v>
      </c>
      <c r="E35" s="51" t="s">
        <v>400</v>
      </c>
      <c r="F35" s="51" t="s">
        <v>153</v>
      </c>
      <c r="G35" s="51" t="s">
        <v>141</v>
      </c>
      <c r="H35" s="51">
        <v>1385000079</v>
      </c>
      <c r="I35" s="51" t="s">
        <v>9</v>
      </c>
      <c r="J35" s="51">
        <v>9</v>
      </c>
      <c r="K35" s="51" t="s">
        <v>253</v>
      </c>
      <c r="L35" s="51">
        <v>1381002487</v>
      </c>
      <c r="M35" s="51">
        <v>1002000005648</v>
      </c>
      <c r="N35" s="51" t="s">
        <v>144</v>
      </c>
      <c r="O35" s="138" t="s">
        <v>145</v>
      </c>
      <c r="P35" s="51" t="s">
        <v>146</v>
      </c>
      <c r="Q35" s="51" t="s">
        <v>147</v>
      </c>
      <c r="R35" s="51" t="s">
        <v>255</v>
      </c>
      <c r="S35" s="74">
        <v>243.34</v>
      </c>
      <c r="T35" s="74">
        <v>3644746</v>
      </c>
      <c r="U35" s="74"/>
      <c r="V35" s="74">
        <v>3644746</v>
      </c>
    </row>
    <row r="36" spans="1:22" ht="15" customHeight="1">
      <c r="A36" s="56"/>
      <c r="B36" s="56" t="s">
        <v>149</v>
      </c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139"/>
      <c r="P36" s="56" t="s">
        <v>146</v>
      </c>
      <c r="Q36" s="56"/>
      <c r="R36" s="56"/>
      <c r="S36" s="58">
        <v>168213.77</v>
      </c>
      <c r="T36" s="58">
        <v>21235728</v>
      </c>
      <c r="U36" s="58"/>
      <c r="V36" s="58">
        <v>21235728</v>
      </c>
    </row>
    <row r="37" spans="1:22" ht="15" customHeight="1">
      <c r="A37" s="51">
        <v>8</v>
      </c>
      <c r="B37" s="51" t="s">
        <v>620</v>
      </c>
      <c r="C37" s="51" t="s">
        <v>621</v>
      </c>
      <c r="D37" s="51" t="s">
        <v>604</v>
      </c>
      <c r="E37" s="51" t="s">
        <v>621</v>
      </c>
      <c r="F37" s="51" t="s">
        <v>153</v>
      </c>
      <c r="G37" s="51" t="s">
        <v>141</v>
      </c>
      <c r="H37" s="51">
        <v>1385000057</v>
      </c>
      <c r="I37" s="51" t="s">
        <v>33</v>
      </c>
      <c r="J37" s="51">
        <v>85</v>
      </c>
      <c r="K37" s="51" t="s">
        <v>253</v>
      </c>
      <c r="L37" s="51">
        <v>1386001669</v>
      </c>
      <c r="M37" s="51"/>
      <c r="N37" s="51" t="s">
        <v>622</v>
      </c>
      <c r="O37" s="138" t="s">
        <v>623</v>
      </c>
      <c r="P37" s="51" t="s">
        <v>146</v>
      </c>
      <c r="Q37" s="51" t="s">
        <v>147</v>
      </c>
      <c r="R37" s="51" t="s">
        <v>255</v>
      </c>
      <c r="S37" s="74">
        <v>461.39</v>
      </c>
      <c r="T37" s="74">
        <v>8221157</v>
      </c>
      <c r="U37" s="74"/>
      <c r="V37" s="74">
        <v>8221157</v>
      </c>
    </row>
    <row r="38" spans="1:22" ht="15" customHeight="1">
      <c r="A38" s="56"/>
      <c r="B38" s="56" t="s">
        <v>149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139"/>
      <c r="P38" s="56" t="s">
        <v>146</v>
      </c>
      <c r="Q38" s="56"/>
      <c r="R38" s="56"/>
      <c r="S38" s="58">
        <v>461.39</v>
      </c>
      <c r="T38" s="58">
        <v>8221157</v>
      </c>
      <c r="U38" s="58"/>
      <c r="V38" s="58">
        <v>8221157</v>
      </c>
    </row>
    <row r="39" spans="1:22" ht="15" customHeight="1">
      <c r="A39" s="59"/>
      <c r="B39" s="59" t="s">
        <v>624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140"/>
      <c r="P39" s="59" t="s">
        <v>146</v>
      </c>
      <c r="Q39" s="59"/>
      <c r="R39" s="59"/>
      <c r="S39" s="61">
        <v>375322.45</v>
      </c>
      <c r="T39" s="61">
        <v>55925813</v>
      </c>
      <c r="U39" s="61">
        <v>435260.98</v>
      </c>
      <c r="V39" s="61">
        <v>56361073.979999997</v>
      </c>
    </row>
  </sheetData>
  <mergeCells count="23">
    <mergeCell ref="F5:F7"/>
    <mergeCell ref="A5:A7"/>
    <mergeCell ref="B5:B7"/>
    <mergeCell ref="C5:C7"/>
    <mergeCell ref="D5:D7"/>
    <mergeCell ref="E5:E7"/>
    <mergeCell ref="R5:R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S5:V5"/>
    <mergeCell ref="S6:S7"/>
    <mergeCell ref="T6:T7"/>
    <mergeCell ref="U6:U7"/>
    <mergeCell ref="V6:V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V13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21" sqref="D21"/>
    </sheetView>
  </sheetViews>
  <sheetFormatPr defaultColWidth="9.1796875" defaultRowHeight="14.5"/>
  <cols>
    <col min="1" max="1" width="4.453125" style="5" customWidth="1"/>
    <col min="2" max="2" width="14.81640625" style="5" hidden="1" customWidth="1"/>
    <col min="3" max="3" width="42.1796875" style="5" bestFit="1" customWidth="1"/>
    <col min="4" max="4" width="18.36328125" style="5" customWidth="1"/>
    <col min="5" max="5" width="36.54296875" style="5" hidden="1" customWidth="1"/>
    <col min="6" max="6" width="30.26953125" style="5" hidden="1" customWidth="1"/>
    <col min="7" max="7" width="4.453125" style="5" hidden="1" customWidth="1"/>
    <col min="8" max="8" width="12.453125" style="5" hidden="1" customWidth="1"/>
    <col min="9" max="9" width="12.453125" style="5" bestFit="1" customWidth="1"/>
    <col min="10" max="10" width="11.90625" style="5" customWidth="1"/>
    <col min="11" max="11" width="12.453125" style="5" hidden="1" customWidth="1"/>
    <col min="12" max="12" width="12.453125" style="5" bestFit="1" customWidth="1"/>
    <col min="13" max="13" width="36.54296875" style="5" hidden="1" customWidth="1"/>
    <col min="14" max="14" width="18.453125" style="5" hidden="1" customWidth="1"/>
    <col min="15" max="15" width="11.26953125" style="5" customWidth="1"/>
    <col min="16" max="16" width="36.54296875" style="5" hidden="1" customWidth="1"/>
    <col min="17" max="17" width="8.453125" style="5" hidden="1" customWidth="1"/>
    <col min="18" max="18" width="18.7265625" style="5" hidden="1" customWidth="1"/>
    <col min="19" max="19" width="14.90625" style="65" customWidth="1"/>
    <col min="20" max="21" width="27.54296875" style="65" hidden="1" customWidth="1"/>
    <col min="22" max="22" width="21" style="65" customWidth="1"/>
    <col min="23" max="16384" width="9.1796875" style="5"/>
  </cols>
  <sheetData>
    <row r="1" spans="1:22">
      <c r="A1" s="62" t="s">
        <v>625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22">
      <c r="A2" s="62" t="s">
        <v>694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3" spans="1:22">
      <c r="A3" s="4" t="s">
        <v>644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1:22">
      <c r="A4" s="66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</row>
    <row r="5" spans="1:22" s="63" customFormat="1" ht="15" customHeight="1">
      <c r="A5" s="202" t="s">
        <v>124</v>
      </c>
      <c r="B5" s="202" t="s">
        <v>125</v>
      </c>
      <c r="C5" s="202" t="s">
        <v>126</v>
      </c>
      <c r="D5" s="208" t="s">
        <v>127</v>
      </c>
      <c r="E5" s="202" t="s">
        <v>128</v>
      </c>
      <c r="F5" s="202" t="s">
        <v>129</v>
      </c>
      <c r="G5" s="202" t="s">
        <v>0</v>
      </c>
      <c r="H5" s="202" t="s">
        <v>130</v>
      </c>
      <c r="I5" s="202" t="s">
        <v>131</v>
      </c>
      <c r="J5" s="202" t="s">
        <v>635</v>
      </c>
      <c r="K5" s="202" t="s">
        <v>132</v>
      </c>
      <c r="L5" s="202" t="s">
        <v>707</v>
      </c>
      <c r="M5" s="205" t="s">
        <v>133</v>
      </c>
      <c r="N5" s="202" t="s">
        <v>134</v>
      </c>
      <c r="O5" s="208" t="s">
        <v>637</v>
      </c>
      <c r="P5" s="202" t="s">
        <v>1</v>
      </c>
      <c r="Q5" s="202" t="s">
        <v>2</v>
      </c>
      <c r="R5" s="202" t="s">
        <v>638</v>
      </c>
      <c r="S5" s="193" t="s">
        <v>639</v>
      </c>
      <c r="T5" s="194"/>
      <c r="U5" s="194"/>
      <c r="V5" s="195"/>
    </row>
    <row r="6" spans="1:22" s="63" customFormat="1" ht="15" customHeight="1">
      <c r="A6" s="203"/>
      <c r="B6" s="203"/>
      <c r="C6" s="203"/>
      <c r="D6" s="209"/>
      <c r="E6" s="203"/>
      <c r="F6" s="203"/>
      <c r="G6" s="203"/>
      <c r="H6" s="203"/>
      <c r="I6" s="203"/>
      <c r="J6" s="203"/>
      <c r="K6" s="203"/>
      <c r="L6" s="203"/>
      <c r="M6" s="206"/>
      <c r="N6" s="203"/>
      <c r="O6" s="209"/>
      <c r="P6" s="203"/>
      <c r="Q6" s="203"/>
      <c r="R6" s="203"/>
      <c r="S6" s="196" t="s">
        <v>640</v>
      </c>
      <c r="T6" s="198" t="s">
        <v>641</v>
      </c>
      <c r="U6" s="198" t="s">
        <v>642</v>
      </c>
      <c r="V6" s="200" t="s">
        <v>643</v>
      </c>
    </row>
    <row r="7" spans="1:22" s="63" customFormat="1" ht="15" customHeight="1">
      <c r="A7" s="204"/>
      <c r="B7" s="204"/>
      <c r="C7" s="204"/>
      <c r="D7" s="210"/>
      <c r="E7" s="204"/>
      <c r="F7" s="204"/>
      <c r="G7" s="204"/>
      <c r="H7" s="204"/>
      <c r="I7" s="204"/>
      <c r="J7" s="204"/>
      <c r="K7" s="204"/>
      <c r="L7" s="204"/>
      <c r="M7" s="207"/>
      <c r="N7" s="204"/>
      <c r="O7" s="210"/>
      <c r="P7" s="204"/>
      <c r="Q7" s="204"/>
      <c r="R7" s="204"/>
      <c r="S7" s="197"/>
      <c r="T7" s="199"/>
      <c r="U7" s="199"/>
      <c r="V7" s="201"/>
    </row>
    <row r="8" spans="1:22" s="63" customFormat="1" ht="15" customHeight="1">
      <c r="A8" s="67" t="s">
        <v>124</v>
      </c>
      <c r="B8" s="67" t="s">
        <v>627</v>
      </c>
      <c r="C8" s="67" t="s">
        <v>126</v>
      </c>
      <c r="D8" s="67" t="s">
        <v>628</v>
      </c>
      <c r="E8" s="67" t="s">
        <v>128</v>
      </c>
      <c r="F8" s="67" t="s">
        <v>633</v>
      </c>
      <c r="G8" s="67" t="s">
        <v>0</v>
      </c>
      <c r="H8" s="67" t="s">
        <v>634</v>
      </c>
      <c r="I8" s="67" t="s">
        <v>131</v>
      </c>
      <c r="J8" s="67" t="s">
        <v>635</v>
      </c>
      <c r="K8" s="67" t="s">
        <v>132</v>
      </c>
      <c r="L8" s="67" t="s">
        <v>636</v>
      </c>
      <c r="M8" s="68" t="s">
        <v>133</v>
      </c>
      <c r="N8" s="67" t="s">
        <v>134</v>
      </c>
      <c r="O8" s="67" t="s">
        <v>637</v>
      </c>
      <c r="P8" s="67" t="s">
        <v>1</v>
      </c>
      <c r="Q8" s="67" t="s">
        <v>2</v>
      </c>
      <c r="R8" s="67" t="s">
        <v>638</v>
      </c>
      <c r="S8" s="70" t="s">
        <v>640</v>
      </c>
      <c r="T8" s="70" t="s">
        <v>641</v>
      </c>
      <c r="U8" s="71" t="s">
        <v>642</v>
      </c>
      <c r="V8" s="72" t="s">
        <v>643</v>
      </c>
    </row>
    <row r="9" spans="1:22" ht="15" customHeight="1">
      <c r="A9" s="51">
        <v>1</v>
      </c>
      <c r="B9" s="51" t="s">
        <v>336</v>
      </c>
      <c r="C9" s="51" t="s">
        <v>337</v>
      </c>
      <c r="D9" s="51" t="s">
        <v>338</v>
      </c>
      <c r="E9" s="51" t="s">
        <v>337</v>
      </c>
      <c r="F9" s="51" t="s">
        <v>183</v>
      </c>
      <c r="G9" s="51" t="s">
        <v>141</v>
      </c>
      <c r="H9" s="51">
        <v>9271000001</v>
      </c>
      <c r="I9" s="51" t="s">
        <v>71</v>
      </c>
      <c r="J9" s="51">
        <v>1046</v>
      </c>
      <c r="K9" s="51" t="s">
        <v>339</v>
      </c>
      <c r="L9" s="51">
        <v>1351000161</v>
      </c>
      <c r="M9" s="51" t="s">
        <v>340</v>
      </c>
      <c r="N9" s="51" t="s">
        <v>321</v>
      </c>
      <c r="O9" s="51" t="s">
        <v>297</v>
      </c>
      <c r="P9" s="51" t="s">
        <v>146</v>
      </c>
      <c r="Q9" s="51" t="s">
        <v>147</v>
      </c>
      <c r="R9" s="51" t="s">
        <v>341</v>
      </c>
      <c r="S9" s="74">
        <v>799.15</v>
      </c>
      <c r="T9" s="74">
        <v>7671840</v>
      </c>
      <c r="U9" s="74"/>
      <c r="V9" s="74">
        <v>7671840</v>
      </c>
    </row>
    <row r="10" spans="1:22" ht="15" customHeight="1">
      <c r="A10" s="56"/>
      <c r="B10" s="56" t="s">
        <v>149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 t="s">
        <v>146</v>
      </c>
      <c r="Q10" s="56"/>
      <c r="R10" s="56"/>
      <c r="S10" s="58">
        <v>799.15</v>
      </c>
      <c r="T10" s="58">
        <v>7671840</v>
      </c>
      <c r="U10" s="58"/>
      <c r="V10" s="58">
        <v>7671840</v>
      </c>
    </row>
    <row r="11" spans="1:22" ht="15" customHeight="1">
      <c r="A11" s="51">
        <v>2</v>
      </c>
      <c r="B11" s="51" t="s">
        <v>365</v>
      </c>
      <c r="C11" s="51" t="s">
        <v>366</v>
      </c>
      <c r="D11" s="51" t="s">
        <v>367</v>
      </c>
      <c r="E11" s="51" t="s">
        <v>366</v>
      </c>
      <c r="F11" s="51" t="s">
        <v>183</v>
      </c>
      <c r="G11" s="51" t="s">
        <v>141</v>
      </c>
      <c r="H11" s="51">
        <v>358</v>
      </c>
      <c r="I11" s="51" t="s">
        <v>71</v>
      </c>
      <c r="J11" s="51">
        <v>1046</v>
      </c>
      <c r="K11" s="51" t="s">
        <v>339</v>
      </c>
      <c r="L11" s="51">
        <v>1001007793</v>
      </c>
      <c r="M11" s="51"/>
      <c r="N11" s="51" t="s">
        <v>321</v>
      </c>
      <c r="O11" s="51" t="s">
        <v>297</v>
      </c>
      <c r="P11" s="51" t="s">
        <v>146</v>
      </c>
      <c r="Q11" s="51" t="s">
        <v>147</v>
      </c>
      <c r="R11" s="51" t="s">
        <v>148</v>
      </c>
      <c r="S11" s="74">
        <v>24</v>
      </c>
      <c r="T11" s="74">
        <v>226670</v>
      </c>
      <c r="U11" s="74"/>
      <c r="V11" s="74">
        <v>226670</v>
      </c>
    </row>
    <row r="12" spans="1:22" ht="15" customHeight="1">
      <c r="A12" s="56"/>
      <c r="B12" s="56" t="s">
        <v>149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 t="s">
        <v>146</v>
      </c>
      <c r="Q12" s="56"/>
      <c r="R12" s="56"/>
      <c r="S12" s="58">
        <v>24</v>
      </c>
      <c r="T12" s="58">
        <v>226670</v>
      </c>
      <c r="U12" s="58"/>
      <c r="V12" s="58">
        <v>226670</v>
      </c>
    </row>
    <row r="13" spans="1:22" ht="15" customHeight="1">
      <c r="A13" s="59"/>
      <c r="B13" s="59" t="s">
        <v>624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 t="s">
        <v>146</v>
      </c>
      <c r="Q13" s="59"/>
      <c r="R13" s="59"/>
      <c r="S13" s="61">
        <v>823.15</v>
      </c>
      <c r="T13" s="61">
        <v>7898510</v>
      </c>
      <c r="U13" s="61"/>
      <c r="V13" s="61">
        <v>7898510</v>
      </c>
    </row>
  </sheetData>
  <mergeCells count="23">
    <mergeCell ref="F5:F7"/>
    <mergeCell ref="A5:A7"/>
    <mergeCell ref="B5:B7"/>
    <mergeCell ref="C5:C7"/>
    <mergeCell ref="D5:D7"/>
    <mergeCell ref="E5:E7"/>
    <mergeCell ref="R5:R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S5:V5"/>
    <mergeCell ref="S6:S7"/>
    <mergeCell ref="T6:T7"/>
    <mergeCell ref="U6:U7"/>
    <mergeCell ref="V6:V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V14"/>
  <sheetViews>
    <sheetView workbookViewId="0">
      <pane xSplit="3" ySplit="7" topLeftCell="D8" activePane="bottomRight" state="frozenSplit"/>
      <selection pane="topRight" activeCell="D1" sqref="D1"/>
      <selection pane="bottomLeft" activeCell="A8" sqref="A8"/>
      <selection pane="bottomRight" activeCell="D8" sqref="D8"/>
    </sheetView>
  </sheetViews>
  <sheetFormatPr defaultColWidth="9.1796875" defaultRowHeight="14.5"/>
  <cols>
    <col min="1" max="1" width="4.453125" style="5" customWidth="1"/>
    <col min="2" max="2" width="14.81640625" style="5" hidden="1" customWidth="1"/>
    <col min="3" max="3" width="36.54296875" style="5" bestFit="1" customWidth="1"/>
    <col min="4" max="4" width="15.54296875" style="5" customWidth="1"/>
    <col min="5" max="5" width="36.54296875" style="5" hidden="1" customWidth="1"/>
    <col min="6" max="6" width="30.26953125" style="5" hidden="1" customWidth="1"/>
    <col min="7" max="7" width="4.453125" style="5" hidden="1" customWidth="1"/>
    <col min="8" max="8" width="12.453125" style="5" hidden="1" customWidth="1"/>
    <col min="9" max="9" width="12.453125" style="5" bestFit="1" customWidth="1"/>
    <col min="10" max="10" width="13.7265625" style="5" bestFit="1" customWidth="1"/>
    <col min="11" max="11" width="12.453125" style="5" hidden="1" customWidth="1"/>
    <col min="12" max="12" width="12.453125" style="5" bestFit="1" customWidth="1"/>
    <col min="13" max="13" width="36.54296875" style="5" hidden="1" customWidth="1"/>
    <col min="14" max="14" width="18.453125" style="5" hidden="1" customWidth="1"/>
    <col min="15" max="15" width="18.453125" style="5" bestFit="1" customWidth="1"/>
    <col min="16" max="16" width="4.453125" style="5" hidden="1" customWidth="1"/>
    <col min="17" max="18" width="6.7265625" style="5" hidden="1" customWidth="1"/>
    <col min="19" max="19" width="18.453125" style="65" bestFit="1" customWidth="1"/>
    <col min="20" max="21" width="30.26953125" style="65" hidden="1" customWidth="1"/>
    <col min="22" max="22" width="21.54296875" style="65" customWidth="1"/>
    <col min="23" max="16384" width="9.1796875" style="5"/>
  </cols>
  <sheetData>
    <row r="1" spans="1:22">
      <c r="A1" s="62" t="s">
        <v>625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22">
      <c r="A2" s="62" t="s">
        <v>690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3" spans="1:22">
      <c r="A3" s="4" t="s">
        <v>644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1:22">
      <c r="A4" s="66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</row>
    <row r="5" spans="1:22" s="63" customFormat="1" ht="15" customHeight="1">
      <c r="A5" s="202" t="s">
        <v>124</v>
      </c>
      <c r="B5" s="202" t="s">
        <v>125</v>
      </c>
      <c r="C5" s="202" t="s">
        <v>126</v>
      </c>
      <c r="D5" s="208" t="s">
        <v>127</v>
      </c>
      <c r="E5" s="202" t="s">
        <v>128</v>
      </c>
      <c r="F5" s="202" t="s">
        <v>129</v>
      </c>
      <c r="G5" s="202" t="s">
        <v>0</v>
      </c>
      <c r="H5" s="202" t="s">
        <v>130</v>
      </c>
      <c r="I5" s="202" t="s">
        <v>131</v>
      </c>
      <c r="J5" s="202" t="s">
        <v>635</v>
      </c>
      <c r="K5" s="202" t="s">
        <v>132</v>
      </c>
      <c r="L5" s="202" t="s">
        <v>707</v>
      </c>
      <c r="M5" s="205" t="s">
        <v>133</v>
      </c>
      <c r="N5" s="202" t="s">
        <v>134</v>
      </c>
      <c r="O5" s="208" t="s">
        <v>637</v>
      </c>
      <c r="P5" s="202" t="s">
        <v>1</v>
      </c>
      <c r="Q5" s="202" t="s">
        <v>2</v>
      </c>
      <c r="R5" s="202" t="s">
        <v>638</v>
      </c>
      <c r="S5" s="193" t="s">
        <v>639</v>
      </c>
      <c r="T5" s="194"/>
      <c r="U5" s="194"/>
      <c r="V5" s="195"/>
    </row>
    <row r="6" spans="1:22" s="63" customFormat="1" ht="15" customHeight="1">
      <c r="A6" s="203"/>
      <c r="B6" s="203"/>
      <c r="C6" s="203"/>
      <c r="D6" s="209"/>
      <c r="E6" s="203"/>
      <c r="F6" s="203"/>
      <c r="G6" s="203"/>
      <c r="H6" s="203"/>
      <c r="I6" s="203"/>
      <c r="J6" s="203"/>
      <c r="K6" s="203"/>
      <c r="L6" s="203"/>
      <c r="M6" s="206"/>
      <c r="N6" s="203"/>
      <c r="O6" s="209"/>
      <c r="P6" s="203"/>
      <c r="Q6" s="203"/>
      <c r="R6" s="203"/>
      <c r="S6" s="196" t="s">
        <v>640</v>
      </c>
      <c r="T6" s="198" t="s">
        <v>641</v>
      </c>
      <c r="U6" s="198" t="s">
        <v>642</v>
      </c>
      <c r="V6" s="200" t="s">
        <v>643</v>
      </c>
    </row>
    <row r="7" spans="1:22" s="63" customFormat="1" ht="15" customHeight="1">
      <c r="A7" s="204"/>
      <c r="B7" s="204"/>
      <c r="C7" s="204"/>
      <c r="D7" s="210"/>
      <c r="E7" s="204"/>
      <c r="F7" s="204"/>
      <c r="G7" s="204"/>
      <c r="H7" s="204"/>
      <c r="I7" s="204"/>
      <c r="J7" s="204"/>
      <c r="K7" s="204"/>
      <c r="L7" s="204"/>
      <c r="M7" s="207"/>
      <c r="N7" s="204"/>
      <c r="O7" s="210"/>
      <c r="P7" s="204"/>
      <c r="Q7" s="204"/>
      <c r="R7" s="204"/>
      <c r="S7" s="197"/>
      <c r="T7" s="199"/>
      <c r="U7" s="199"/>
      <c r="V7" s="201"/>
    </row>
    <row r="8" spans="1:22" s="63" customFormat="1" ht="15" customHeight="1">
      <c r="A8" s="67" t="s">
        <v>124</v>
      </c>
      <c r="B8" s="67" t="s">
        <v>627</v>
      </c>
      <c r="C8" s="67" t="s">
        <v>126</v>
      </c>
      <c r="D8" s="67" t="s">
        <v>628</v>
      </c>
      <c r="E8" s="67" t="s">
        <v>128</v>
      </c>
      <c r="F8" s="67" t="s">
        <v>633</v>
      </c>
      <c r="G8" s="67" t="s">
        <v>0</v>
      </c>
      <c r="H8" s="67" t="s">
        <v>634</v>
      </c>
      <c r="I8" s="67" t="s">
        <v>131</v>
      </c>
      <c r="J8" s="67" t="s">
        <v>635</v>
      </c>
      <c r="K8" s="67" t="s">
        <v>132</v>
      </c>
      <c r="L8" s="67" t="s">
        <v>636</v>
      </c>
      <c r="M8" s="68" t="s">
        <v>133</v>
      </c>
      <c r="N8" s="67" t="s">
        <v>134</v>
      </c>
      <c r="O8" s="67" t="s">
        <v>637</v>
      </c>
      <c r="P8" s="67" t="s">
        <v>1</v>
      </c>
      <c r="Q8" s="67" t="s">
        <v>2</v>
      </c>
      <c r="R8" s="67" t="s">
        <v>638</v>
      </c>
      <c r="S8" s="70" t="s">
        <v>640</v>
      </c>
      <c r="T8" s="70" t="s">
        <v>641</v>
      </c>
      <c r="U8" s="71" t="s">
        <v>642</v>
      </c>
      <c r="V8" s="72" t="s">
        <v>643</v>
      </c>
    </row>
    <row r="9" spans="1:22" ht="15" customHeight="1">
      <c r="A9" s="51">
        <v>1</v>
      </c>
      <c r="B9" s="51" t="s">
        <v>342</v>
      </c>
      <c r="C9" s="51" t="s">
        <v>343</v>
      </c>
      <c r="D9" s="51" t="s">
        <v>182</v>
      </c>
      <c r="E9" s="51" t="s">
        <v>343</v>
      </c>
      <c r="F9" s="51" t="s">
        <v>153</v>
      </c>
      <c r="G9" s="51" t="s">
        <v>141</v>
      </c>
      <c r="H9" s="51">
        <v>1015000134</v>
      </c>
      <c r="I9" s="51" t="s">
        <v>72</v>
      </c>
      <c r="J9" s="51">
        <v>112</v>
      </c>
      <c r="K9" s="51" t="s">
        <v>344</v>
      </c>
      <c r="L9" s="51">
        <v>1011002115</v>
      </c>
      <c r="M9" s="51" t="s">
        <v>345</v>
      </c>
      <c r="N9" s="51" t="s">
        <v>144</v>
      </c>
      <c r="O9" s="51" t="s">
        <v>145</v>
      </c>
      <c r="P9" s="51" t="s">
        <v>146</v>
      </c>
      <c r="Q9" s="51" t="s">
        <v>147</v>
      </c>
      <c r="R9" s="51" t="s">
        <v>346</v>
      </c>
      <c r="S9" s="74">
        <v>8542.35</v>
      </c>
      <c r="T9" s="74">
        <v>116175960</v>
      </c>
      <c r="U9" s="74"/>
      <c r="V9" s="74">
        <v>116175960</v>
      </c>
    </row>
    <row r="10" spans="1:22" ht="15" customHeight="1">
      <c r="A10" s="56"/>
      <c r="B10" s="56" t="s">
        <v>149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 t="s">
        <v>146</v>
      </c>
      <c r="Q10" s="56"/>
      <c r="R10" s="56"/>
      <c r="S10" s="58">
        <v>8542.35</v>
      </c>
      <c r="T10" s="58">
        <v>116175960</v>
      </c>
      <c r="U10" s="58"/>
      <c r="V10" s="58">
        <v>116175960</v>
      </c>
    </row>
    <row r="11" spans="1:22" ht="15" customHeight="1">
      <c r="A11" s="59"/>
      <c r="B11" s="59" t="s">
        <v>624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 t="s">
        <v>146</v>
      </c>
      <c r="Q11" s="59"/>
      <c r="R11" s="59"/>
      <c r="S11" s="61">
        <v>8542.35</v>
      </c>
      <c r="T11" s="61">
        <v>116175960</v>
      </c>
      <c r="U11" s="61"/>
      <c r="V11" s="61">
        <v>116175960</v>
      </c>
    </row>
    <row r="14" spans="1:22">
      <c r="V14" s="82"/>
    </row>
  </sheetData>
  <mergeCells count="23">
    <mergeCell ref="F5:F7"/>
    <mergeCell ref="A5:A7"/>
    <mergeCell ref="B5:B7"/>
    <mergeCell ref="C5:C7"/>
    <mergeCell ref="D5:D7"/>
    <mergeCell ref="E5:E7"/>
    <mergeCell ref="R5:R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S5:V5"/>
    <mergeCell ref="S6:S7"/>
    <mergeCell ref="T6:T7"/>
    <mergeCell ref="U6:U7"/>
    <mergeCell ref="V6:V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V1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1796875" defaultRowHeight="14.5"/>
  <cols>
    <col min="1" max="1" width="4.453125" style="63" customWidth="1"/>
    <col min="2" max="2" width="14.81640625" style="63" hidden="1" customWidth="1"/>
    <col min="3" max="3" width="36.54296875" style="63" bestFit="1" customWidth="1"/>
    <col min="4" max="4" width="19.26953125" style="63" customWidth="1"/>
    <col min="5" max="5" width="36.54296875" style="63" hidden="1" customWidth="1"/>
    <col min="6" max="6" width="4.453125" style="63" hidden="1" customWidth="1"/>
    <col min="7" max="8" width="12.453125" style="63" hidden="1" customWidth="1"/>
    <col min="9" max="9" width="13.7265625" style="63" bestFit="1" customWidth="1"/>
    <col min="10" max="10" width="12.453125" style="63" bestFit="1" customWidth="1"/>
    <col min="11" max="11" width="12.453125" style="63" hidden="1" customWidth="1"/>
    <col min="12" max="12" width="16.08984375" style="63" customWidth="1"/>
    <col min="13" max="14" width="18.453125" style="63" hidden="1" customWidth="1"/>
    <col min="15" max="15" width="4.453125" style="63" customWidth="1"/>
    <col min="16" max="17" width="6.7265625" style="63" hidden="1" customWidth="1"/>
    <col min="18" max="18" width="18.453125" style="63" hidden="1" customWidth="1"/>
    <col min="19" max="19" width="20.26953125" style="64" bestFit="1" customWidth="1"/>
    <col min="20" max="20" width="37.1796875" style="65" hidden="1" customWidth="1"/>
    <col min="21" max="21" width="15.08984375" style="65" hidden="1" customWidth="1"/>
    <col min="22" max="22" width="20.453125" style="65" customWidth="1"/>
    <col min="23" max="16384" width="9.1796875" style="63"/>
  </cols>
  <sheetData>
    <row r="1" spans="1:22">
      <c r="A1" s="62" t="s">
        <v>625</v>
      </c>
    </row>
    <row r="2" spans="1:22">
      <c r="A2" s="62" t="s">
        <v>686</v>
      </c>
    </row>
    <row r="3" spans="1:22">
      <c r="A3" s="4" t="s">
        <v>644</v>
      </c>
    </row>
    <row r="4" spans="1:22">
      <c r="A4" s="66"/>
    </row>
    <row r="5" spans="1:22" ht="15" customHeight="1">
      <c r="A5" s="202" t="s">
        <v>124</v>
      </c>
      <c r="B5" s="202" t="s">
        <v>125</v>
      </c>
      <c r="C5" s="202" t="s">
        <v>126</v>
      </c>
      <c r="D5" s="208" t="s">
        <v>127</v>
      </c>
      <c r="E5" s="202" t="s">
        <v>128</v>
      </c>
      <c r="F5" s="202" t="s">
        <v>129</v>
      </c>
      <c r="G5" s="202" t="s">
        <v>0</v>
      </c>
      <c r="H5" s="202" t="s">
        <v>130</v>
      </c>
      <c r="I5" s="202" t="s">
        <v>131</v>
      </c>
      <c r="J5" s="202" t="s">
        <v>635</v>
      </c>
      <c r="K5" s="202" t="s">
        <v>132</v>
      </c>
      <c r="L5" s="202" t="s">
        <v>707</v>
      </c>
      <c r="M5" s="205" t="s">
        <v>133</v>
      </c>
      <c r="N5" s="202" t="s">
        <v>134</v>
      </c>
      <c r="O5" s="208" t="s">
        <v>637</v>
      </c>
      <c r="P5" s="202" t="s">
        <v>1</v>
      </c>
      <c r="Q5" s="202" t="s">
        <v>2</v>
      </c>
      <c r="R5" s="202" t="s">
        <v>638</v>
      </c>
      <c r="S5" s="211" t="s">
        <v>639</v>
      </c>
      <c r="T5" s="212"/>
      <c r="U5" s="212"/>
      <c r="V5" s="213"/>
    </row>
    <row r="6" spans="1:22" ht="15" customHeight="1">
      <c r="A6" s="203"/>
      <c r="B6" s="203"/>
      <c r="C6" s="203"/>
      <c r="D6" s="209"/>
      <c r="E6" s="203"/>
      <c r="F6" s="203"/>
      <c r="G6" s="203"/>
      <c r="H6" s="203"/>
      <c r="I6" s="203"/>
      <c r="J6" s="203"/>
      <c r="K6" s="203"/>
      <c r="L6" s="203"/>
      <c r="M6" s="206"/>
      <c r="N6" s="203"/>
      <c r="O6" s="209"/>
      <c r="P6" s="203"/>
      <c r="Q6" s="203"/>
      <c r="R6" s="203"/>
      <c r="S6" s="214" t="s">
        <v>640</v>
      </c>
      <c r="T6" s="198" t="s">
        <v>641</v>
      </c>
      <c r="U6" s="198" t="s">
        <v>642</v>
      </c>
      <c r="V6" s="200" t="s">
        <v>643</v>
      </c>
    </row>
    <row r="7" spans="1:22" ht="15" customHeight="1">
      <c r="A7" s="204"/>
      <c r="B7" s="204"/>
      <c r="C7" s="204"/>
      <c r="D7" s="210"/>
      <c r="E7" s="204"/>
      <c r="F7" s="204"/>
      <c r="G7" s="204"/>
      <c r="H7" s="204"/>
      <c r="I7" s="204"/>
      <c r="J7" s="204"/>
      <c r="K7" s="204"/>
      <c r="L7" s="204"/>
      <c r="M7" s="207"/>
      <c r="N7" s="204"/>
      <c r="O7" s="210"/>
      <c r="P7" s="204"/>
      <c r="Q7" s="204"/>
      <c r="R7" s="204"/>
      <c r="S7" s="215"/>
      <c r="T7" s="199"/>
      <c r="U7" s="199"/>
      <c r="V7" s="201"/>
    </row>
    <row r="8" spans="1:22" ht="15" customHeight="1">
      <c r="A8" s="67" t="s">
        <v>124</v>
      </c>
      <c r="B8" s="67" t="s">
        <v>627</v>
      </c>
      <c r="C8" s="67" t="s">
        <v>126</v>
      </c>
      <c r="D8" s="67" t="s">
        <v>628</v>
      </c>
      <c r="E8" s="67" t="s">
        <v>128</v>
      </c>
      <c r="F8" s="67" t="s">
        <v>633</v>
      </c>
      <c r="G8" s="67" t="s">
        <v>0</v>
      </c>
      <c r="H8" s="67" t="s">
        <v>634</v>
      </c>
      <c r="I8" s="67" t="s">
        <v>131</v>
      </c>
      <c r="J8" s="67" t="s">
        <v>635</v>
      </c>
      <c r="K8" s="67" t="s">
        <v>132</v>
      </c>
      <c r="L8" s="67" t="s">
        <v>636</v>
      </c>
      <c r="M8" s="68" t="s">
        <v>133</v>
      </c>
      <c r="N8" s="67" t="s">
        <v>134</v>
      </c>
      <c r="O8" s="67" t="s">
        <v>637</v>
      </c>
      <c r="P8" s="67" t="s">
        <v>1</v>
      </c>
      <c r="Q8" s="67" t="s">
        <v>2</v>
      </c>
      <c r="R8" s="67" t="s">
        <v>638</v>
      </c>
      <c r="S8" s="69" t="s">
        <v>640</v>
      </c>
      <c r="T8" s="70" t="s">
        <v>641</v>
      </c>
      <c r="U8" s="71" t="s">
        <v>642</v>
      </c>
      <c r="V8" s="72" t="s">
        <v>643</v>
      </c>
    </row>
    <row r="9" spans="1:22" s="5" customFormat="1" ht="15" customHeight="1">
      <c r="A9" s="51">
        <v>1</v>
      </c>
      <c r="B9" s="51" t="s">
        <v>593</v>
      </c>
      <c r="C9" s="51" t="s">
        <v>594</v>
      </c>
      <c r="D9" s="51" t="s">
        <v>595</v>
      </c>
      <c r="E9" s="51" t="s">
        <v>596</v>
      </c>
      <c r="F9" s="51" t="s">
        <v>183</v>
      </c>
      <c r="G9" s="51" t="s">
        <v>141</v>
      </c>
      <c r="H9" s="51">
        <v>9201000010</v>
      </c>
      <c r="I9" s="51" t="s">
        <v>117</v>
      </c>
      <c r="J9" s="51">
        <v>551</v>
      </c>
      <c r="K9" s="51" t="s">
        <v>597</v>
      </c>
      <c r="L9" s="51">
        <v>1011001594</v>
      </c>
      <c r="M9" s="51" t="s">
        <v>598</v>
      </c>
      <c r="N9" s="51" t="s">
        <v>144</v>
      </c>
      <c r="O9" s="51" t="s">
        <v>145</v>
      </c>
      <c r="P9" s="51" t="s">
        <v>146</v>
      </c>
      <c r="Q9" s="51" t="s">
        <v>147</v>
      </c>
      <c r="R9" s="51" t="s">
        <v>346</v>
      </c>
      <c r="S9" s="73">
        <v>175.64</v>
      </c>
      <c r="T9" s="74">
        <v>2224129</v>
      </c>
      <c r="U9" s="74"/>
      <c r="V9" s="74">
        <v>2224129</v>
      </c>
    </row>
    <row r="10" spans="1:22" s="5" customFormat="1" ht="15" customHeight="1">
      <c r="A10" s="75"/>
      <c r="B10" s="75" t="s">
        <v>149</v>
      </c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 t="s">
        <v>146</v>
      </c>
      <c r="Q10" s="75"/>
      <c r="R10" s="75"/>
      <c r="S10" s="76">
        <v>175.64</v>
      </c>
      <c r="T10" s="77">
        <v>2224129</v>
      </c>
      <c r="U10" s="77"/>
      <c r="V10" s="77">
        <v>2224129</v>
      </c>
    </row>
    <row r="11" spans="1:22" s="5" customFormat="1" ht="15" customHeight="1">
      <c r="A11" s="78"/>
      <c r="B11" s="78" t="s">
        <v>624</v>
      </c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 t="s">
        <v>146</v>
      </c>
      <c r="Q11" s="78"/>
      <c r="R11" s="78"/>
      <c r="S11" s="79">
        <v>175.64</v>
      </c>
      <c r="T11" s="80">
        <v>2224129</v>
      </c>
      <c r="U11" s="80"/>
      <c r="V11" s="80">
        <v>2224129</v>
      </c>
    </row>
    <row r="12" spans="1:22" ht="15" customHeight="1"/>
  </sheetData>
  <mergeCells count="23">
    <mergeCell ref="F5:F7"/>
    <mergeCell ref="A5:A7"/>
    <mergeCell ref="B5:B7"/>
    <mergeCell ref="C5:C7"/>
    <mergeCell ref="D5:D7"/>
    <mergeCell ref="E5:E7"/>
    <mergeCell ref="R5:R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S5:V5"/>
    <mergeCell ref="S6:S7"/>
    <mergeCell ref="T6:T7"/>
    <mergeCell ref="U6:U7"/>
    <mergeCell ref="V6:V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13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1796875" defaultRowHeight="14.5"/>
  <cols>
    <col min="1" max="1" width="4.453125" style="63" customWidth="1"/>
    <col min="2" max="2" width="14.81640625" style="63" hidden="1" customWidth="1"/>
    <col min="3" max="3" width="36.54296875" style="63" bestFit="1" customWidth="1"/>
    <col min="4" max="4" width="16.90625" style="63" customWidth="1"/>
    <col min="5" max="5" width="36.54296875" style="63" hidden="1" customWidth="1"/>
    <col min="6" max="6" width="30.26953125" style="63" hidden="1" customWidth="1"/>
    <col min="7" max="7" width="4.453125" style="63" hidden="1" customWidth="1"/>
    <col min="8" max="8" width="12.453125" style="63" hidden="1" customWidth="1"/>
    <col min="9" max="9" width="12.453125" style="63" bestFit="1" customWidth="1"/>
    <col min="10" max="10" width="9.6328125" style="63" customWidth="1"/>
    <col min="11" max="11" width="12.453125" style="63" hidden="1" customWidth="1"/>
    <col min="12" max="12" width="12.453125" style="63" bestFit="1" customWidth="1"/>
    <col min="13" max="13" width="36.54296875" style="63" hidden="1" customWidth="1"/>
    <col min="14" max="14" width="18.453125" style="63" hidden="1" customWidth="1"/>
    <col min="15" max="15" width="12.6328125" style="63" customWidth="1"/>
    <col min="16" max="16" width="4.453125" style="63" hidden="1" customWidth="1"/>
    <col min="17" max="18" width="6.7265625" style="63" hidden="1" customWidth="1"/>
    <col min="19" max="19" width="18.453125" style="65" bestFit="1" customWidth="1"/>
    <col min="20" max="21" width="30.26953125" style="65" hidden="1" customWidth="1"/>
    <col min="22" max="22" width="23.7265625" style="65" customWidth="1"/>
    <col min="23" max="16384" width="9.1796875" style="63"/>
  </cols>
  <sheetData>
    <row r="1" spans="1:22">
      <c r="A1" s="62" t="s">
        <v>625</v>
      </c>
    </row>
    <row r="2" spans="1:22">
      <c r="A2" s="62" t="s">
        <v>692</v>
      </c>
    </row>
    <row r="3" spans="1:22">
      <c r="A3" s="4" t="s">
        <v>644</v>
      </c>
    </row>
    <row r="4" spans="1:22">
      <c r="A4" s="66"/>
    </row>
    <row r="5" spans="1:22" ht="15" customHeight="1">
      <c r="A5" s="202" t="s">
        <v>124</v>
      </c>
      <c r="B5" s="202" t="s">
        <v>125</v>
      </c>
      <c r="C5" s="202" t="s">
        <v>126</v>
      </c>
      <c r="D5" s="208" t="s">
        <v>127</v>
      </c>
      <c r="E5" s="202" t="s">
        <v>128</v>
      </c>
      <c r="F5" s="202" t="s">
        <v>129</v>
      </c>
      <c r="G5" s="202" t="s">
        <v>0</v>
      </c>
      <c r="H5" s="202" t="s">
        <v>130</v>
      </c>
      <c r="I5" s="202" t="s">
        <v>131</v>
      </c>
      <c r="J5" s="202" t="s">
        <v>635</v>
      </c>
      <c r="K5" s="202" t="s">
        <v>132</v>
      </c>
      <c r="L5" s="202" t="s">
        <v>707</v>
      </c>
      <c r="M5" s="205" t="s">
        <v>133</v>
      </c>
      <c r="N5" s="202" t="s">
        <v>134</v>
      </c>
      <c r="O5" s="208" t="s">
        <v>637</v>
      </c>
      <c r="P5" s="202" t="s">
        <v>1</v>
      </c>
      <c r="Q5" s="202" t="s">
        <v>2</v>
      </c>
      <c r="R5" s="202" t="s">
        <v>638</v>
      </c>
      <c r="S5" s="193" t="s">
        <v>639</v>
      </c>
      <c r="T5" s="194"/>
      <c r="U5" s="194"/>
      <c r="V5" s="195"/>
    </row>
    <row r="6" spans="1:22" ht="15" customHeight="1">
      <c r="A6" s="203"/>
      <c r="B6" s="203"/>
      <c r="C6" s="203"/>
      <c r="D6" s="209"/>
      <c r="E6" s="203"/>
      <c r="F6" s="203"/>
      <c r="G6" s="203"/>
      <c r="H6" s="203"/>
      <c r="I6" s="203"/>
      <c r="J6" s="203"/>
      <c r="K6" s="203"/>
      <c r="L6" s="203"/>
      <c r="M6" s="206"/>
      <c r="N6" s="203"/>
      <c r="O6" s="209"/>
      <c r="P6" s="203"/>
      <c r="Q6" s="203"/>
      <c r="R6" s="203"/>
      <c r="S6" s="196" t="s">
        <v>640</v>
      </c>
      <c r="T6" s="198" t="s">
        <v>641</v>
      </c>
      <c r="U6" s="198" t="s">
        <v>642</v>
      </c>
      <c r="V6" s="200" t="s">
        <v>643</v>
      </c>
    </row>
    <row r="7" spans="1:22" ht="15" customHeight="1">
      <c r="A7" s="204"/>
      <c r="B7" s="204"/>
      <c r="C7" s="204"/>
      <c r="D7" s="210"/>
      <c r="E7" s="204"/>
      <c r="F7" s="204"/>
      <c r="G7" s="204"/>
      <c r="H7" s="204"/>
      <c r="I7" s="204"/>
      <c r="J7" s="204"/>
      <c r="K7" s="204"/>
      <c r="L7" s="204"/>
      <c r="M7" s="207"/>
      <c r="N7" s="204"/>
      <c r="O7" s="210"/>
      <c r="P7" s="204"/>
      <c r="Q7" s="204"/>
      <c r="R7" s="204"/>
      <c r="S7" s="197"/>
      <c r="T7" s="199"/>
      <c r="U7" s="199"/>
      <c r="V7" s="201"/>
    </row>
    <row r="8" spans="1:22" ht="15" customHeight="1">
      <c r="A8" s="67" t="s">
        <v>124</v>
      </c>
      <c r="B8" s="67" t="s">
        <v>627</v>
      </c>
      <c r="C8" s="67" t="s">
        <v>126</v>
      </c>
      <c r="D8" s="67" t="s">
        <v>628</v>
      </c>
      <c r="E8" s="67" t="s">
        <v>128</v>
      </c>
      <c r="F8" s="67" t="s">
        <v>633</v>
      </c>
      <c r="G8" s="67" t="s">
        <v>0</v>
      </c>
      <c r="H8" s="67" t="s">
        <v>634</v>
      </c>
      <c r="I8" s="67" t="s">
        <v>131</v>
      </c>
      <c r="J8" s="67" t="s">
        <v>635</v>
      </c>
      <c r="K8" s="67" t="s">
        <v>132</v>
      </c>
      <c r="L8" s="67" t="s">
        <v>636</v>
      </c>
      <c r="M8" s="68" t="s">
        <v>133</v>
      </c>
      <c r="N8" s="67" t="s">
        <v>134</v>
      </c>
      <c r="O8" s="67" t="s">
        <v>637</v>
      </c>
      <c r="P8" s="67" t="s">
        <v>1</v>
      </c>
      <c r="Q8" s="67" t="s">
        <v>2</v>
      </c>
      <c r="R8" s="67" t="s">
        <v>638</v>
      </c>
      <c r="S8" s="70" t="s">
        <v>640</v>
      </c>
      <c r="T8" s="70" t="s">
        <v>641</v>
      </c>
      <c r="U8" s="71" t="s">
        <v>642</v>
      </c>
      <c r="V8" s="72" t="s">
        <v>643</v>
      </c>
    </row>
    <row r="9" spans="1:22">
      <c r="A9" s="51">
        <v>1</v>
      </c>
      <c r="B9" s="51" t="s">
        <v>571</v>
      </c>
      <c r="C9" s="51" t="s">
        <v>572</v>
      </c>
      <c r="D9" s="51" t="s">
        <v>535</v>
      </c>
      <c r="E9" s="51" t="s">
        <v>572</v>
      </c>
      <c r="F9" s="51" t="s">
        <v>183</v>
      </c>
      <c r="G9" s="51" t="s">
        <v>141</v>
      </c>
      <c r="H9" s="51">
        <v>1005001914</v>
      </c>
      <c r="I9" s="51" t="s">
        <v>102</v>
      </c>
      <c r="J9" s="51">
        <v>88</v>
      </c>
      <c r="K9" s="51" t="s">
        <v>573</v>
      </c>
      <c r="L9" s="51">
        <v>1001018904</v>
      </c>
      <c r="M9" s="51">
        <v>1192000000113</v>
      </c>
      <c r="N9" s="51" t="s">
        <v>144</v>
      </c>
      <c r="O9" s="51" t="s">
        <v>145</v>
      </c>
      <c r="P9" s="51" t="s">
        <v>146</v>
      </c>
      <c r="Q9" s="51" t="s">
        <v>147</v>
      </c>
      <c r="R9" s="51" t="s">
        <v>148</v>
      </c>
      <c r="S9" s="74">
        <v>354180</v>
      </c>
      <c r="T9" s="74">
        <v>885450000</v>
      </c>
      <c r="U9" s="74"/>
      <c r="V9" s="74">
        <v>885450000</v>
      </c>
    </row>
    <row r="10" spans="1:22">
      <c r="A10" s="51">
        <v>1</v>
      </c>
      <c r="B10" s="51" t="s">
        <v>571</v>
      </c>
      <c r="C10" s="51" t="s">
        <v>572</v>
      </c>
      <c r="D10" s="51" t="s">
        <v>535</v>
      </c>
      <c r="E10" s="51" t="s">
        <v>572</v>
      </c>
      <c r="F10" s="51" t="s">
        <v>183</v>
      </c>
      <c r="G10" s="51" t="s">
        <v>141</v>
      </c>
      <c r="H10" s="51">
        <v>1005001915</v>
      </c>
      <c r="I10" s="51" t="s">
        <v>102</v>
      </c>
      <c r="J10" s="51">
        <v>88</v>
      </c>
      <c r="K10" s="51" t="s">
        <v>573</v>
      </c>
      <c r="L10" s="51">
        <v>1001018905</v>
      </c>
      <c r="M10" s="51">
        <v>1192000000114</v>
      </c>
      <c r="N10" s="51" t="s">
        <v>144</v>
      </c>
      <c r="O10" s="51" t="s">
        <v>145</v>
      </c>
      <c r="P10" s="51" t="s">
        <v>146</v>
      </c>
      <c r="Q10" s="51" t="s">
        <v>147</v>
      </c>
      <c r="R10" s="51" t="s">
        <v>148</v>
      </c>
      <c r="S10" s="74">
        <v>949320</v>
      </c>
      <c r="T10" s="74">
        <v>2373300000</v>
      </c>
      <c r="U10" s="74"/>
      <c r="V10" s="74">
        <v>2373300000</v>
      </c>
    </row>
    <row r="11" spans="1:22">
      <c r="A11" s="51">
        <v>1</v>
      </c>
      <c r="B11" s="51" t="s">
        <v>571</v>
      </c>
      <c r="C11" s="51" t="s">
        <v>572</v>
      </c>
      <c r="D11" s="51" t="s">
        <v>535</v>
      </c>
      <c r="E11" s="51" t="s">
        <v>572</v>
      </c>
      <c r="F11" s="51" t="s">
        <v>183</v>
      </c>
      <c r="G11" s="51" t="s">
        <v>141</v>
      </c>
      <c r="H11" s="51">
        <v>1005002436</v>
      </c>
      <c r="I11" s="51" t="s">
        <v>6</v>
      </c>
      <c r="J11" s="51">
        <v>11</v>
      </c>
      <c r="K11" s="51" t="s">
        <v>573</v>
      </c>
      <c r="L11" s="51">
        <v>1001018905</v>
      </c>
      <c r="M11" s="51">
        <v>1192000000114</v>
      </c>
      <c r="N11" s="51" t="s">
        <v>144</v>
      </c>
      <c r="O11" s="51" t="s">
        <v>145</v>
      </c>
      <c r="P11" s="51" t="s">
        <v>146</v>
      </c>
      <c r="Q11" s="51" t="s">
        <v>147</v>
      </c>
      <c r="R11" s="51" t="s">
        <v>148</v>
      </c>
      <c r="S11" s="74">
        <v>995880</v>
      </c>
      <c r="T11" s="74">
        <v>99588000</v>
      </c>
      <c r="U11" s="74"/>
      <c r="V11" s="74">
        <v>99588000</v>
      </c>
    </row>
    <row r="12" spans="1:22">
      <c r="A12" s="56"/>
      <c r="B12" s="56" t="s">
        <v>149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 t="s">
        <v>146</v>
      </c>
      <c r="Q12" s="56"/>
      <c r="R12" s="56"/>
      <c r="S12" s="58">
        <v>2299380</v>
      </c>
      <c r="T12" s="58">
        <v>3358338000</v>
      </c>
      <c r="U12" s="58"/>
      <c r="V12" s="58">
        <v>3358338000</v>
      </c>
    </row>
    <row r="13" spans="1:22">
      <c r="A13" s="59"/>
      <c r="B13" s="59" t="s">
        <v>624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 t="s">
        <v>146</v>
      </c>
      <c r="Q13" s="59"/>
      <c r="R13" s="59"/>
      <c r="S13" s="61">
        <v>2299380</v>
      </c>
      <c r="T13" s="61">
        <v>3358338000</v>
      </c>
      <c r="U13" s="61"/>
      <c r="V13" s="61">
        <v>3358338000</v>
      </c>
    </row>
  </sheetData>
  <mergeCells count="23">
    <mergeCell ref="F5:F7"/>
    <mergeCell ref="A5:A7"/>
    <mergeCell ref="B5:B7"/>
    <mergeCell ref="C5:C7"/>
    <mergeCell ref="D5:D7"/>
    <mergeCell ref="E5:E7"/>
    <mergeCell ref="R5:R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S5:V5"/>
    <mergeCell ref="S6:S7"/>
    <mergeCell ref="T6:T7"/>
    <mergeCell ref="U6:U7"/>
    <mergeCell ref="V6:V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V16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9.1796875" defaultRowHeight="14.5"/>
  <cols>
    <col min="1" max="1" width="4.453125" style="63" customWidth="1"/>
    <col min="2" max="2" width="14.81640625" style="63" hidden="1" customWidth="1"/>
    <col min="3" max="3" width="36.54296875" style="63" bestFit="1" customWidth="1"/>
    <col min="4" max="4" width="15.81640625" style="63" customWidth="1"/>
    <col min="5" max="5" width="36.54296875" style="63" hidden="1" customWidth="1"/>
    <col min="6" max="6" width="30.26953125" style="63" hidden="1" customWidth="1"/>
    <col min="7" max="7" width="4.453125" style="63" hidden="1" customWidth="1"/>
    <col min="8" max="8" width="12.453125" style="63" hidden="1" customWidth="1"/>
    <col min="9" max="9" width="12.453125" style="63" bestFit="1" customWidth="1"/>
    <col min="10" max="10" width="10.453125" style="63" customWidth="1"/>
    <col min="11" max="11" width="12.453125" style="63" hidden="1" customWidth="1"/>
    <col min="12" max="12" width="12.453125" style="63" bestFit="1" customWidth="1"/>
    <col min="13" max="13" width="19.453125" style="63" hidden="1" customWidth="1"/>
    <col min="14" max="14" width="18.453125" style="63" hidden="1" customWidth="1"/>
    <col min="15" max="15" width="18.453125" style="63" bestFit="1" customWidth="1"/>
    <col min="16" max="16" width="4.453125" style="63" hidden="1" customWidth="1"/>
    <col min="17" max="18" width="6.7265625" style="63" hidden="1" customWidth="1"/>
    <col min="19" max="19" width="15.6328125" style="65" customWidth="1"/>
    <col min="20" max="21" width="30.26953125" style="65" hidden="1" customWidth="1"/>
    <col min="22" max="22" width="22" style="65" customWidth="1"/>
    <col min="23" max="16384" width="9.1796875" style="63"/>
  </cols>
  <sheetData>
    <row r="1" spans="1:22">
      <c r="A1" s="62" t="s">
        <v>625</v>
      </c>
    </row>
    <row r="2" spans="1:22">
      <c r="A2" s="62" t="s">
        <v>693</v>
      </c>
    </row>
    <row r="3" spans="1:22">
      <c r="A3" s="4" t="s">
        <v>644</v>
      </c>
    </row>
    <row r="4" spans="1:22">
      <c r="A4" s="66"/>
    </row>
    <row r="5" spans="1:22" ht="15" customHeight="1">
      <c r="A5" s="202" t="s">
        <v>124</v>
      </c>
      <c r="B5" s="202" t="s">
        <v>125</v>
      </c>
      <c r="C5" s="202" t="s">
        <v>126</v>
      </c>
      <c r="D5" s="208" t="s">
        <v>127</v>
      </c>
      <c r="E5" s="202" t="s">
        <v>128</v>
      </c>
      <c r="F5" s="202" t="s">
        <v>129</v>
      </c>
      <c r="G5" s="202" t="s">
        <v>0</v>
      </c>
      <c r="H5" s="202" t="s">
        <v>130</v>
      </c>
      <c r="I5" s="202" t="s">
        <v>131</v>
      </c>
      <c r="J5" s="202" t="s">
        <v>635</v>
      </c>
      <c r="K5" s="202" t="s">
        <v>132</v>
      </c>
      <c r="L5" s="202" t="s">
        <v>707</v>
      </c>
      <c r="M5" s="205" t="s">
        <v>133</v>
      </c>
      <c r="N5" s="202" t="s">
        <v>134</v>
      </c>
      <c r="O5" s="208" t="s">
        <v>637</v>
      </c>
      <c r="P5" s="202" t="s">
        <v>1</v>
      </c>
      <c r="Q5" s="202" t="s">
        <v>2</v>
      </c>
      <c r="R5" s="202" t="s">
        <v>638</v>
      </c>
      <c r="S5" s="193" t="s">
        <v>639</v>
      </c>
      <c r="T5" s="194"/>
      <c r="U5" s="194"/>
      <c r="V5" s="195"/>
    </row>
    <row r="6" spans="1:22" ht="15" customHeight="1">
      <c r="A6" s="203"/>
      <c r="B6" s="203"/>
      <c r="C6" s="203"/>
      <c r="D6" s="209"/>
      <c r="E6" s="203"/>
      <c r="F6" s="203"/>
      <c r="G6" s="203"/>
      <c r="H6" s="203"/>
      <c r="I6" s="203"/>
      <c r="J6" s="203"/>
      <c r="K6" s="203"/>
      <c r="L6" s="203"/>
      <c r="M6" s="206"/>
      <c r="N6" s="203"/>
      <c r="O6" s="209"/>
      <c r="P6" s="203"/>
      <c r="Q6" s="203"/>
      <c r="R6" s="203"/>
      <c r="S6" s="196" t="s">
        <v>640</v>
      </c>
      <c r="T6" s="198" t="s">
        <v>641</v>
      </c>
      <c r="U6" s="198" t="s">
        <v>642</v>
      </c>
      <c r="V6" s="200" t="s">
        <v>643</v>
      </c>
    </row>
    <row r="7" spans="1:22" ht="15" customHeight="1">
      <c r="A7" s="204"/>
      <c r="B7" s="204"/>
      <c r="C7" s="204"/>
      <c r="D7" s="210"/>
      <c r="E7" s="204"/>
      <c r="F7" s="204"/>
      <c r="G7" s="204"/>
      <c r="H7" s="204"/>
      <c r="I7" s="204"/>
      <c r="J7" s="204"/>
      <c r="K7" s="204"/>
      <c r="L7" s="204"/>
      <c r="M7" s="207"/>
      <c r="N7" s="204"/>
      <c r="O7" s="210"/>
      <c r="P7" s="204"/>
      <c r="Q7" s="204"/>
      <c r="R7" s="204"/>
      <c r="S7" s="197"/>
      <c r="T7" s="199"/>
      <c r="U7" s="199"/>
      <c r="V7" s="201"/>
    </row>
    <row r="8" spans="1:22" ht="15" customHeight="1">
      <c r="A8" s="67" t="s">
        <v>124</v>
      </c>
      <c r="B8" s="67" t="s">
        <v>627</v>
      </c>
      <c r="C8" s="67" t="s">
        <v>126</v>
      </c>
      <c r="D8" s="67" t="s">
        <v>628</v>
      </c>
      <c r="E8" s="67" t="s">
        <v>128</v>
      </c>
      <c r="F8" s="67" t="s">
        <v>633</v>
      </c>
      <c r="G8" s="67" t="s">
        <v>0</v>
      </c>
      <c r="H8" s="67" t="s">
        <v>634</v>
      </c>
      <c r="I8" s="67" t="s">
        <v>131</v>
      </c>
      <c r="J8" s="67" t="s">
        <v>635</v>
      </c>
      <c r="K8" s="67" t="s">
        <v>132</v>
      </c>
      <c r="L8" s="67" t="s">
        <v>636</v>
      </c>
      <c r="M8" s="68" t="s">
        <v>133</v>
      </c>
      <c r="N8" s="67" t="s">
        <v>134</v>
      </c>
      <c r="O8" s="67" t="s">
        <v>637</v>
      </c>
      <c r="P8" s="67" t="s">
        <v>1</v>
      </c>
      <c r="Q8" s="67" t="s">
        <v>2</v>
      </c>
      <c r="R8" s="67" t="s">
        <v>638</v>
      </c>
      <c r="S8" s="70" t="s">
        <v>640</v>
      </c>
      <c r="T8" s="70" t="s">
        <v>641</v>
      </c>
      <c r="U8" s="71" t="s">
        <v>642</v>
      </c>
      <c r="V8" s="72" t="s">
        <v>643</v>
      </c>
    </row>
    <row r="9" spans="1:22" ht="15" customHeight="1">
      <c r="A9" s="51">
        <v>1</v>
      </c>
      <c r="B9" s="51" t="s">
        <v>540</v>
      </c>
      <c r="C9" s="51" t="s">
        <v>541</v>
      </c>
      <c r="D9" s="51" t="s">
        <v>535</v>
      </c>
      <c r="E9" s="51" t="s">
        <v>541</v>
      </c>
      <c r="F9" s="51" t="s">
        <v>140</v>
      </c>
      <c r="G9" s="51" t="s">
        <v>141</v>
      </c>
      <c r="H9" s="51">
        <v>1365000216</v>
      </c>
      <c r="I9" s="51" t="s">
        <v>41</v>
      </c>
      <c r="J9" s="51">
        <v>36</v>
      </c>
      <c r="K9" s="51" t="s">
        <v>542</v>
      </c>
      <c r="L9" s="51">
        <v>1361001964</v>
      </c>
      <c r="M9" s="51">
        <v>1092000002275</v>
      </c>
      <c r="N9" s="51" t="s">
        <v>178</v>
      </c>
      <c r="O9" s="51" t="s">
        <v>179</v>
      </c>
      <c r="P9" s="51" t="s">
        <v>146</v>
      </c>
      <c r="Q9" s="51" t="s">
        <v>147</v>
      </c>
      <c r="R9" s="51" t="s">
        <v>228</v>
      </c>
      <c r="S9" s="74">
        <v>213.62</v>
      </c>
      <c r="T9" s="74">
        <v>217679</v>
      </c>
      <c r="U9" s="74"/>
      <c r="V9" s="74">
        <v>217679</v>
      </c>
    </row>
    <row r="10" spans="1:22" ht="15" customHeight="1">
      <c r="A10" s="51">
        <v>1</v>
      </c>
      <c r="B10" s="51" t="s">
        <v>540</v>
      </c>
      <c r="C10" s="51" t="s">
        <v>541</v>
      </c>
      <c r="D10" s="51" t="s">
        <v>535</v>
      </c>
      <c r="E10" s="51" t="s">
        <v>541</v>
      </c>
      <c r="F10" s="51" t="s">
        <v>140</v>
      </c>
      <c r="G10" s="51" t="s">
        <v>141</v>
      </c>
      <c r="H10" s="51">
        <v>1365000217</v>
      </c>
      <c r="I10" s="51" t="s">
        <v>41</v>
      </c>
      <c r="J10" s="51">
        <v>36</v>
      </c>
      <c r="K10" s="51" t="s">
        <v>542</v>
      </c>
      <c r="L10" s="51">
        <v>1361001965</v>
      </c>
      <c r="M10" s="51">
        <v>1092000002276</v>
      </c>
      <c r="N10" s="51" t="s">
        <v>178</v>
      </c>
      <c r="O10" s="51" t="s">
        <v>179</v>
      </c>
      <c r="P10" s="51" t="s">
        <v>146</v>
      </c>
      <c r="Q10" s="51" t="s">
        <v>147</v>
      </c>
      <c r="R10" s="51" t="s">
        <v>228</v>
      </c>
      <c r="S10" s="74">
        <v>170.39</v>
      </c>
      <c r="T10" s="74">
        <v>173627</v>
      </c>
      <c r="U10" s="74"/>
      <c r="V10" s="74">
        <v>173627</v>
      </c>
    </row>
    <row r="11" spans="1:22" ht="15" customHeight="1">
      <c r="A11" s="51">
        <v>1</v>
      </c>
      <c r="B11" s="51" t="s">
        <v>540</v>
      </c>
      <c r="C11" s="51" t="s">
        <v>541</v>
      </c>
      <c r="D11" s="51" t="s">
        <v>535</v>
      </c>
      <c r="E11" s="51" t="s">
        <v>541</v>
      </c>
      <c r="F11" s="51" t="s">
        <v>140</v>
      </c>
      <c r="G11" s="51" t="s">
        <v>141</v>
      </c>
      <c r="H11" s="51">
        <v>1365000215</v>
      </c>
      <c r="I11" s="51" t="s">
        <v>40</v>
      </c>
      <c r="J11" s="51">
        <v>37</v>
      </c>
      <c r="K11" s="51" t="s">
        <v>542</v>
      </c>
      <c r="L11" s="51">
        <v>1361001977</v>
      </c>
      <c r="M11" s="51">
        <v>1092000002284</v>
      </c>
      <c r="N11" s="51" t="s">
        <v>178</v>
      </c>
      <c r="O11" s="51" t="s">
        <v>179</v>
      </c>
      <c r="P11" s="51" t="s">
        <v>146</v>
      </c>
      <c r="Q11" s="51" t="s">
        <v>147</v>
      </c>
      <c r="R11" s="51" t="s">
        <v>228</v>
      </c>
      <c r="S11" s="74">
        <v>1512.92</v>
      </c>
      <c r="T11" s="74">
        <v>1428197</v>
      </c>
      <c r="U11" s="74"/>
      <c r="V11" s="74">
        <v>1428197</v>
      </c>
    </row>
    <row r="12" spans="1:22" ht="15" customHeight="1">
      <c r="A12" s="51">
        <v>1</v>
      </c>
      <c r="B12" s="51" t="s">
        <v>540</v>
      </c>
      <c r="C12" s="51" t="s">
        <v>541</v>
      </c>
      <c r="D12" s="51" t="s">
        <v>535</v>
      </c>
      <c r="E12" s="51" t="s">
        <v>541</v>
      </c>
      <c r="F12" s="51" t="s">
        <v>140</v>
      </c>
      <c r="G12" s="51" t="s">
        <v>141</v>
      </c>
      <c r="H12" s="51">
        <v>1365000218</v>
      </c>
      <c r="I12" s="51" t="s">
        <v>41</v>
      </c>
      <c r="J12" s="51">
        <v>36</v>
      </c>
      <c r="K12" s="51" t="s">
        <v>542</v>
      </c>
      <c r="L12" s="51">
        <v>1361001978</v>
      </c>
      <c r="M12" s="51">
        <v>1092000002285</v>
      </c>
      <c r="N12" s="51" t="s">
        <v>178</v>
      </c>
      <c r="O12" s="51" t="s">
        <v>179</v>
      </c>
      <c r="P12" s="51" t="s">
        <v>146</v>
      </c>
      <c r="Q12" s="51" t="s">
        <v>147</v>
      </c>
      <c r="R12" s="51" t="s">
        <v>228</v>
      </c>
      <c r="S12" s="74">
        <v>329.67</v>
      </c>
      <c r="T12" s="74">
        <v>311208</v>
      </c>
      <c r="U12" s="74"/>
      <c r="V12" s="74">
        <v>311208</v>
      </c>
    </row>
    <row r="13" spans="1:22" ht="15" customHeight="1">
      <c r="A13" s="56"/>
      <c r="B13" s="56" t="s">
        <v>149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 t="s">
        <v>146</v>
      </c>
      <c r="Q13" s="56"/>
      <c r="R13" s="56"/>
      <c r="S13" s="58">
        <v>2226.6</v>
      </c>
      <c r="T13" s="58">
        <v>2130711</v>
      </c>
      <c r="U13" s="58"/>
      <c r="V13" s="58">
        <v>2130711</v>
      </c>
    </row>
    <row r="14" spans="1:22" ht="15" customHeight="1">
      <c r="A14" s="51">
        <v>2</v>
      </c>
      <c r="B14" s="51" t="s">
        <v>580</v>
      </c>
      <c r="C14" s="51" t="s">
        <v>581</v>
      </c>
      <c r="D14" s="51" t="s">
        <v>535</v>
      </c>
      <c r="E14" s="51" t="s">
        <v>581</v>
      </c>
      <c r="F14" s="51" t="s">
        <v>140</v>
      </c>
      <c r="G14" s="51" t="s">
        <v>141</v>
      </c>
      <c r="H14" s="51">
        <v>1365000219</v>
      </c>
      <c r="I14" s="51" t="s">
        <v>60</v>
      </c>
      <c r="J14" s="51">
        <v>21</v>
      </c>
      <c r="K14" s="51" t="s">
        <v>542</v>
      </c>
      <c r="L14" s="51">
        <v>1361001929</v>
      </c>
      <c r="M14" s="51">
        <v>1222000000307</v>
      </c>
      <c r="N14" s="51" t="s">
        <v>178</v>
      </c>
      <c r="O14" s="51" t="s">
        <v>179</v>
      </c>
      <c r="P14" s="51" t="s">
        <v>146</v>
      </c>
      <c r="Q14" s="51" t="s">
        <v>147</v>
      </c>
      <c r="R14" s="51" t="s">
        <v>228</v>
      </c>
      <c r="S14" s="74">
        <v>1454.64</v>
      </c>
      <c r="T14" s="74">
        <v>1280083</v>
      </c>
      <c r="U14" s="74"/>
      <c r="V14" s="74">
        <v>1280083</v>
      </c>
    </row>
    <row r="15" spans="1:22" ht="15" customHeight="1">
      <c r="A15" s="56"/>
      <c r="B15" s="56" t="s">
        <v>149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 t="s">
        <v>146</v>
      </c>
      <c r="Q15" s="56"/>
      <c r="R15" s="56"/>
      <c r="S15" s="58">
        <v>1454.64</v>
      </c>
      <c r="T15" s="58">
        <v>1280083</v>
      </c>
      <c r="U15" s="58"/>
      <c r="V15" s="58">
        <v>1280083</v>
      </c>
    </row>
    <row r="16" spans="1:22" ht="15" customHeight="1">
      <c r="A16" s="3"/>
      <c r="B16" s="3" t="s">
        <v>624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 t="s">
        <v>146</v>
      </c>
      <c r="Q16" s="3"/>
      <c r="R16" s="3"/>
      <c r="S16" s="81">
        <v>3681.24</v>
      </c>
      <c r="T16" s="81">
        <v>3410794</v>
      </c>
      <c r="U16" s="81"/>
      <c r="V16" s="81">
        <v>3410794</v>
      </c>
    </row>
  </sheetData>
  <mergeCells count="23">
    <mergeCell ref="F5:F7"/>
    <mergeCell ref="A5:A7"/>
    <mergeCell ref="B5:B7"/>
    <mergeCell ref="C5:C7"/>
    <mergeCell ref="D5:D7"/>
    <mergeCell ref="E5:E7"/>
    <mergeCell ref="R5:R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S5:V5"/>
    <mergeCell ref="S6:S7"/>
    <mergeCell ref="T6:T7"/>
    <mergeCell ref="U6:U7"/>
    <mergeCell ref="V6:V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V22"/>
  <sheetViews>
    <sheetView workbookViewId="0">
      <pane xSplit="3" ySplit="7" topLeftCell="D13" activePane="bottomRight" state="frozen"/>
      <selection activeCell="AM6" sqref="AM6:AP6"/>
      <selection pane="topRight" activeCell="AM6" sqref="AM6:AP6"/>
      <selection pane="bottomLeft" activeCell="AM6" sqref="AM6:AP6"/>
      <selection pane="bottomRight" activeCell="AM6" sqref="AM6:AP6"/>
    </sheetView>
  </sheetViews>
  <sheetFormatPr defaultColWidth="9.1796875" defaultRowHeight="14.5"/>
  <cols>
    <col min="1" max="1" width="4.453125" style="63" customWidth="1"/>
    <col min="2" max="2" width="14.81640625" style="63" hidden="1" customWidth="1"/>
    <col min="3" max="3" width="36.54296875" style="63" bestFit="1" customWidth="1"/>
    <col min="4" max="4" width="17.7265625" style="63" customWidth="1"/>
    <col min="5" max="5" width="36.54296875" style="63" hidden="1" customWidth="1"/>
    <col min="6" max="6" width="30.26953125" style="63" hidden="1" customWidth="1"/>
    <col min="7" max="7" width="4.453125" style="63" hidden="1" customWidth="1"/>
    <col min="8" max="8" width="12.453125" style="63" hidden="1" customWidth="1"/>
    <col min="9" max="9" width="12.453125" style="63" bestFit="1" customWidth="1"/>
    <col min="10" max="10" width="9" style="63" customWidth="1"/>
    <col min="11" max="11" width="12.453125" style="63" hidden="1" customWidth="1"/>
    <col min="12" max="12" width="12.453125" style="63" bestFit="1" customWidth="1"/>
    <col min="13" max="13" width="36.54296875" style="63" hidden="1" customWidth="1"/>
    <col min="14" max="14" width="18.453125" style="63" hidden="1" customWidth="1"/>
    <col min="15" max="15" width="18.453125" style="63" bestFit="1" customWidth="1"/>
    <col min="16" max="16" width="4.453125" style="63" hidden="1" customWidth="1"/>
    <col min="17" max="18" width="6.7265625" style="63" hidden="1" customWidth="1"/>
    <col min="19" max="19" width="18.453125" style="65" bestFit="1" customWidth="1"/>
    <col min="20" max="21" width="30.26953125" style="65" hidden="1" customWidth="1"/>
    <col min="22" max="22" width="24" style="65" customWidth="1"/>
    <col min="23" max="16384" width="9.1796875" style="63"/>
  </cols>
  <sheetData>
    <row r="1" spans="1:22">
      <c r="A1" s="62" t="s">
        <v>625</v>
      </c>
    </row>
    <row r="2" spans="1:22">
      <c r="A2" s="62" t="s">
        <v>689</v>
      </c>
    </row>
    <row r="3" spans="1:22">
      <c r="A3" s="4" t="s">
        <v>644</v>
      </c>
    </row>
    <row r="4" spans="1:22">
      <c r="A4" s="66"/>
    </row>
    <row r="5" spans="1:22" ht="15" customHeight="1">
      <c r="A5" s="202" t="s">
        <v>124</v>
      </c>
      <c r="B5" s="202" t="s">
        <v>125</v>
      </c>
      <c r="C5" s="202" t="s">
        <v>126</v>
      </c>
      <c r="D5" s="208" t="s">
        <v>127</v>
      </c>
      <c r="E5" s="202" t="s">
        <v>128</v>
      </c>
      <c r="F5" s="202" t="s">
        <v>129</v>
      </c>
      <c r="G5" s="202" t="s">
        <v>0</v>
      </c>
      <c r="H5" s="202" t="s">
        <v>130</v>
      </c>
      <c r="I5" s="202" t="s">
        <v>131</v>
      </c>
      <c r="J5" s="202" t="s">
        <v>635</v>
      </c>
      <c r="K5" s="202" t="s">
        <v>132</v>
      </c>
      <c r="L5" s="202" t="s">
        <v>707</v>
      </c>
      <c r="M5" s="205" t="s">
        <v>133</v>
      </c>
      <c r="N5" s="202" t="s">
        <v>134</v>
      </c>
      <c r="O5" s="208" t="s">
        <v>637</v>
      </c>
      <c r="P5" s="202" t="s">
        <v>1</v>
      </c>
      <c r="Q5" s="202" t="s">
        <v>2</v>
      </c>
      <c r="R5" s="202" t="s">
        <v>638</v>
      </c>
      <c r="S5" s="193" t="s">
        <v>639</v>
      </c>
      <c r="T5" s="194"/>
      <c r="U5" s="194"/>
      <c r="V5" s="195"/>
    </row>
    <row r="6" spans="1:22" ht="15" customHeight="1">
      <c r="A6" s="203"/>
      <c r="B6" s="203"/>
      <c r="C6" s="203"/>
      <c r="D6" s="209"/>
      <c r="E6" s="203"/>
      <c r="F6" s="203"/>
      <c r="G6" s="203"/>
      <c r="H6" s="203"/>
      <c r="I6" s="203"/>
      <c r="J6" s="203"/>
      <c r="K6" s="203"/>
      <c r="L6" s="203"/>
      <c r="M6" s="206"/>
      <c r="N6" s="203"/>
      <c r="O6" s="209"/>
      <c r="P6" s="203"/>
      <c r="Q6" s="203"/>
      <c r="R6" s="203"/>
      <c r="S6" s="196" t="s">
        <v>640</v>
      </c>
      <c r="T6" s="198" t="s">
        <v>641</v>
      </c>
      <c r="U6" s="198" t="s">
        <v>642</v>
      </c>
      <c r="V6" s="200" t="s">
        <v>643</v>
      </c>
    </row>
    <row r="7" spans="1:22" ht="15" customHeight="1">
      <c r="A7" s="204"/>
      <c r="B7" s="204"/>
      <c r="C7" s="204"/>
      <c r="D7" s="210"/>
      <c r="E7" s="204"/>
      <c r="F7" s="204"/>
      <c r="G7" s="204"/>
      <c r="H7" s="204"/>
      <c r="I7" s="204"/>
      <c r="J7" s="204"/>
      <c r="K7" s="204"/>
      <c r="L7" s="204"/>
      <c r="M7" s="207"/>
      <c r="N7" s="204"/>
      <c r="O7" s="210"/>
      <c r="P7" s="204"/>
      <c r="Q7" s="204"/>
      <c r="R7" s="204"/>
      <c r="S7" s="197"/>
      <c r="T7" s="199"/>
      <c r="U7" s="199"/>
      <c r="V7" s="201"/>
    </row>
    <row r="8" spans="1:22" ht="15" customHeight="1">
      <c r="A8" s="67" t="s">
        <v>124</v>
      </c>
      <c r="B8" s="67" t="s">
        <v>627</v>
      </c>
      <c r="C8" s="67" t="s">
        <v>126</v>
      </c>
      <c r="D8" s="67" t="s">
        <v>628</v>
      </c>
      <c r="E8" s="67" t="s">
        <v>128</v>
      </c>
      <c r="F8" s="67" t="s">
        <v>633</v>
      </c>
      <c r="G8" s="67" t="s">
        <v>0</v>
      </c>
      <c r="H8" s="67" t="s">
        <v>634</v>
      </c>
      <c r="I8" s="67" t="s">
        <v>131</v>
      </c>
      <c r="J8" s="67" t="s">
        <v>635</v>
      </c>
      <c r="K8" s="67" t="s">
        <v>132</v>
      </c>
      <c r="L8" s="67" t="s">
        <v>636</v>
      </c>
      <c r="M8" s="68" t="s">
        <v>133</v>
      </c>
      <c r="N8" s="67" t="s">
        <v>134</v>
      </c>
      <c r="O8" s="67" t="s">
        <v>637</v>
      </c>
      <c r="P8" s="67" t="s">
        <v>1</v>
      </c>
      <c r="Q8" s="67" t="s">
        <v>2</v>
      </c>
      <c r="R8" s="67" t="s">
        <v>638</v>
      </c>
      <c r="S8" s="70" t="s">
        <v>640</v>
      </c>
      <c r="T8" s="70" t="s">
        <v>641</v>
      </c>
      <c r="U8" s="71" t="s">
        <v>642</v>
      </c>
      <c r="V8" s="72" t="s">
        <v>643</v>
      </c>
    </row>
    <row r="9" spans="1:22" s="5" customFormat="1" ht="15" customHeight="1">
      <c r="A9" s="51">
        <v>1</v>
      </c>
      <c r="B9" s="51" t="s">
        <v>406</v>
      </c>
      <c r="C9" s="51" t="s">
        <v>407</v>
      </c>
      <c r="D9" s="51" t="s">
        <v>408</v>
      </c>
      <c r="E9" s="51" t="s">
        <v>407</v>
      </c>
      <c r="F9" s="51" t="s">
        <v>140</v>
      </c>
      <c r="G9" s="51" t="s">
        <v>141</v>
      </c>
      <c r="H9" s="51">
        <v>1005000110</v>
      </c>
      <c r="I9" s="51" t="s">
        <v>81</v>
      </c>
      <c r="J9" s="51">
        <v>121</v>
      </c>
      <c r="K9" s="51" t="s">
        <v>409</v>
      </c>
      <c r="L9" s="51">
        <v>1001017864</v>
      </c>
      <c r="M9" s="51">
        <v>8007102041</v>
      </c>
      <c r="N9" s="51" t="s">
        <v>178</v>
      </c>
      <c r="O9" s="51" t="s">
        <v>179</v>
      </c>
      <c r="P9" s="51" t="s">
        <v>146</v>
      </c>
      <c r="Q9" s="51" t="s">
        <v>147</v>
      </c>
      <c r="R9" s="51" t="s">
        <v>148</v>
      </c>
      <c r="S9" s="74">
        <v>3110.51</v>
      </c>
      <c r="T9" s="74">
        <v>1928516</v>
      </c>
      <c r="U9" s="74"/>
      <c r="V9" s="74">
        <v>1928516</v>
      </c>
    </row>
    <row r="10" spans="1:22" s="5" customFormat="1" ht="15" customHeight="1">
      <c r="A10" s="51">
        <v>1</v>
      </c>
      <c r="B10" s="51" t="s">
        <v>406</v>
      </c>
      <c r="C10" s="51" t="s">
        <v>407</v>
      </c>
      <c r="D10" s="51" t="s">
        <v>408</v>
      </c>
      <c r="E10" s="51" t="s">
        <v>407</v>
      </c>
      <c r="F10" s="51" t="s">
        <v>140</v>
      </c>
      <c r="G10" s="51" t="s">
        <v>141</v>
      </c>
      <c r="H10" s="51">
        <v>1005000111</v>
      </c>
      <c r="I10" s="51" t="s">
        <v>82</v>
      </c>
      <c r="J10" s="51">
        <v>375</v>
      </c>
      <c r="K10" s="51" t="s">
        <v>409</v>
      </c>
      <c r="L10" s="51">
        <v>1001017869</v>
      </c>
      <c r="M10" s="51">
        <v>8007102042</v>
      </c>
      <c r="N10" s="51" t="s">
        <v>178</v>
      </c>
      <c r="O10" s="51" t="s">
        <v>179</v>
      </c>
      <c r="P10" s="51" t="s">
        <v>146</v>
      </c>
      <c r="Q10" s="51" t="s">
        <v>147</v>
      </c>
      <c r="R10" s="51" t="s">
        <v>148</v>
      </c>
      <c r="S10" s="74">
        <v>20000</v>
      </c>
      <c r="T10" s="74">
        <v>12680000</v>
      </c>
      <c r="U10" s="74"/>
      <c r="V10" s="74">
        <v>12680000</v>
      </c>
    </row>
    <row r="11" spans="1:22" s="5" customFormat="1" ht="15" customHeight="1">
      <c r="A11" s="51">
        <v>1</v>
      </c>
      <c r="B11" s="51" t="s">
        <v>406</v>
      </c>
      <c r="C11" s="51" t="s">
        <v>407</v>
      </c>
      <c r="D11" s="51" t="s">
        <v>408</v>
      </c>
      <c r="E11" s="51" t="s">
        <v>407</v>
      </c>
      <c r="F11" s="51" t="s">
        <v>140</v>
      </c>
      <c r="G11" s="51" t="s">
        <v>141</v>
      </c>
      <c r="H11" s="51">
        <v>1005000112</v>
      </c>
      <c r="I11" s="51" t="s">
        <v>81</v>
      </c>
      <c r="J11" s="51">
        <v>121</v>
      </c>
      <c r="K11" s="51" t="s">
        <v>409</v>
      </c>
      <c r="L11" s="51">
        <v>1001019787</v>
      </c>
      <c r="M11" s="51">
        <v>8007102060</v>
      </c>
      <c r="N11" s="51" t="s">
        <v>178</v>
      </c>
      <c r="O11" s="51" t="s">
        <v>179</v>
      </c>
      <c r="P11" s="51" t="s">
        <v>146</v>
      </c>
      <c r="Q11" s="51" t="s">
        <v>147</v>
      </c>
      <c r="R11" s="51" t="s">
        <v>148</v>
      </c>
      <c r="S11" s="74">
        <v>3872.75</v>
      </c>
      <c r="T11" s="74">
        <v>3051727</v>
      </c>
      <c r="U11" s="74"/>
      <c r="V11" s="74">
        <v>3051727</v>
      </c>
    </row>
    <row r="12" spans="1:22" s="5" customFormat="1" ht="15" customHeight="1">
      <c r="A12" s="51">
        <v>1</v>
      </c>
      <c r="B12" s="51" t="s">
        <v>406</v>
      </c>
      <c r="C12" s="51" t="s">
        <v>407</v>
      </c>
      <c r="D12" s="51" t="s">
        <v>408</v>
      </c>
      <c r="E12" s="51" t="s">
        <v>407</v>
      </c>
      <c r="F12" s="51" t="s">
        <v>140</v>
      </c>
      <c r="G12" s="51" t="s">
        <v>141</v>
      </c>
      <c r="H12" s="51">
        <v>1005000114</v>
      </c>
      <c r="I12" s="51" t="s">
        <v>82</v>
      </c>
      <c r="J12" s="51">
        <v>375</v>
      </c>
      <c r="K12" s="51" t="s">
        <v>409</v>
      </c>
      <c r="L12" s="51">
        <v>1001019789</v>
      </c>
      <c r="M12" s="51">
        <v>8007102062</v>
      </c>
      <c r="N12" s="51" t="s">
        <v>178</v>
      </c>
      <c r="O12" s="51" t="s">
        <v>179</v>
      </c>
      <c r="P12" s="51" t="s">
        <v>146</v>
      </c>
      <c r="Q12" s="51" t="s">
        <v>147</v>
      </c>
      <c r="R12" s="51" t="s">
        <v>148</v>
      </c>
      <c r="S12" s="74">
        <v>33242.39</v>
      </c>
      <c r="T12" s="74">
        <v>25264216</v>
      </c>
      <c r="U12" s="74"/>
      <c r="V12" s="74">
        <v>25264216</v>
      </c>
    </row>
    <row r="13" spans="1:22" s="5" customFormat="1" ht="15" customHeight="1">
      <c r="A13" s="51">
        <v>1</v>
      </c>
      <c r="B13" s="51" t="s">
        <v>406</v>
      </c>
      <c r="C13" s="51" t="s">
        <v>407</v>
      </c>
      <c r="D13" s="51" t="s">
        <v>408</v>
      </c>
      <c r="E13" s="51" t="s">
        <v>407</v>
      </c>
      <c r="F13" s="51" t="s">
        <v>140</v>
      </c>
      <c r="G13" s="51" t="s">
        <v>141</v>
      </c>
      <c r="H13" s="51">
        <v>1005001981</v>
      </c>
      <c r="I13" s="51" t="s">
        <v>81</v>
      </c>
      <c r="J13" s="51">
        <v>121</v>
      </c>
      <c r="K13" s="51" t="s">
        <v>409</v>
      </c>
      <c r="L13" s="51">
        <v>1001020628</v>
      </c>
      <c r="M13" s="51">
        <v>8007102084</v>
      </c>
      <c r="N13" s="51" t="s">
        <v>178</v>
      </c>
      <c r="O13" s="51" t="s">
        <v>179</v>
      </c>
      <c r="P13" s="51" t="s">
        <v>146</v>
      </c>
      <c r="Q13" s="51" t="s">
        <v>147</v>
      </c>
      <c r="R13" s="51" t="s">
        <v>148</v>
      </c>
      <c r="S13" s="74">
        <v>801.19</v>
      </c>
      <c r="T13" s="74">
        <v>631338</v>
      </c>
      <c r="U13" s="74"/>
      <c r="V13" s="74">
        <v>631338</v>
      </c>
    </row>
    <row r="14" spans="1:22" s="5" customFormat="1" ht="15" customHeight="1">
      <c r="A14" s="51">
        <v>1</v>
      </c>
      <c r="B14" s="51" t="s">
        <v>406</v>
      </c>
      <c r="C14" s="51" t="s">
        <v>407</v>
      </c>
      <c r="D14" s="51" t="s">
        <v>408</v>
      </c>
      <c r="E14" s="51" t="s">
        <v>407</v>
      </c>
      <c r="F14" s="51" t="s">
        <v>140</v>
      </c>
      <c r="G14" s="51" t="s">
        <v>141</v>
      </c>
      <c r="H14" s="51">
        <v>1005001982</v>
      </c>
      <c r="I14" s="51" t="s">
        <v>83</v>
      </c>
      <c r="J14" s="51">
        <v>78</v>
      </c>
      <c r="K14" s="51" t="s">
        <v>409</v>
      </c>
      <c r="L14" s="51">
        <v>1001021240</v>
      </c>
      <c r="M14" s="51" t="s">
        <v>410</v>
      </c>
      <c r="N14" s="51" t="s">
        <v>178</v>
      </c>
      <c r="O14" s="51" t="s">
        <v>179</v>
      </c>
      <c r="P14" s="51" t="s">
        <v>146</v>
      </c>
      <c r="Q14" s="51" t="s">
        <v>147</v>
      </c>
      <c r="R14" s="51" t="s">
        <v>148</v>
      </c>
      <c r="S14" s="74">
        <v>19667.740000000002</v>
      </c>
      <c r="T14" s="74">
        <v>14436121</v>
      </c>
      <c r="U14" s="74"/>
      <c r="V14" s="74">
        <v>14436121</v>
      </c>
    </row>
    <row r="15" spans="1:22" s="5" customFormat="1" ht="15" customHeight="1">
      <c r="A15" s="51">
        <v>1</v>
      </c>
      <c r="B15" s="51" t="s">
        <v>406</v>
      </c>
      <c r="C15" s="51" t="s">
        <v>407</v>
      </c>
      <c r="D15" s="51" t="s">
        <v>408</v>
      </c>
      <c r="E15" s="51" t="s">
        <v>407</v>
      </c>
      <c r="F15" s="51" t="s">
        <v>140</v>
      </c>
      <c r="G15" s="51" t="s">
        <v>141</v>
      </c>
      <c r="H15" s="51">
        <v>1005001985</v>
      </c>
      <c r="I15" s="51" t="s">
        <v>81</v>
      </c>
      <c r="J15" s="51">
        <v>121</v>
      </c>
      <c r="K15" s="51" t="s">
        <v>409</v>
      </c>
      <c r="L15" s="51">
        <v>1001020623</v>
      </c>
      <c r="M15" s="51">
        <v>8007102085</v>
      </c>
      <c r="N15" s="51" t="s">
        <v>178</v>
      </c>
      <c r="O15" s="51" t="s">
        <v>179</v>
      </c>
      <c r="P15" s="51" t="s">
        <v>146</v>
      </c>
      <c r="Q15" s="51" t="s">
        <v>147</v>
      </c>
      <c r="R15" s="51" t="s">
        <v>148</v>
      </c>
      <c r="S15" s="74">
        <v>29936.57</v>
      </c>
      <c r="T15" s="74">
        <v>22572174</v>
      </c>
      <c r="U15" s="74"/>
      <c r="V15" s="74">
        <v>22572174</v>
      </c>
    </row>
    <row r="16" spans="1:22" s="5" customFormat="1" ht="15" customHeight="1">
      <c r="A16" s="51">
        <v>1</v>
      </c>
      <c r="B16" s="51" t="s">
        <v>406</v>
      </c>
      <c r="C16" s="51" t="s">
        <v>407</v>
      </c>
      <c r="D16" s="51" t="s">
        <v>408</v>
      </c>
      <c r="E16" s="51" t="s">
        <v>407</v>
      </c>
      <c r="F16" s="51" t="s">
        <v>140</v>
      </c>
      <c r="G16" s="51" t="s">
        <v>141</v>
      </c>
      <c r="H16" s="51">
        <v>1005001986</v>
      </c>
      <c r="I16" s="51" t="s">
        <v>83</v>
      </c>
      <c r="J16" s="51">
        <v>78</v>
      </c>
      <c r="K16" s="51" t="s">
        <v>409</v>
      </c>
      <c r="L16" s="51">
        <v>1001020625</v>
      </c>
      <c r="M16" s="51">
        <v>8007102086</v>
      </c>
      <c r="N16" s="51" t="s">
        <v>178</v>
      </c>
      <c r="O16" s="51" t="s">
        <v>179</v>
      </c>
      <c r="P16" s="51" t="s">
        <v>146</v>
      </c>
      <c r="Q16" s="51" t="s">
        <v>147</v>
      </c>
      <c r="R16" s="51" t="s">
        <v>148</v>
      </c>
      <c r="S16" s="74">
        <v>26232.04</v>
      </c>
      <c r="T16" s="74">
        <v>19936350</v>
      </c>
      <c r="U16" s="74"/>
      <c r="V16" s="74">
        <v>19936350</v>
      </c>
    </row>
    <row r="17" spans="1:22" s="5" customFormat="1" ht="15" customHeight="1">
      <c r="A17" s="51">
        <v>1</v>
      </c>
      <c r="B17" s="51" t="s">
        <v>406</v>
      </c>
      <c r="C17" s="51" t="s">
        <v>407</v>
      </c>
      <c r="D17" s="51" t="s">
        <v>408</v>
      </c>
      <c r="E17" s="51" t="s">
        <v>407</v>
      </c>
      <c r="F17" s="51" t="s">
        <v>140</v>
      </c>
      <c r="G17" s="51" t="s">
        <v>141</v>
      </c>
      <c r="H17" s="51">
        <v>1005001987</v>
      </c>
      <c r="I17" s="51" t="s">
        <v>81</v>
      </c>
      <c r="J17" s="51">
        <v>121</v>
      </c>
      <c r="K17" s="51" t="s">
        <v>409</v>
      </c>
      <c r="L17" s="51">
        <v>1001021239</v>
      </c>
      <c r="M17" s="51" t="s">
        <v>411</v>
      </c>
      <c r="N17" s="51" t="s">
        <v>178</v>
      </c>
      <c r="O17" s="51" t="s">
        <v>179</v>
      </c>
      <c r="P17" s="51" t="s">
        <v>146</v>
      </c>
      <c r="Q17" s="51" t="s">
        <v>147</v>
      </c>
      <c r="R17" s="51" t="s">
        <v>148</v>
      </c>
      <c r="S17" s="74">
        <v>8608.2999999999993</v>
      </c>
      <c r="T17" s="74">
        <v>6611174</v>
      </c>
      <c r="U17" s="74"/>
      <c r="V17" s="74">
        <v>6611174</v>
      </c>
    </row>
    <row r="18" spans="1:22" s="5" customFormat="1" ht="15" customHeight="1">
      <c r="A18" s="51">
        <v>1</v>
      </c>
      <c r="B18" s="51" t="s">
        <v>406</v>
      </c>
      <c r="C18" s="51" t="s">
        <v>407</v>
      </c>
      <c r="D18" s="51" t="s">
        <v>408</v>
      </c>
      <c r="E18" s="51" t="s">
        <v>407</v>
      </c>
      <c r="F18" s="51" t="s">
        <v>140</v>
      </c>
      <c r="G18" s="51" t="s">
        <v>141</v>
      </c>
      <c r="H18" s="51">
        <v>1005001988</v>
      </c>
      <c r="I18" s="51" t="s">
        <v>83</v>
      </c>
      <c r="J18" s="51">
        <v>78</v>
      </c>
      <c r="K18" s="51" t="s">
        <v>409</v>
      </c>
      <c r="L18" s="51">
        <v>1001023387</v>
      </c>
      <c r="M18" s="51">
        <v>8007102105</v>
      </c>
      <c r="N18" s="51" t="s">
        <v>178</v>
      </c>
      <c r="O18" s="51" t="s">
        <v>179</v>
      </c>
      <c r="P18" s="51" t="s">
        <v>146</v>
      </c>
      <c r="Q18" s="51" t="s">
        <v>147</v>
      </c>
      <c r="R18" s="51" t="s">
        <v>148</v>
      </c>
      <c r="S18" s="74">
        <v>15851.89</v>
      </c>
      <c r="T18" s="74">
        <v>12586401</v>
      </c>
      <c r="U18" s="74"/>
      <c r="V18" s="74">
        <v>12586401</v>
      </c>
    </row>
    <row r="19" spans="1:22" s="5" customFormat="1" ht="15" customHeight="1">
      <c r="A19" s="56"/>
      <c r="B19" s="56" t="s">
        <v>149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 t="s">
        <v>146</v>
      </c>
      <c r="Q19" s="56"/>
      <c r="R19" s="56"/>
      <c r="S19" s="58">
        <v>161323.38</v>
      </c>
      <c r="T19" s="58">
        <v>119698017</v>
      </c>
      <c r="U19" s="58"/>
      <c r="V19" s="58">
        <v>119698017</v>
      </c>
    </row>
    <row r="20" spans="1:22" s="5" customFormat="1" ht="15" customHeight="1">
      <c r="A20" s="51">
        <v>2</v>
      </c>
      <c r="B20" s="51" t="s">
        <v>421</v>
      </c>
      <c r="C20" s="51" t="s">
        <v>422</v>
      </c>
      <c r="D20" s="51" t="s">
        <v>423</v>
      </c>
      <c r="E20" s="51" t="s">
        <v>422</v>
      </c>
      <c r="F20" s="51" t="s">
        <v>140</v>
      </c>
      <c r="G20" s="51" t="s">
        <v>141</v>
      </c>
      <c r="H20" s="51">
        <v>1892</v>
      </c>
      <c r="I20" s="51" t="s">
        <v>84</v>
      </c>
      <c r="J20" s="51">
        <v>444</v>
      </c>
      <c r="K20" s="51" t="s">
        <v>409</v>
      </c>
      <c r="L20" s="51">
        <v>1001018750</v>
      </c>
      <c r="M20" s="51" t="s">
        <v>282</v>
      </c>
      <c r="N20" s="51" t="s">
        <v>178</v>
      </c>
      <c r="O20" s="51" t="s">
        <v>179</v>
      </c>
      <c r="P20" s="51" t="s">
        <v>146</v>
      </c>
      <c r="Q20" s="51" t="s">
        <v>147</v>
      </c>
      <c r="R20" s="51" t="s">
        <v>148</v>
      </c>
      <c r="S20" s="74">
        <v>70.08</v>
      </c>
      <c r="T20" s="74">
        <v>64474</v>
      </c>
      <c r="U20" s="74"/>
      <c r="V20" s="74">
        <v>64474</v>
      </c>
    </row>
    <row r="21" spans="1:22" s="5" customFormat="1" ht="15" customHeight="1">
      <c r="A21" s="56"/>
      <c r="B21" s="56" t="s">
        <v>149</v>
      </c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 t="s">
        <v>146</v>
      </c>
      <c r="Q21" s="56"/>
      <c r="R21" s="56"/>
      <c r="S21" s="58">
        <v>70.08</v>
      </c>
      <c r="T21" s="58">
        <v>64474</v>
      </c>
      <c r="U21" s="58"/>
      <c r="V21" s="58">
        <v>64474</v>
      </c>
    </row>
    <row r="22" spans="1:22" s="5" customFormat="1" ht="15" customHeight="1">
      <c r="A22" s="59"/>
      <c r="B22" s="59" t="s">
        <v>624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 t="s">
        <v>146</v>
      </c>
      <c r="Q22" s="59"/>
      <c r="R22" s="59"/>
      <c r="S22" s="61">
        <v>161393.46</v>
      </c>
      <c r="T22" s="61">
        <v>119762491</v>
      </c>
      <c r="U22" s="61"/>
      <c r="V22" s="61">
        <v>119762491</v>
      </c>
    </row>
  </sheetData>
  <autoFilter ref="A8:V8" xr:uid="{00000000-0009-0000-0000-000011000000}"/>
  <mergeCells count="23">
    <mergeCell ref="F5:F7"/>
    <mergeCell ref="A5:A7"/>
    <mergeCell ref="B5:B7"/>
    <mergeCell ref="C5:C7"/>
    <mergeCell ref="D5:D7"/>
    <mergeCell ref="E5:E7"/>
    <mergeCell ref="R5:R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S5:V5"/>
    <mergeCell ref="S6:S7"/>
    <mergeCell ref="T6:T7"/>
    <mergeCell ref="U6:U7"/>
    <mergeCell ref="V6:V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V43"/>
  <sheetViews>
    <sheetView workbookViewId="0">
      <pane xSplit="3" ySplit="7" topLeftCell="D8" activePane="bottomRight" state="frozen"/>
      <selection activeCell="AM6" sqref="AM6:AP6"/>
      <selection pane="topRight" activeCell="AM6" sqref="AM6:AP6"/>
      <selection pane="bottomLeft" activeCell="AM6" sqref="AM6:AP6"/>
      <selection pane="bottomRight" activeCell="AM6" sqref="AM6:AP6"/>
    </sheetView>
  </sheetViews>
  <sheetFormatPr defaultColWidth="9.1796875" defaultRowHeight="14.5"/>
  <cols>
    <col min="1" max="1" width="4.453125" style="5" customWidth="1"/>
    <col min="2" max="2" width="14.81640625" style="5" hidden="1" customWidth="1"/>
    <col min="3" max="3" width="30.36328125" style="5" customWidth="1"/>
    <col min="4" max="4" width="20.54296875" style="5" customWidth="1"/>
    <col min="5" max="5" width="42.1796875" style="5" hidden="1" customWidth="1"/>
    <col min="6" max="6" width="30.26953125" style="5" hidden="1" customWidth="1"/>
    <col min="7" max="7" width="4.453125" style="5" hidden="1" customWidth="1"/>
    <col min="8" max="8" width="12.453125" style="5" hidden="1" customWidth="1"/>
    <col min="9" max="9" width="12.453125" style="5" bestFit="1" customWidth="1"/>
    <col min="10" max="10" width="10.54296875" style="5" customWidth="1"/>
    <col min="11" max="11" width="12.453125" style="5" hidden="1" customWidth="1"/>
    <col min="12" max="12" width="12.453125" style="5" bestFit="1" customWidth="1"/>
    <col min="13" max="13" width="36.54296875" style="5" hidden="1" customWidth="1"/>
    <col min="14" max="14" width="18.453125" style="5" hidden="1" customWidth="1"/>
    <col min="15" max="15" width="18.453125" style="5" bestFit="1" customWidth="1"/>
    <col min="16" max="16" width="4.453125" style="5" hidden="1" customWidth="1"/>
    <col min="17" max="18" width="6.7265625" style="5" hidden="1" customWidth="1"/>
    <col min="19" max="19" width="18.453125" style="65" customWidth="1"/>
    <col min="20" max="21" width="30.26953125" style="65" hidden="1" customWidth="1"/>
    <col min="22" max="22" width="18.7265625" style="65" customWidth="1"/>
    <col min="23" max="16384" width="9.1796875" style="5"/>
  </cols>
  <sheetData>
    <row r="1" spans="1:22">
      <c r="A1" s="62" t="s">
        <v>625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22">
      <c r="A2" s="62" t="s">
        <v>695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3" spans="1:22">
      <c r="A3" s="4" t="s">
        <v>644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1:22">
      <c r="A4" s="66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</row>
    <row r="5" spans="1:22" s="63" customFormat="1" ht="15" customHeight="1">
      <c r="A5" s="202" t="s">
        <v>124</v>
      </c>
      <c r="B5" s="202" t="s">
        <v>125</v>
      </c>
      <c r="C5" s="202" t="s">
        <v>126</v>
      </c>
      <c r="D5" s="208" t="s">
        <v>127</v>
      </c>
      <c r="E5" s="202" t="s">
        <v>128</v>
      </c>
      <c r="F5" s="202" t="s">
        <v>129</v>
      </c>
      <c r="G5" s="202" t="s">
        <v>0</v>
      </c>
      <c r="H5" s="202" t="s">
        <v>130</v>
      </c>
      <c r="I5" s="202" t="s">
        <v>131</v>
      </c>
      <c r="J5" s="202" t="s">
        <v>635</v>
      </c>
      <c r="K5" s="202" t="s">
        <v>132</v>
      </c>
      <c r="L5" s="202" t="s">
        <v>707</v>
      </c>
      <c r="M5" s="205" t="s">
        <v>133</v>
      </c>
      <c r="N5" s="202" t="s">
        <v>134</v>
      </c>
      <c r="O5" s="208" t="s">
        <v>637</v>
      </c>
      <c r="P5" s="202" t="s">
        <v>1</v>
      </c>
      <c r="Q5" s="202" t="s">
        <v>2</v>
      </c>
      <c r="R5" s="202" t="s">
        <v>638</v>
      </c>
      <c r="S5" s="193" t="s">
        <v>639</v>
      </c>
      <c r="T5" s="194"/>
      <c r="U5" s="194"/>
      <c r="V5" s="195"/>
    </row>
    <row r="6" spans="1:22" s="63" customFormat="1" ht="15" customHeight="1">
      <c r="A6" s="203"/>
      <c r="B6" s="203"/>
      <c r="C6" s="203"/>
      <c r="D6" s="209"/>
      <c r="E6" s="203"/>
      <c r="F6" s="203"/>
      <c r="G6" s="203"/>
      <c r="H6" s="203"/>
      <c r="I6" s="203"/>
      <c r="J6" s="203"/>
      <c r="K6" s="203"/>
      <c r="L6" s="203"/>
      <c r="M6" s="206"/>
      <c r="N6" s="203"/>
      <c r="O6" s="209"/>
      <c r="P6" s="203"/>
      <c r="Q6" s="203"/>
      <c r="R6" s="203"/>
      <c r="S6" s="196" t="s">
        <v>640</v>
      </c>
      <c r="T6" s="198" t="s">
        <v>641</v>
      </c>
      <c r="U6" s="198" t="s">
        <v>642</v>
      </c>
      <c r="V6" s="200" t="s">
        <v>643</v>
      </c>
    </row>
    <row r="7" spans="1:22" s="63" customFormat="1" ht="15" customHeight="1">
      <c r="A7" s="204"/>
      <c r="B7" s="204"/>
      <c r="C7" s="204"/>
      <c r="D7" s="210"/>
      <c r="E7" s="204"/>
      <c r="F7" s="204"/>
      <c r="G7" s="204"/>
      <c r="H7" s="204"/>
      <c r="I7" s="204"/>
      <c r="J7" s="204"/>
      <c r="K7" s="204"/>
      <c r="L7" s="204"/>
      <c r="M7" s="207"/>
      <c r="N7" s="204"/>
      <c r="O7" s="210"/>
      <c r="P7" s="204"/>
      <c r="Q7" s="204"/>
      <c r="R7" s="204"/>
      <c r="S7" s="197"/>
      <c r="T7" s="199"/>
      <c r="U7" s="199"/>
      <c r="V7" s="201"/>
    </row>
    <row r="8" spans="1:22" s="63" customFormat="1" ht="15" customHeight="1">
      <c r="A8" s="67" t="s">
        <v>124</v>
      </c>
      <c r="B8" s="67" t="s">
        <v>627</v>
      </c>
      <c r="C8" s="67" t="s">
        <v>126</v>
      </c>
      <c r="D8" s="67" t="s">
        <v>628</v>
      </c>
      <c r="E8" s="67" t="s">
        <v>128</v>
      </c>
      <c r="F8" s="67" t="s">
        <v>633</v>
      </c>
      <c r="G8" s="67" t="s">
        <v>0</v>
      </c>
      <c r="H8" s="67" t="s">
        <v>634</v>
      </c>
      <c r="I8" s="67" t="s">
        <v>131</v>
      </c>
      <c r="J8" s="67" t="s">
        <v>635</v>
      </c>
      <c r="K8" s="67" t="s">
        <v>132</v>
      </c>
      <c r="L8" s="67" t="s">
        <v>636</v>
      </c>
      <c r="M8" s="68" t="s">
        <v>133</v>
      </c>
      <c r="N8" s="67" t="s">
        <v>134</v>
      </c>
      <c r="O8" s="67" t="s">
        <v>637</v>
      </c>
      <c r="P8" s="67" t="s">
        <v>1</v>
      </c>
      <c r="Q8" s="67" t="s">
        <v>2</v>
      </c>
      <c r="R8" s="67" t="s">
        <v>638</v>
      </c>
      <c r="S8" s="70" t="s">
        <v>640</v>
      </c>
      <c r="T8" s="70" t="s">
        <v>641</v>
      </c>
      <c r="U8" s="71" t="s">
        <v>642</v>
      </c>
      <c r="V8" s="72" t="s">
        <v>643</v>
      </c>
    </row>
    <row r="9" spans="1:22" ht="15" customHeight="1">
      <c r="A9" s="51">
        <v>1</v>
      </c>
      <c r="B9" s="51" t="s">
        <v>223</v>
      </c>
      <c r="C9" s="51" t="s">
        <v>224</v>
      </c>
      <c r="D9" s="51" t="s">
        <v>225</v>
      </c>
      <c r="E9" s="51" t="s">
        <v>224</v>
      </c>
      <c r="F9" s="51" t="s">
        <v>140</v>
      </c>
      <c r="G9" s="51" t="s">
        <v>141</v>
      </c>
      <c r="H9" s="51">
        <v>1365000166</v>
      </c>
      <c r="I9" s="51" t="s">
        <v>29</v>
      </c>
      <c r="J9" s="51">
        <v>135</v>
      </c>
      <c r="K9" s="51" t="s">
        <v>226</v>
      </c>
      <c r="L9" s="51">
        <v>1361001721</v>
      </c>
      <c r="M9" s="51" t="s">
        <v>227</v>
      </c>
      <c r="N9" s="51" t="s">
        <v>178</v>
      </c>
      <c r="O9" s="51" t="s">
        <v>179</v>
      </c>
      <c r="P9" s="51" t="s">
        <v>146</v>
      </c>
      <c r="Q9" s="51" t="s">
        <v>147</v>
      </c>
      <c r="R9" s="51" t="s">
        <v>228</v>
      </c>
      <c r="S9" s="74">
        <v>502</v>
      </c>
      <c r="T9" s="74">
        <v>428206</v>
      </c>
      <c r="U9" s="74"/>
      <c r="V9" s="74">
        <v>428206</v>
      </c>
    </row>
    <row r="10" spans="1:22" ht="15" customHeight="1">
      <c r="A10" s="51">
        <v>1</v>
      </c>
      <c r="B10" s="51" t="s">
        <v>223</v>
      </c>
      <c r="C10" s="51" t="s">
        <v>224</v>
      </c>
      <c r="D10" s="51" t="s">
        <v>225</v>
      </c>
      <c r="E10" s="51" t="s">
        <v>224</v>
      </c>
      <c r="F10" s="51" t="s">
        <v>140</v>
      </c>
      <c r="G10" s="51" t="s">
        <v>141</v>
      </c>
      <c r="H10" s="51">
        <v>1365000188</v>
      </c>
      <c r="I10" s="51" t="s">
        <v>30</v>
      </c>
      <c r="J10" s="51">
        <v>70</v>
      </c>
      <c r="K10" s="51" t="s">
        <v>226</v>
      </c>
      <c r="L10" s="51">
        <v>1361001765</v>
      </c>
      <c r="M10" s="51" t="s">
        <v>229</v>
      </c>
      <c r="N10" s="51" t="s">
        <v>178</v>
      </c>
      <c r="O10" s="51" t="s">
        <v>179</v>
      </c>
      <c r="P10" s="51" t="s">
        <v>146</v>
      </c>
      <c r="Q10" s="51" t="s">
        <v>147</v>
      </c>
      <c r="R10" s="51" t="s">
        <v>228</v>
      </c>
      <c r="S10" s="74">
        <v>162.19999999999999</v>
      </c>
      <c r="T10" s="74">
        <v>138357</v>
      </c>
      <c r="U10" s="74"/>
      <c r="V10" s="74">
        <v>138357</v>
      </c>
    </row>
    <row r="11" spans="1:22" ht="15" customHeight="1">
      <c r="A11" s="51">
        <v>1</v>
      </c>
      <c r="B11" s="51" t="s">
        <v>223</v>
      </c>
      <c r="C11" s="51" t="s">
        <v>224</v>
      </c>
      <c r="D11" s="51" t="s">
        <v>225</v>
      </c>
      <c r="E11" s="51" t="s">
        <v>224</v>
      </c>
      <c r="F11" s="51" t="s">
        <v>140</v>
      </c>
      <c r="G11" s="51" t="s">
        <v>141</v>
      </c>
      <c r="H11" s="51">
        <v>1365000186</v>
      </c>
      <c r="I11" s="51" t="s">
        <v>30</v>
      </c>
      <c r="J11" s="51">
        <v>70</v>
      </c>
      <c r="K11" s="51" t="s">
        <v>226</v>
      </c>
      <c r="L11" s="51">
        <v>1361001762</v>
      </c>
      <c r="M11" s="51" t="s">
        <v>230</v>
      </c>
      <c r="N11" s="51" t="s">
        <v>178</v>
      </c>
      <c r="O11" s="51" t="s">
        <v>179</v>
      </c>
      <c r="P11" s="51" t="s">
        <v>146</v>
      </c>
      <c r="Q11" s="51" t="s">
        <v>147</v>
      </c>
      <c r="R11" s="51" t="s">
        <v>228</v>
      </c>
      <c r="S11" s="74">
        <v>1228.92</v>
      </c>
      <c r="T11" s="74">
        <v>1189595</v>
      </c>
      <c r="U11" s="74"/>
      <c r="V11" s="74">
        <v>1189595</v>
      </c>
    </row>
    <row r="12" spans="1:22" ht="15" customHeight="1">
      <c r="A12" s="51">
        <v>1</v>
      </c>
      <c r="B12" s="51" t="s">
        <v>223</v>
      </c>
      <c r="C12" s="51" t="s">
        <v>224</v>
      </c>
      <c r="D12" s="51" t="s">
        <v>225</v>
      </c>
      <c r="E12" s="51" t="s">
        <v>224</v>
      </c>
      <c r="F12" s="51" t="s">
        <v>140</v>
      </c>
      <c r="G12" s="51" t="s">
        <v>141</v>
      </c>
      <c r="H12" s="51">
        <v>1365000187</v>
      </c>
      <c r="I12" s="51" t="s">
        <v>30</v>
      </c>
      <c r="J12" s="51">
        <v>70</v>
      </c>
      <c r="K12" s="51" t="s">
        <v>226</v>
      </c>
      <c r="L12" s="51">
        <v>1361001763</v>
      </c>
      <c r="M12" s="51" t="s">
        <v>231</v>
      </c>
      <c r="N12" s="51" t="s">
        <v>178</v>
      </c>
      <c r="O12" s="51" t="s">
        <v>179</v>
      </c>
      <c r="P12" s="51" t="s">
        <v>146</v>
      </c>
      <c r="Q12" s="51" t="s">
        <v>147</v>
      </c>
      <c r="R12" s="51" t="s">
        <v>228</v>
      </c>
      <c r="S12" s="74">
        <v>4388.2</v>
      </c>
      <c r="T12" s="74">
        <v>4247778</v>
      </c>
      <c r="U12" s="74"/>
      <c r="V12" s="74">
        <v>4247778</v>
      </c>
    </row>
    <row r="13" spans="1:22" ht="15" customHeight="1">
      <c r="A13" s="51">
        <v>1</v>
      </c>
      <c r="B13" s="51" t="s">
        <v>223</v>
      </c>
      <c r="C13" s="51" t="s">
        <v>224</v>
      </c>
      <c r="D13" s="51" t="s">
        <v>225</v>
      </c>
      <c r="E13" s="51" t="s">
        <v>224</v>
      </c>
      <c r="F13" s="51" t="s">
        <v>140</v>
      </c>
      <c r="G13" s="51" t="s">
        <v>141</v>
      </c>
      <c r="H13" s="51">
        <v>1365000189</v>
      </c>
      <c r="I13" s="51" t="s">
        <v>30</v>
      </c>
      <c r="J13" s="51">
        <v>70</v>
      </c>
      <c r="K13" s="51" t="s">
        <v>226</v>
      </c>
      <c r="L13" s="51">
        <v>1361001809</v>
      </c>
      <c r="M13" s="51" t="s">
        <v>232</v>
      </c>
      <c r="N13" s="51" t="s">
        <v>178</v>
      </c>
      <c r="O13" s="51" t="s">
        <v>179</v>
      </c>
      <c r="P13" s="51" t="s">
        <v>146</v>
      </c>
      <c r="Q13" s="51" t="s">
        <v>147</v>
      </c>
      <c r="R13" s="51" t="s">
        <v>228</v>
      </c>
      <c r="S13" s="74">
        <v>754.51</v>
      </c>
      <c r="T13" s="74">
        <v>730366</v>
      </c>
      <c r="U13" s="74">
        <v>80340.259999999995</v>
      </c>
      <c r="V13" s="74">
        <v>810706.26</v>
      </c>
    </row>
    <row r="14" spans="1:22" ht="15" customHeight="1">
      <c r="A14" s="51">
        <v>1</v>
      </c>
      <c r="B14" s="51" t="s">
        <v>223</v>
      </c>
      <c r="C14" s="51" t="s">
        <v>224</v>
      </c>
      <c r="D14" s="51" t="s">
        <v>225</v>
      </c>
      <c r="E14" s="51" t="s">
        <v>224</v>
      </c>
      <c r="F14" s="51" t="s">
        <v>140</v>
      </c>
      <c r="G14" s="51" t="s">
        <v>141</v>
      </c>
      <c r="H14" s="51">
        <v>1365000221</v>
      </c>
      <c r="I14" s="51" t="s">
        <v>31</v>
      </c>
      <c r="J14" s="51">
        <v>18</v>
      </c>
      <c r="K14" s="51" t="s">
        <v>226</v>
      </c>
      <c r="L14" s="51">
        <v>1361001896</v>
      </c>
      <c r="M14" s="51" t="s">
        <v>233</v>
      </c>
      <c r="N14" s="51" t="s">
        <v>178</v>
      </c>
      <c r="O14" s="51" t="s">
        <v>179</v>
      </c>
      <c r="P14" s="51" t="s">
        <v>146</v>
      </c>
      <c r="Q14" s="51" t="s">
        <v>147</v>
      </c>
      <c r="R14" s="51" t="s">
        <v>228</v>
      </c>
      <c r="S14" s="74">
        <v>1159.94</v>
      </c>
      <c r="T14" s="74">
        <v>1235336</v>
      </c>
      <c r="U14" s="74"/>
      <c r="V14" s="74">
        <v>1235336</v>
      </c>
    </row>
    <row r="15" spans="1:22" ht="15" customHeight="1">
      <c r="A15" s="56"/>
      <c r="B15" s="56" t="s">
        <v>149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 t="s">
        <v>146</v>
      </c>
      <c r="Q15" s="56"/>
      <c r="R15" s="56"/>
      <c r="S15" s="58">
        <v>8195.77</v>
      </c>
      <c r="T15" s="58">
        <v>7969638</v>
      </c>
      <c r="U15" s="58">
        <v>80340.259999999995</v>
      </c>
      <c r="V15" s="58">
        <v>8049978.2599999998</v>
      </c>
    </row>
    <row r="16" spans="1:22" ht="15" customHeight="1">
      <c r="A16" s="51">
        <v>2</v>
      </c>
      <c r="B16" s="51" t="s">
        <v>234</v>
      </c>
      <c r="C16" s="51" t="s">
        <v>235</v>
      </c>
      <c r="D16" s="51" t="s">
        <v>225</v>
      </c>
      <c r="E16" s="51" t="s">
        <v>235</v>
      </c>
      <c r="F16" s="51" t="s">
        <v>140</v>
      </c>
      <c r="G16" s="51" t="s">
        <v>141</v>
      </c>
      <c r="H16" s="51">
        <v>1365000163</v>
      </c>
      <c r="I16" s="51" t="s">
        <v>32</v>
      </c>
      <c r="J16" s="51">
        <v>137</v>
      </c>
      <c r="K16" s="51" t="s">
        <v>226</v>
      </c>
      <c r="L16" s="51">
        <v>1361001683</v>
      </c>
      <c r="M16" s="51" t="s">
        <v>236</v>
      </c>
      <c r="N16" s="51" t="s">
        <v>178</v>
      </c>
      <c r="O16" s="51" t="s">
        <v>179</v>
      </c>
      <c r="P16" s="51" t="s">
        <v>146</v>
      </c>
      <c r="Q16" s="51" t="s">
        <v>147</v>
      </c>
      <c r="R16" s="51" t="s">
        <v>228</v>
      </c>
      <c r="S16" s="74">
        <v>22.72</v>
      </c>
      <c r="T16" s="74">
        <v>23061</v>
      </c>
      <c r="U16" s="74">
        <v>2536.71</v>
      </c>
      <c r="V16" s="74">
        <v>25597.71</v>
      </c>
    </row>
    <row r="17" spans="1:22" ht="15" customHeight="1">
      <c r="A17" s="51">
        <v>2</v>
      </c>
      <c r="B17" s="51" t="s">
        <v>234</v>
      </c>
      <c r="C17" s="51" t="s">
        <v>235</v>
      </c>
      <c r="D17" s="51" t="s">
        <v>225</v>
      </c>
      <c r="E17" s="51" t="s">
        <v>235</v>
      </c>
      <c r="F17" s="51" t="s">
        <v>140</v>
      </c>
      <c r="G17" s="51" t="s">
        <v>141</v>
      </c>
      <c r="H17" s="51">
        <v>1365000183</v>
      </c>
      <c r="I17" s="51" t="s">
        <v>33</v>
      </c>
      <c r="J17" s="51">
        <v>85</v>
      </c>
      <c r="K17" s="51" t="s">
        <v>226</v>
      </c>
      <c r="L17" s="51">
        <v>1361001797</v>
      </c>
      <c r="M17" s="51" t="s">
        <v>237</v>
      </c>
      <c r="N17" s="51" t="s">
        <v>178</v>
      </c>
      <c r="O17" s="51" t="s">
        <v>179</v>
      </c>
      <c r="P17" s="51" t="s">
        <v>146</v>
      </c>
      <c r="Q17" s="51" t="s">
        <v>147</v>
      </c>
      <c r="R17" s="51" t="s">
        <v>228</v>
      </c>
      <c r="S17" s="74">
        <v>207.55</v>
      </c>
      <c r="T17" s="74">
        <v>238683</v>
      </c>
      <c r="U17" s="74">
        <v>26255.13</v>
      </c>
      <c r="V17" s="74">
        <v>264938.13</v>
      </c>
    </row>
    <row r="18" spans="1:22" ht="15" customHeight="1">
      <c r="A18" s="51">
        <v>2</v>
      </c>
      <c r="B18" s="51" t="s">
        <v>234</v>
      </c>
      <c r="C18" s="51" t="s">
        <v>235</v>
      </c>
      <c r="D18" s="51" t="s">
        <v>225</v>
      </c>
      <c r="E18" s="51" t="s">
        <v>235</v>
      </c>
      <c r="F18" s="51" t="s">
        <v>140</v>
      </c>
      <c r="G18" s="51" t="s">
        <v>141</v>
      </c>
      <c r="H18" s="51">
        <v>9271000329</v>
      </c>
      <c r="I18" s="51" t="s">
        <v>34</v>
      </c>
      <c r="J18" s="51">
        <v>437</v>
      </c>
      <c r="K18" s="51" t="s">
        <v>226</v>
      </c>
      <c r="L18" s="51">
        <v>1361001389</v>
      </c>
      <c r="M18" s="51" t="s">
        <v>238</v>
      </c>
      <c r="N18" s="51" t="s">
        <v>178</v>
      </c>
      <c r="O18" s="51" t="s">
        <v>179</v>
      </c>
      <c r="P18" s="51" t="s">
        <v>146</v>
      </c>
      <c r="Q18" s="51" t="s">
        <v>147</v>
      </c>
      <c r="R18" s="51" t="s">
        <v>228</v>
      </c>
      <c r="S18" s="74">
        <v>1057.79</v>
      </c>
      <c r="T18" s="74">
        <v>973167</v>
      </c>
      <c r="U18" s="74"/>
      <c r="V18" s="74">
        <v>973167</v>
      </c>
    </row>
    <row r="19" spans="1:22" ht="15" customHeight="1">
      <c r="A19" s="51">
        <v>2</v>
      </c>
      <c r="B19" s="51" t="s">
        <v>234</v>
      </c>
      <c r="C19" s="51" t="s">
        <v>235</v>
      </c>
      <c r="D19" s="51" t="s">
        <v>225</v>
      </c>
      <c r="E19" s="51" t="s">
        <v>235</v>
      </c>
      <c r="F19" s="51" t="s">
        <v>140</v>
      </c>
      <c r="G19" s="51" t="s">
        <v>141</v>
      </c>
      <c r="H19" s="51">
        <v>9271000330</v>
      </c>
      <c r="I19" s="51" t="s">
        <v>34</v>
      </c>
      <c r="J19" s="51">
        <v>437</v>
      </c>
      <c r="K19" s="51" t="s">
        <v>226</v>
      </c>
      <c r="L19" s="51">
        <v>1361001389</v>
      </c>
      <c r="M19" s="51" t="s">
        <v>238</v>
      </c>
      <c r="N19" s="51" t="s">
        <v>178</v>
      </c>
      <c r="O19" s="51" t="s">
        <v>179</v>
      </c>
      <c r="P19" s="51" t="s">
        <v>146</v>
      </c>
      <c r="Q19" s="51" t="s">
        <v>147</v>
      </c>
      <c r="R19" s="51" t="s">
        <v>228</v>
      </c>
      <c r="S19" s="74">
        <v>0.1</v>
      </c>
      <c r="T19" s="74">
        <v>107048</v>
      </c>
      <c r="U19" s="74"/>
      <c r="V19" s="74">
        <v>107048</v>
      </c>
    </row>
    <row r="20" spans="1:22" ht="15" customHeight="1">
      <c r="A20" s="56"/>
      <c r="B20" s="56" t="s">
        <v>149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 t="s">
        <v>146</v>
      </c>
      <c r="Q20" s="56"/>
      <c r="R20" s="56"/>
      <c r="S20" s="58">
        <v>1288.1600000000001</v>
      </c>
      <c r="T20" s="58">
        <v>1341959</v>
      </c>
      <c r="U20" s="58">
        <v>28791.84</v>
      </c>
      <c r="V20" s="58">
        <v>1370750.84</v>
      </c>
    </row>
    <row r="21" spans="1:22" ht="15" customHeight="1">
      <c r="A21" s="51">
        <v>3</v>
      </c>
      <c r="B21" s="51" t="s">
        <v>298</v>
      </c>
      <c r="C21" s="51" t="s">
        <v>299</v>
      </c>
      <c r="D21" s="51" t="s">
        <v>225</v>
      </c>
      <c r="E21" s="51" t="s">
        <v>299</v>
      </c>
      <c r="F21" s="51" t="s">
        <v>140</v>
      </c>
      <c r="G21" s="51" t="s">
        <v>141</v>
      </c>
      <c r="H21" s="51">
        <v>1365000220</v>
      </c>
      <c r="I21" s="51" t="s">
        <v>31</v>
      </c>
      <c r="J21" s="51">
        <v>18</v>
      </c>
      <c r="K21" s="51" t="s">
        <v>226</v>
      </c>
      <c r="L21" s="51">
        <v>1361001856</v>
      </c>
      <c r="M21" s="51" t="s">
        <v>300</v>
      </c>
      <c r="N21" s="51" t="s">
        <v>178</v>
      </c>
      <c r="O21" s="51" t="s">
        <v>179</v>
      </c>
      <c r="P21" s="51" t="s">
        <v>146</v>
      </c>
      <c r="Q21" s="51" t="s">
        <v>147</v>
      </c>
      <c r="R21" s="51" t="s">
        <v>228</v>
      </c>
      <c r="S21" s="74">
        <v>317.60000000000002</v>
      </c>
      <c r="T21" s="74">
        <v>260432</v>
      </c>
      <c r="U21" s="74"/>
      <c r="V21" s="74">
        <v>260432</v>
      </c>
    </row>
    <row r="22" spans="1:22" ht="15" customHeight="1">
      <c r="A22" s="56"/>
      <c r="B22" s="56" t="s">
        <v>149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 t="s">
        <v>146</v>
      </c>
      <c r="Q22" s="56"/>
      <c r="R22" s="56"/>
      <c r="S22" s="58">
        <v>317.60000000000002</v>
      </c>
      <c r="T22" s="58">
        <v>260432</v>
      </c>
      <c r="U22" s="58"/>
      <c r="V22" s="58">
        <v>260432</v>
      </c>
    </row>
    <row r="23" spans="1:22" ht="15" customHeight="1">
      <c r="A23" s="51">
        <v>4</v>
      </c>
      <c r="B23" s="51" t="s">
        <v>322</v>
      </c>
      <c r="C23" s="51" t="s">
        <v>323</v>
      </c>
      <c r="D23" s="51" t="s">
        <v>324</v>
      </c>
      <c r="E23" s="51" t="s">
        <v>323</v>
      </c>
      <c r="F23" s="51" t="s">
        <v>140</v>
      </c>
      <c r="G23" s="51" t="s">
        <v>141</v>
      </c>
      <c r="H23" s="51">
        <v>1365000087</v>
      </c>
      <c r="I23" s="51" t="s">
        <v>68</v>
      </c>
      <c r="J23" s="51">
        <v>282</v>
      </c>
      <c r="K23" s="51" t="s">
        <v>226</v>
      </c>
      <c r="L23" s="51">
        <v>1361001604</v>
      </c>
      <c r="M23" s="51" t="s">
        <v>325</v>
      </c>
      <c r="N23" s="51" t="s">
        <v>178</v>
      </c>
      <c r="O23" s="51" t="s">
        <v>179</v>
      </c>
      <c r="P23" s="51" t="s">
        <v>146</v>
      </c>
      <c r="Q23" s="51" t="s">
        <v>147</v>
      </c>
      <c r="R23" s="51" t="s">
        <v>228</v>
      </c>
      <c r="S23" s="74">
        <v>85200</v>
      </c>
      <c r="T23" s="74">
        <v>70716000</v>
      </c>
      <c r="U23" s="74"/>
      <c r="V23" s="74">
        <v>70716000</v>
      </c>
    </row>
    <row r="24" spans="1:22" ht="15" customHeight="1">
      <c r="A24" s="56"/>
      <c r="B24" s="56" t="s">
        <v>149</v>
      </c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 t="s">
        <v>146</v>
      </c>
      <c r="Q24" s="56"/>
      <c r="R24" s="56"/>
      <c r="S24" s="58">
        <v>85200</v>
      </c>
      <c r="T24" s="58">
        <v>70716000</v>
      </c>
      <c r="U24" s="58"/>
      <c r="V24" s="58">
        <v>70716000</v>
      </c>
    </row>
    <row r="25" spans="1:22" ht="15" customHeight="1">
      <c r="A25" s="51">
        <v>5</v>
      </c>
      <c r="B25" s="51" t="s">
        <v>391</v>
      </c>
      <c r="C25" s="51" t="s">
        <v>392</v>
      </c>
      <c r="D25" s="51" t="s">
        <v>393</v>
      </c>
      <c r="E25" s="51" t="s">
        <v>392</v>
      </c>
      <c r="F25" s="51" t="s">
        <v>140</v>
      </c>
      <c r="G25" s="51" t="s">
        <v>141</v>
      </c>
      <c r="H25" s="51">
        <v>9271000184</v>
      </c>
      <c r="I25" s="51" t="s">
        <v>78</v>
      </c>
      <c r="J25" s="51">
        <v>512</v>
      </c>
      <c r="K25" s="51" t="s">
        <v>226</v>
      </c>
      <c r="L25" s="51">
        <v>1361001393</v>
      </c>
      <c r="M25" s="51" t="s">
        <v>394</v>
      </c>
      <c r="N25" s="51" t="s">
        <v>178</v>
      </c>
      <c r="O25" s="51" t="s">
        <v>179</v>
      </c>
      <c r="P25" s="51" t="s">
        <v>146</v>
      </c>
      <c r="Q25" s="51" t="s">
        <v>147</v>
      </c>
      <c r="R25" s="51" t="s">
        <v>228</v>
      </c>
      <c r="S25" s="74">
        <v>698.01</v>
      </c>
      <c r="T25" s="74">
        <v>684045</v>
      </c>
      <c r="U25" s="74"/>
      <c r="V25" s="74">
        <v>684045</v>
      </c>
    </row>
    <row r="26" spans="1:22" ht="15" customHeight="1">
      <c r="A26" s="51">
        <v>5</v>
      </c>
      <c r="B26" s="51" t="s">
        <v>391</v>
      </c>
      <c r="C26" s="51" t="s">
        <v>392</v>
      </c>
      <c r="D26" s="51" t="s">
        <v>393</v>
      </c>
      <c r="E26" s="51" t="s">
        <v>392</v>
      </c>
      <c r="F26" s="51" t="s">
        <v>140</v>
      </c>
      <c r="G26" s="51" t="s">
        <v>141</v>
      </c>
      <c r="H26" s="51">
        <v>9271000185</v>
      </c>
      <c r="I26" s="51" t="s">
        <v>78</v>
      </c>
      <c r="J26" s="51">
        <v>512</v>
      </c>
      <c r="K26" s="51" t="s">
        <v>226</v>
      </c>
      <c r="L26" s="51">
        <v>1361001393</v>
      </c>
      <c r="M26" s="51" t="s">
        <v>394</v>
      </c>
      <c r="N26" s="51" t="s">
        <v>178</v>
      </c>
      <c r="O26" s="51" t="s">
        <v>179</v>
      </c>
      <c r="P26" s="51" t="s">
        <v>146</v>
      </c>
      <c r="Q26" s="51" t="s">
        <v>147</v>
      </c>
      <c r="R26" s="51" t="s">
        <v>228</v>
      </c>
      <c r="S26" s="74">
        <v>0.1</v>
      </c>
      <c r="T26" s="74">
        <v>75245</v>
      </c>
      <c r="U26" s="74"/>
      <c r="V26" s="74">
        <v>75245</v>
      </c>
    </row>
    <row r="27" spans="1:22" ht="15" customHeight="1">
      <c r="A27" s="56"/>
      <c r="B27" s="56" t="s">
        <v>149</v>
      </c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 t="s">
        <v>146</v>
      </c>
      <c r="Q27" s="56"/>
      <c r="R27" s="56"/>
      <c r="S27" s="58">
        <v>698.11</v>
      </c>
      <c r="T27" s="58">
        <v>759290</v>
      </c>
      <c r="U27" s="58"/>
      <c r="V27" s="58">
        <v>759290</v>
      </c>
    </row>
    <row r="28" spans="1:22" ht="15" customHeight="1">
      <c r="A28" s="51">
        <v>6</v>
      </c>
      <c r="B28" s="51" t="s">
        <v>469</v>
      </c>
      <c r="C28" s="51" t="s">
        <v>470</v>
      </c>
      <c r="D28" s="51" t="s">
        <v>471</v>
      </c>
      <c r="E28" s="51" t="s">
        <v>470</v>
      </c>
      <c r="F28" s="51" t="s">
        <v>170</v>
      </c>
      <c r="G28" s="51" t="s">
        <v>141</v>
      </c>
      <c r="H28" s="51">
        <v>1005002272</v>
      </c>
      <c r="I28" s="51" t="s">
        <v>43</v>
      </c>
      <c r="J28" s="51">
        <v>38</v>
      </c>
      <c r="K28" s="51" t="s">
        <v>226</v>
      </c>
      <c r="L28" s="51">
        <v>1001023552</v>
      </c>
      <c r="M28" s="51" t="s">
        <v>473</v>
      </c>
      <c r="N28" s="51" t="s">
        <v>178</v>
      </c>
      <c r="O28" s="51" t="s">
        <v>179</v>
      </c>
      <c r="P28" s="51" t="s">
        <v>146</v>
      </c>
      <c r="Q28" s="51" t="s">
        <v>147</v>
      </c>
      <c r="R28" s="51" t="s">
        <v>148</v>
      </c>
      <c r="S28" s="74">
        <v>3997.27</v>
      </c>
      <c r="T28" s="74">
        <v>3637517</v>
      </c>
      <c r="U28" s="74"/>
      <c r="V28" s="74">
        <v>3637517</v>
      </c>
    </row>
    <row r="29" spans="1:22" ht="15" customHeight="1">
      <c r="A29" s="51">
        <v>6</v>
      </c>
      <c r="B29" s="51" t="s">
        <v>469</v>
      </c>
      <c r="C29" s="51" t="s">
        <v>470</v>
      </c>
      <c r="D29" s="51" t="s">
        <v>471</v>
      </c>
      <c r="E29" s="51" t="s">
        <v>470</v>
      </c>
      <c r="F29" s="51" t="s">
        <v>170</v>
      </c>
      <c r="G29" s="51" t="s">
        <v>141</v>
      </c>
      <c r="H29" s="51">
        <v>1005002316</v>
      </c>
      <c r="I29" s="51" t="s">
        <v>10</v>
      </c>
      <c r="J29" s="51">
        <v>31</v>
      </c>
      <c r="K29" s="51" t="s">
        <v>226</v>
      </c>
      <c r="L29" s="51">
        <v>1001023654</v>
      </c>
      <c r="M29" s="51" t="s">
        <v>474</v>
      </c>
      <c r="N29" s="51" t="s">
        <v>178</v>
      </c>
      <c r="O29" s="51" t="s">
        <v>179</v>
      </c>
      <c r="P29" s="51" t="s">
        <v>146</v>
      </c>
      <c r="Q29" s="51" t="s">
        <v>147</v>
      </c>
      <c r="R29" s="51" t="s">
        <v>148</v>
      </c>
      <c r="S29" s="74">
        <v>5860.63</v>
      </c>
      <c r="T29" s="74">
        <v>5333174</v>
      </c>
      <c r="U29" s="74"/>
      <c r="V29" s="74">
        <v>5333174</v>
      </c>
    </row>
    <row r="30" spans="1:22" ht="15" customHeight="1">
      <c r="A30" s="51">
        <v>6</v>
      </c>
      <c r="B30" s="51" t="s">
        <v>469</v>
      </c>
      <c r="C30" s="51" t="s">
        <v>470</v>
      </c>
      <c r="D30" s="51" t="s">
        <v>471</v>
      </c>
      <c r="E30" s="51" t="s">
        <v>470</v>
      </c>
      <c r="F30" s="51" t="s">
        <v>140</v>
      </c>
      <c r="G30" s="51" t="s">
        <v>141</v>
      </c>
      <c r="H30" s="51">
        <v>1365000209</v>
      </c>
      <c r="I30" s="51" t="s">
        <v>51</v>
      </c>
      <c r="J30" s="51">
        <v>43</v>
      </c>
      <c r="K30" s="51" t="s">
        <v>226</v>
      </c>
      <c r="L30" s="51">
        <v>1361001778</v>
      </c>
      <c r="M30" s="51" t="s">
        <v>476</v>
      </c>
      <c r="N30" s="51" t="s">
        <v>178</v>
      </c>
      <c r="O30" s="51" t="s">
        <v>179</v>
      </c>
      <c r="P30" s="51" t="s">
        <v>146</v>
      </c>
      <c r="Q30" s="51" t="s">
        <v>147</v>
      </c>
      <c r="R30" s="51" t="s">
        <v>228</v>
      </c>
      <c r="S30" s="74">
        <v>16447.46</v>
      </c>
      <c r="T30" s="74">
        <v>15542849</v>
      </c>
      <c r="U30" s="74"/>
      <c r="V30" s="74">
        <v>15542849</v>
      </c>
    </row>
    <row r="31" spans="1:22" ht="15" customHeight="1">
      <c r="A31" s="51">
        <v>6</v>
      </c>
      <c r="B31" s="51" t="s">
        <v>469</v>
      </c>
      <c r="C31" s="51" t="s">
        <v>470</v>
      </c>
      <c r="D31" s="51" t="s">
        <v>471</v>
      </c>
      <c r="E31" s="51" t="s">
        <v>470</v>
      </c>
      <c r="F31" s="51" t="s">
        <v>140</v>
      </c>
      <c r="G31" s="51" t="s">
        <v>141</v>
      </c>
      <c r="H31" s="51">
        <v>1365000211</v>
      </c>
      <c r="I31" s="51" t="s">
        <v>51</v>
      </c>
      <c r="J31" s="51">
        <v>43</v>
      </c>
      <c r="K31" s="51" t="s">
        <v>226</v>
      </c>
      <c r="L31" s="51">
        <v>1361001832</v>
      </c>
      <c r="M31" s="51" t="s">
        <v>477</v>
      </c>
      <c r="N31" s="51" t="s">
        <v>178</v>
      </c>
      <c r="O31" s="51" t="s">
        <v>179</v>
      </c>
      <c r="P31" s="51" t="s">
        <v>146</v>
      </c>
      <c r="Q31" s="51" t="s">
        <v>147</v>
      </c>
      <c r="R31" s="51" t="s">
        <v>228</v>
      </c>
      <c r="S31" s="74">
        <v>51295.040000000001</v>
      </c>
      <c r="T31" s="74">
        <v>57450444</v>
      </c>
      <c r="U31" s="74"/>
      <c r="V31" s="74">
        <v>57450444</v>
      </c>
    </row>
    <row r="32" spans="1:22" ht="15" customHeight="1">
      <c r="A32" s="51">
        <v>6</v>
      </c>
      <c r="B32" s="51" t="s">
        <v>469</v>
      </c>
      <c r="C32" s="51" t="s">
        <v>470</v>
      </c>
      <c r="D32" s="51" t="s">
        <v>471</v>
      </c>
      <c r="E32" s="51" t="s">
        <v>470</v>
      </c>
      <c r="F32" s="51" t="s">
        <v>140</v>
      </c>
      <c r="G32" s="51" t="s">
        <v>141</v>
      </c>
      <c r="H32" s="51">
        <v>1365000195</v>
      </c>
      <c r="I32" s="51" t="s">
        <v>8</v>
      </c>
      <c r="J32" s="51">
        <v>66</v>
      </c>
      <c r="K32" s="51" t="s">
        <v>226</v>
      </c>
      <c r="L32" s="51">
        <v>1361001861</v>
      </c>
      <c r="M32" s="51" t="s">
        <v>478</v>
      </c>
      <c r="N32" s="51" t="s">
        <v>178</v>
      </c>
      <c r="O32" s="51" t="s">
        <v>179</v>
      </c>
      <c r="P32" s="51" t="s">
        <v>146</v>
      </c>
      <c r="Q32" s="51" t="s">
        <v>147</v>
      </c>
      <c r="R32" s="51" t="s">
        <v>228</v>
      </c>
      <c r="S32" s="74">
        <v>40520.5</v>
      </c>
      <c r="T32" s="74">
        <v>48624600</v>
      </c>
      <c r="U32" s="74"/>
      <c r="V32" s="74">
        <v>48624600</v>
      </c>
    </row>
    <row r="33" spans="1:22" ht="15" customHeight="1">
      <c r="A33" s="51">
        <v>6</v>
      </c>
      <c r="B33" s="51" t="s">
        <v>469</v>
      </c>
      <c r="C33" s="51" t="s">
        <v>470</v>
      </c>
      <c r="D33" s="51" t="s">
        <v>471</v>
      </c>
      <c r="E33" s="51" t="s">
        <v>470</v>
      </c>
      <c r="F33" s="51" t="s">
        <v>140</v>
      </c>
      <c r="G33" s="51" t="s">
        <v>141</v>
      </c>
      <c r="H33" s="51">
        <v>1365000214</v>
      </c>
      <c r="I33" s="51" t="s">
        <v>43</v>
      </c>
      <c r="J33" s="51">
        <v>38</v>
      </c>
      <c r="K33" s="51" t="s">
        <v>226</v>
      </c>
      <c r="L33" s="51">
        <v>1361001892</v>
      </c>
      <c r="M33" s="51" t="s">
        <v>479</v>
      </c>
      <c r="N33" s="51" t="s">
        <v>178</v>
      </c>
      <c r="O33" s="51" t="s">
        <v>179</v>
      </c>
      <c r="P33" s="51" t="s">
        <v>146</v>
      </c>
      <c r="Q33" s="51" t="s">
        <v>147</v>
      </c>
      <c r="R33" s="51" t="s">
        <v>228</v>
      </c>
      <c r="S33" s="74">
        <v>41043.14</v>
      </c>
      <c r="T33" s="74">
        <v>48430905</v>
      </c>
      <c r="U33" s="74"/>
      <c r="V33" s="74">
        <v>48430905</v>
      </c>
    </row>
    <row r="34" spans="1:22" ht="15" customHeight="1">
      <c r="A34" s="51">
        <v>6</v>
      </c>
      <c r="B34" s="51" t="s">
        <v>469</v>
      </c>
      <c r="C34" s="51" t="s">
        <v>470</v>
      </c>
      <c r="D34" s="51" t="s">
        <v>471</v>
      </c>
      <c r="E34" s="51" t="s">
        <v>470</v>
      </c>
      <c r="F34" s="51" t="s">
        <v>140</v>
      </c>
      <c r="G34" s="51" t="s">
        <v>141</v>
      </c>
      <c r="H34" s="51">
        <v>1365000210</v>
      </c>
      <c r="I34" s="51" t="s">
        <v>51</v>
      </c>
      <c r="J34" s="51">
        <v>43</v>
      </c>
      <c r="K34" s="51" t="s">
        <v>226</v>
      </c>
      <c r="L34" s="51">
        <v>1361001920</v>
      </c>
      <c r="M34" s="51" t="s">
        <v>480</v>
      </c>
      <c r="N34" s="51" t="s">
        <v>178</v>
      </c>
      <c r="O34" s="51" t="s">
        <v>179</v>
      </c>
      <c r="P34" s="51" t="s">
        <v>146</v>
      </c>
      <c r="Q34" s="51" t="s">
        <v>147</v>
      </c>
      <c r="R34" s="51" t="s">
        <v>228</v>
      </c>
      <c r="S34" s="74">
        <v>56998.5</v>
      </c>
      <c r="T34" s="74">
        <v>67258231</v>
      </c>
      <c r="U34" s="74"/>
      <c r="V34" s="74">
        <v>67258231</v>
      </c>
    </row>
    <row r="35" spans="1:22" ht="15" customHeight="1">
      <c r="A35" s="51">
        <v>6</v>
      </c>
      <c r="B35" s="51" t="s">
        <v>469</v>
      </c>
      <c r="C35" s="51" t="s">
        <v>470</v>
      </c>
      <c r="D35" s="51" t="s">
        <v>471</v>
      </c>
      <c r="E35" s="51" t="s">
        <v>470</v>
      </c>
      <c r="F35" s="51" t="s">
        <v>170</v>
      </c>
      <c r="G35" s="51" t="s">
        <v>141</v>
      </c>
      <c r="H35" s="51">
        <v>1005002275</v>
      </c>
      <c r="I35" s="51" t="s">
        <v>43</v>
      </c>
      <c r="J35" s="51">
        <v>38</v>
      </c>
      <c r="K35" s="51" t="s">
        <v>226</v>
      </c>
      <c r="L35" s="51">
        <v>1001026073</v>
      </c>
      <c r="M35" s="51" t="s">
        <v>481</v>
      </c>
      <c r="N35" s="51" t="s">
        <v>178</v>
      </c>
      <c r="O35" s="51" t="s">
        <v>179</v>
      </c>
      <c r="P35" s="51" t="s">
        <v>146</v>
      </c>
      <c r="Q35" s="51" t="s">
        <v>147</v>
      </c>
      <c r="R35" s="51" t="s">
        <v>148</v>
      </c>
      <c r="S35" s="74">
        <v>10593.85</v>
      </c>
      <c r="T35" s="74">
        <v>11017604</v>
      </c>
      <c r="U35" s="74"/>
      <c r="V35" s="74">
        <v>11017604</v>
      </c>
    </row>
    <row r="36" spans="1:22" ht="15" customHeight="1">
      <c r="A36" s="56"/>
      <c r="B36" s="56" t="s">
        <v>149</v>
      </c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 t="s">
        <v>146</v>
      </c>
      <c r="Q36" s="56"/>
      <c r="R36" s="56"/>
      <c r="S36" s="58">
        <v>226756.39</v>
      </c>
      <c r="T36" s="58">
        <v>257295324</v>
      </c>
      <c r="U36" s="58"/>
      <c r="V36" s="58">
        <v>257295324</v>
      </c>
    </row>
    <row r="37" spans="1:22" ht="15" customHeight="1">
      <c r="A37" s="51">
        <v>8</v>
      </c>
      <c r="B37" s="51" t="s">
        <v>612</v>
      </c>
      <c r="C37" s="51" t="s">
        <v>613</v>
      </c>
      <c r="D37" s="51" t="s">
        <v>614</v>
      </c>
      <c r="E37" s="51" t="s">
        <v>613</v>
      </c>
      <c r="F37" s="51" t="s">
        <v>140</v>
      </c>
      <c r="G37" s="51" t="s">
        <v>141</v>
      </c>
      <c r="H37" s="51">
        <v>1365000123</v>
      </c>
      <c r="I37" s="51" t="s">
        <v>16</v>
      </c>
      <c r="J37" s="51">
        <v>221</v>
      </c>
      <c r="K37" s="51" t="s">
        <v>226</v>
      </c>
      <c r="L37" s="51">
        <v>1361001647</v>
      </c>
      <c r="M37" s="51" t="s">
        <v>615</v>
      </c>
      <c r="N37" s="51" t="s">
        <v>178</v>
      </c>
      <c r="O37" s="51" t="s">
        <v>179</v>
      </c>
      <c r="P37" s="51" t="s">
        <v>146</v>
      </c>
      <c r="Q37" s="51" t="s">
        <v>147</v>
      </c>
      <c r="R37" s="51" t="s">
        <v>228</v>
      </c>
      <c r="S37" s="74">
        <v>408.2</v>
      </c>
      <c r="T37" s="74">
        <v>377585</v>
      </c>
      <c r="U37" s="74"/>
      <c r="V37" s="74">
        <v>377585</v>
      </c>
    </row>
    <row r="38" spans="1:22" ht="15" customHeight="1">
      <c r="A38" s="51">
        <v>8</v>
      </c>
      <c r="B38" s="51" t="s">
        <v>612</v>
      </c>
      <c r="C38" s="51" t="s">
        <v>613</v>
      </c>
      <c r="D38" s="51" t="s">
        <v>614</v>
      </c>
      <c r="E38" s="51" t="s">
        <v>613</v>
      </c>
      <c r="F38" s="51" t="s">
        <v>140</v>
      </c>
      <c r="G38" s="51" t="s">
        <v>141</v>
      </c>
      <c r="H38" s="51">
        <v>1365000156</v>
      </c>
      <c r="I38" s="51" t="s">
        <v>23</v>
      </c>
      <c r="J38" s="51">
        <v>161</v>
      </c>
      <c r="K38" s="51" t="s">
        <v>226</v>
      </c>
      <c r="L38" s="51">
        <v>1361001769</v>
      </c>
      <c r="M38" s="51" t="s">
        <v>616</v>
      </c>
      <c r="N38" s="51" t="s">
        <v>178</v>
      </c>
      <c r="O38" s="51" t="s">
        <v>179</v>
      </c>
      <c r="P38" s="51" t="s">
        <v>146</v>
      </c>
      <c r="Q38" s="51" t="s">
        <v>147</v>
      </c>
      <c r="R38" s="51" t="s">
        <v>228</v>
      </c>
      <c r="S38" s="74">
        <v>107.52</v>
      </c>
      <c r="T38" s="74">
        <v>90317</v>
      </c>
      <c r="U38" s="74"/>
      <c r="V38" s="74">
        <v>90317</v>
      </c>
    </row>
    <row r="39" spans="1:22" ht="15" customHeight="1">
      <c r="A39" s="51">
        <v>8</v>
      </c>
      <c r="B39" s="51" t="s">
        <v>612</v>
      </c>
      <c r="C39" s="51" t="s">
        <v>613</v>
      </c>
      <c r="D39" s="51" t="s">
        <v>614</v>
      </c>
      <c r="E39" s="51" t="s">
        <v>613</v>
      </c>
      <c r="F39" s="51" t="s">
        <v>140</v>
      </c>
      <c r="G39" s="51" t="s">
        <v>141</v>
      </c>
      <c r="H39" s="51">
        <v>1365000124</v>
      </c>
      <c r="I39" s="51" t="s">
        <v>36</v>
      </c>
      <c r="J39" s="51">
        <v>220</v>
      </c>
      <c r="K39" s="51" t="s">
        <v>226</v>
      </c>
      <c r="L39" s="51">
        <v>1361001599</v>
      </c>
      <c r="M39" s="51" t="s">
        <v>617</v>
      </c>
      <c r="N39" s="51" t="s">
        <v>178</v>
      </c>
      <c r="O39" s="51" t="s">
        <v>179</v>
      </c>
      <c r="P39" s="51" t="s">
        <v>146</v>
      </c>
      <c r="Q39" s="51" t="s">
        <v>147</v>
      </c>
      <c r="R39" s="51" t="s">
        <v>228</v>
      </c>
      <c r="S39" s="74">
        <v>1361.33</v>
      </c>
      <c r="T39" s="74">
        <v>1429397</v>
      </c>
      <c r="U39" s="74"/>
      <c r="V39" s="74">
        <v>1429397</v>
      </c>
    </row>
    <row r="40" spans="1:22" ht="15" customHeight="1">
      <c r="A40" s="51">
        <v>8</v>
      </c>
      <c r="B40" s="51" t="s">
        <v>612</v>
      </c>
      <c r="C40" s="51" t="s">
        <v>613</v>
      </c>
      <c r="D40" s="51" t="s">
        <v>614</v>
      </c>
      <c r="E40" s="51" t="s">
        <v>613</v>
      </c>
      <c r="F40" s="51" t="s">
        <v>140</v>
      </c>
      <c r="G40" s="51" t="s">
        <v>141</v>
      </c>
      <c r="H40" s="51">
        <v>1365000128</v>
      </c>
      <c r="I40" s="51" t="s">
        <v>121</v>
      </c>
      <c r="J40" s="51">
        <v>207</v>
      </c>
      <c r="K40" s="51" t="s">
        <v>226</v>
      </c>
      <c r="L40" s="51">
        <v>1361001612</v>
      </c>
      <c r="M40" s="51" t="s">
        <v>618</v>
      </c>
      <c r="N40" s="51" t="s">
        <v>178</v>
      </c>
      <c r="O40" s="51" t="s">
        <v>179</v>
      </c>
      <c r="P40" s="51" t="s">
        <v>146</v>
      </c>
      <c r="Q40" s="51" t="s">
        <v>147</v>
      </c>
      <c r="R40" s="51" t="s">
        <v>228</v>
      </c>
      <c r="S40" s="74">
        <v>395.97</v>
      </c>
      <c r="T40" s="74">
        <v>415770</v>
      </c>
      <c r="U40" s="74"/>
      <c r="V40" s="74">
        <v>415770</v>
      </c>
    </row>
    <row r="41" spans="1:22" ht="15" customHeight="1">
      <c r="A41" s="51">
        <v>8</v>
      </c>
      <c r="B41" s="51" t="s">
        <v>612</v>
      </c>
      <c r="C41" s="51" t="s">
        <v>613</v>
      </c>
      <c r="D41" s="51" t="s">
        <v>614</v>
      </c>
      <c r="E41" s="51" t="s">
        <v>613</v>
      </c>
      <c r="F41" s="51" t="s">
        <v>140</v>
      </c>
      <c r="G41" s="51" t="s">
        <v>141</v>
      </c>
      <c r="H41" s="51">
        <v>1365000140</v>
      </c>
      <c r="I41" s="51" t="s">
        <v>122</v>
      </c>
      <c r="J41" s="51">
        <v>191</v>
      </c>
      <c r="K41" s="51" t="s">
        <v>226</v>
      </c>
      <c r="L41" s="51">
        <v>1361001634</v>
      </c>
      <c r="M41" s="51" t="s">
        <v>619</v>
      </c>
      <c r="N41" s="51" t="s">
        <v>178</v>
      </c>
      <c r="O41" s="51" t="s">
        <v>179</v>
      </c>
      <c r="P41" s="51" t="s">
        <v>146</v>
      </c>
      <c r="Q41" s="51" t="s">
        <v>147</v>
      </c>
      <c r="R41" s="51" t="s">
        <v>228</v>
      </c>
      <c r="S41" s="74">
        <v>760.41</v>
      </c>
      <c r="T41" s="74">
        <v>768014</v>
      </c>
      <c r="U41" s="74"/>
      <c r="V41" s="74">
        <v>768014</v>
      </c>
    </row>
    <row r="42" spans="1:22" ht="15" customHeight="1">
      <c r="A42" s="56"/>
      <c r="B42" s="56" t="s">
        <v>149</v>
      </c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 t="s">
        <v>146</v>
      </c>
      <c r="Q42" s="56"/>
      <c r="R42" s="56"/>
      <c r="S42" s="58">
        <v>3033.43</v>
      </c>
      <c r="T42" s="58">
        <v>3081083</v>
      </c>
      <c r="U42" s="58"/>
      <c r="V42" s="58">
        <v>3081083</v>
      </c>
    </row>
    <row r="43" spans="1:22" ht="15" customHeight="1">
      <c r="A43" s="59"/>
      <c r="B43" s="59" t="s">
        <v>624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 t="s">
        <v>146</v>
      </c>
      <c r="Q43" s="59"/>
      <c r="R43" s="59"/>
      <c r="S43" s="61">
        <f>S15+S20+S22+S24+S27+S36+S42</f>
        <v>325489.46000000002</v>
      </c>
      <c r="T43" s="61">
        <f t="shared" ref="T43:V43" si="0">T15+T20+T22+T24+T27+T36+T42</f>
        <v>341423726</v>
      </c>
      <c r="U43" s="61">
        <f t="shared" si="0"/>
        <v>109132.09999999999</v>
      </c>
      <c r="V43" s="61">
        <f t="shared" si="0"/>
        <v>341532858.10000002</v>
      </c>
    </row>
  </sheetData>
  <mergeCells count="23">
    <mergeCell ref="F5:F7"/>
    <mergeCell ref="A5:A7"/>
    <mergeCell ref="B5:B7"/>
    <mergeCell ref="C5:C7"/>
    <mergeCell ref="D5:D7"/>
    <mergeCell ref="E5:E7"/>
    <mergeCell ref="R5:R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S5:V5"/>
    <mergeCell ref="S6:S7"/>
    <mergeCell ref="T6:T7"/>
    <mergeCell ref="U6:U7"/>
    <mergeCell ref="V6:V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OSCLAIM-ALLREGION (PIVOT)</vt:lpstr>
      <vt:lpstr>OSCLAIM-ALLREGION</vt:lpstr>
      <vt:lpstr>REAL_1sd5Mar</vt:lpstr>
      <vt:lpstr>REAL_BTG</vt:lpstr>
      <vt:lpstr>REAL_TJP</vt:lpstr>
      <vt:lpstr>REAL_LGU</vt:lpstr>
      <vt:lpstr>REAL_TJM</vt:lpstr>
      <vt:lpstr>REAL_KRW</vt:lpstr>
      <vt:lpstr>REAL_TJB</vt:lpstr>
      <vt:lpstr>OSCLAIM-BTG</vt:lpstr>
      <vt:lpstr>OSCLAIM-TJP</vt:lpstr>
      <vt:lpstr>OSCLAIM-LGU</vt:lpstr>
      <vt:lpstr>OSCLAIM-TJM</vt:lpstr>
      <vt:lpstr>OSCLAIM-SAL</vt:lpstr>
      <vt:lpstr>OSCLAIM-KRW</vt:lpstr>
      <vt:lpstr>OSCLAIM-BKS</vt:lpstr>
      <vt:lpstr>OSCLAIM-MKE</vt:lpstr>
      <vt:lpstr>OSCLAIM-RIU</vt:lpstr>
      <vt:lpstr>OSCLAIM-KMI</vt:lpstr>
      <vt:lpstr>OSCLAIM-TJB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output</dc:title>
  <dc:creator>Nurul Fitriani</dc:creator>
  <cp:lastModifiedBy>1002032540 ohb02</cp:lastModifiedBy>
  <dcterms:created xsi:type="dcterms:W3CDTF">2026-03-06T10:00:55Z</dcterms:created>
  <dcterms:modified xsi:type="dcterms:W3CDTF">2026-04-06T07:46:30Z</dcterms:modified>
</cp:coreProperties>
</file>