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ursor\Logistic SAP\docs\"/>
    </mc:Choice>
  </mc:AlternateContent>
  <xr:revisionPtr revIDLastSave="0" documentId="13_ncr:1_{D53B0706-4DF5-4889-93B8-B26DF7BF04DE}" xr6:coauthVersionLast="47" xr6:coauthVersionMax="47" xr10:uidLastSave="{00000000-0000-0000-0000-000000000000}"/>
  <bookViews>
    <workbookView xWindow="-110" yWindow="-110" windowWidth="19420" windowHeight="11500" activeTab="1" xr2:uid="{00000000-000D-0000-FFFF-FFFF00000000}"/>
  </bookViews>
  <sheets>
    <sheet name="Summary" sheetId="1" r:id="rId1"/>
    <sheet name="Group Suggestions" sheetId="2" r:id="rId2"/>
  </sheets>
  <definedNames>
    <definedName name="_xlnm._FilterDatabase" localSheetId="1" hidden="1">'Group Suggestions'!$A$1:$W$93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3" i="2" l="1"/>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B12" i="1"/>
  <c r="B11" i="1"/>
  <c r="B10" i="1"/>
  <c r="B9" i="1"/>
  <c r="B8" i="1"/>
  <c r="B7" i="1"/>
  <c r="B6" i="1"/>
</calcChain>
</file>

<file path=xl/sharedStrings.xml><?xml version="1.0" encoding="utf-8"?>
<sst xmlns="http://schemas.openxmlformats.org/spreadsheetml/2006/main" count="1288" uniqueCount="518">
  <si>
    <t>KLIP Pre-Planned Shipment - Group Suggestions</t>
  </si>
  <si>
    <t>Source: test-klip.kpndomain.com - Unplanned contracts snapshot, generated 22 Jul 2026 (contract date range 01/01/2026 - 22/07/2026)</t>
  </si>
  <si>
    <t>Candidate set: contracts with no shipment yet, status Open, transport mode SEA/MIX, outstanding qty &gt; 0, with delivery window.</t>
  </si>
  <si>
    <t>KEY FIGURES</t>
  </si>
  <si>
    <t>Contracts analysed (rows)</t>
  </si>
  <si>
    <t>Pre-Planned groups (distinct Group IDs)</t>
  </si>
  <si>
    <t>Contracts auto-grouped (AUTO-GROUP)</t>
  </si>
  <si>
    <t>Contracts left as single-contract groups</t>
  </si>
  <si>
    <t>Contracts excluded (Blank/Trading plant)</t>
  </si>
  <si>
    <t>Total outstanding qty in scope (MT)</t>
  </si>
  <si>
    <t>Outstanding qty auto-grouped (MT)</t>
  </si>
  <si>
    <t>GROUPING LOGIC (backtested at 85.7% pairwise precision; 86% of suggested multi-contract groups fully matched real shipments)</t>
  </si>
  <si>
    <t>1. HARD KEY - contracts may share a vessel only if ALL match: Group Plant + Buyer + Incoterm + Product (100% invariants across all 187 historical shipments).</t>
  </si>
  <si>
    <t>2. AUTO-GROUP - within a hard key, group contracts with the SAME SUPPLIER whose delivery windows are identical or within 3 days of each other.</t>
  </si>
  <si>
    <t>3. CAPACITY - contract qty (MT) is packed into bins sized at the median historical vessel parcel for that Group Plant (Vessel Bin column). When the sum exceeds the bin, the cluster is split into multiple groups; Est. Vessels = CEILING(group qty / bin).</t>
  </si>
  <si>
    <t>4. CIF stays single-contract unless rule 2 matches exactly (103 of 105 historical multi-contract shipments were FOB).</t>
  </si>
  <si>
    <t>5. Tier-2 column lists other groups in the same hard key, same supplier group, window gap &lt;= 7 days - candidates for MANUAL merge review only (~60-66% precision, do not auto-apply).</t>
  </si>
  <si>
    <t>Group ID format: PP-&lt;PLANT&gt;-&lt;seq&gt;. Rows with the same Group ID = one suggested vessel shipment. Green rows = auto-grouped; gray rows = excluded plants (Blank/Trading); amber/white banding separates single-contract groups.</t>
  </si>
  <si>
    <t>NOTES / ASSUMPTIONS</t>
  </si>
  <si>
    <t>Quantities converted from KG (as stored in KLIP contracts.quantity_ordered / outstanding) to MT. Grouping uses OUTSTANDING qty, since already-fulfilled volume does not need vessel space.</t>
  </si>
  <si>
    <t>Vessel Bin (MT) = median BL quantity of past non-cancelled shipments per Group Plant (Bontang 2,700 / Tanjung Pura 3,971 / Bulking Batam 2,998 / Karawang 1,000; fallback 3,000 where history is thin). Refresh monthly from shipment history.</t>
  </si>
  <si>
    <t>Backtest basis: 416 planned/completed contracts across 165 shipments on this environment, 22 Jul 2026. See docs/PRE-PLANNED-GROUPING-SPEC.md for the full spec and SQL.</t>
  </si>
  <si>
    <t>Contracts with very small outstanding (&lt; ~100 MT, e.g. nearly-closed contracts) appear as singles; consider a minimum-qty filter before creating Pre-Planned shipments from them.</t>
  </si>
  <si>
    <t>Pre-Planned Group ID</t>
  </si>
  <si>
    <t>Group Type</t>
  </si>
  <si>
    <t>Contracts in Group</t>
  </si>
  <si>
    <t>Group Total Outstanding (MT)</t>
  </si>
  <si>
    <t>Vessel Bin (MT)</t>
  </si>
  <si>
    <t>Est. Vessels Needed</t>
  </si>
  <si>
    <t>Contract No</t>
  </si>
  <si>
    <t>Contract Ext No</t>
  </si>
  <si>
    <t>PO No</t>
  </si>
  <si>
    <t>Group Plant</t>
  </si>
  <si>
    <t>Buyer</t>
  </si>
  <si>
    <t>Incoterm</t>
  </si>
  <si>
    <t>Product</t>
  </si>
  <si>
    <t>Supplier</t>
  </si>
  <si>
    <t>Supplier Group</t>
  </si>
  <si>
    <t>LT / Spot</t>
  </si>
  <si>
    <t>Transport Mode</t>
  </si>
  <si>
    <t>Contract Qty (MT)</t>
  </si>
  <si>
    <t>Outstanding Qty (MT)</t>
  </si>
  <si>
    <t>Contract Date</t>
  </si>
  <si>
    <t>Delivery Start</t>
  </si>
  <si>
    <t>Delivery End</t>
  </si>
  <si>
    <t>Tier-2: Review Merge With</t>
  </si>
  <si>
    <t>PP-BEKASI-001</t>
  </si>
  <si>
    <t>SINGLE</t>
  </si>
  <si>
    <t>1014002954</t>
  </si>
  <si>
    <t>1112000000992</t>
  </si>
  <si>
    <t>1011002954</t>
  </si>
  <si>
    <t>Bekasi</t>
  </si>
  <si>
    <t>PRC PALM &amp; LAURIC BEKASI</t>
  </si>
  <si>
    <t>FOB</t>
  </si>
  <si>
    <t>CPO</t>
  </si>
  <si>
    <t>BERKAT SAWIT UTAMA PT.</t>
  </si>
  <si>
    <t>INTERCO</t>
  </si>
  <si>
    <t>MB</t>
  </si>
  <si>
    <t>SEA</t>
  </si>
  <si>
    <t>PP-BEKASI-002</t>
  </si>
  <si>
    <t>1014002983</t>
  </si>
  <si>
    <t>1132000000540</t>
  </si>
  <si>
    <t>1011002983</t>
  </si>
  <si>
    <t>SWADAYA INDOPALMA PT.</t>
  </si>
  <si>
    <t>PP-BLANK-001</t>
  </si>
  <si>
    <t>EXCLUDED (Blank/Trading plant)</t>
  </si>
  <si>
    <t>9054100021</t>
  </si>
  <si>
    <t>1182000000342</t>
  </si>
  <si>
    <t>9051000021</t>
  </si>
  <si>
    <t>Blank</t>
  </si>
  <si>
    <t>THIP TRADING PLANT 2</t>
  </si>
  <si>
    <t>AGRIPRIMA CIPTA PERSADA PT.</t>
  </si>
  <si>
    <t>PP-BLANK-002</t>
  </si>
  <si>
    <t>9054100019</t>
  </si>
  <si>
    <t>1182000000341</t>
  </si>
  <si>
    <t>9051000019</t>
  </si>
  <si>
    <t>PP-BLANK-003</t>
  </si>
  <si>
    <t>9174100048</t>
  </si>
  <si>
    <t>1182000000345</t>
  </si>
  <si>
    <t>9171000048</t>
  </si>
  <si>
    <t>PABRIK WKSM</t>
  </si>
  <si>
    <t>WASTE OIL (POME)</t>
  </si>
  <si>
    <t>PP-BLANK-004</t>
  </si>
  <si>
    <t>9174100049</t>
  </si>
  <si>
    <t>1182000000347</t>
  </si>
  <si>
    <t>9171000049</t>
  </si>
  <si>
    <t>PP-BLANK-005</t>
  </si>
  <si>
    <t>9234100075</t>
  </si>
  <si>
    <t>1192000000198</t>
  </si>
  <si>
    <t>9231000075</t>
  </si>
  <si>
    <t>PTW TRADING PLANT 2</t>
  </si>
  <si>
    <t>AGRINUSA PERSADA MULIA PT.</t>
  </si>
  <si>
    <t>PP-BLANK-006</t>
  </si>
  <si>
    <t>9334100045</t>
  </si>
  <si>
    <t>0529/BIN-CPO/SC-CMA/VI/26</t>
  </si>
  <si>
    <t>9330000045</t>
  </si>
  <si>
    <t>CMA TRADING PLANT 1</t>
  </si>
  <si>
    <t>BUMI INDAWA NIAGA PT</t>
  </si>
  <si>
    <t>KORINDO</t>
  </si>
  <si>
    <t>FS</t>
  </si>
  <si>
    <t>PP-BLANK-007</t>
  </si>
  <si>
    <t>9194100034</t>
  </si>
  <si>
    <t>0528/BIN-CPO/SC-APM/VI/26</t>
  </si>
  <si>
    <t>9191000034</t>
  </si>
  <si>
    <t>APM TRADING PLANT 1</t>
  </si>
  <si>
    <t>PP-BONTAN-001</t>
  </si>
  <si>
    <t>1004028171</t>
  </si>
  <si>
    <t>NJL/LCPKO/25/26/002</t>
  </si>
  <si>
    <t>1001028171</t>
  </si>
  <si>
    <t>Bontang</t>
  </si>
  <si>
    <t>EUP EDIBLE OIL BONTANG</t>
  </si>
  <si>
    <t>CIF</t>
  </si>
  <si>
    <t>CPKO</t>
  </si>
  <si>
    <t>NUNUKAN JAYA LESTARI PT.</t>
  </si>
  <si>
    <t>ANUJALES</t>
  </si>
  <si>
    <t>PP-BONTAN-002</t>
  </si>
  <si>
    <t>1004030297</t>
  </si>
  <si>
    <t>1192000000210</t>
  </si>
  <si>
    <t>1001030297</t>
  </si>
  <si>
    <t>PP-BONTAN-003, PP-BONTAN-004, PP-BONTAN-005</t>
  </si>
  <si>
    <t>PP-BONTAN-003</t>
  </si>
  <si>
    <t>1004030295</t>
  </si>
  <si>
    <t>1182000000356</t>
  </si>
  <si>
    <t>1001030295</t>
  </si>
  <si>
    <t>PP-BONTAN-002, PP-BONTAN-004, PP-BONTAN-005</t>
  </si>
  <si>
    <t>PP-BONTAN-004</t>
  </si>
  <si>
    <t>1004030474</t>
  </si>
  <si>
    <t>1192000000211</t>
  </si>
  <si>
    <t>1001030474</t>
  </si>
  <si>
    <t>PP-BONTAN-002, PP-BONTAN-003, PP-BONTAN-005, PP-BONTAN-011</t>
  </si>
  <si>
    <t>PP-BONTAN-005</t>
  </si>
  <si>
    <t>1004030473</t>
  </si>
  <si>
    <t>1182000000357</t>
  </si>
  <si>
    <t>1001030473</t>
  </si>
  <si>
    <t>PP-BONTAN-002, PP-BONTAN-003, PP-BONTAN-004, PP-BONTAN-011</t>
  </si>
  <si>
    <t>PP-BONTAN-006</t>
  </si>
  <si>
    <t>1004030265</t>
  </si>
  <si>
    <t>004/SIL-PK/PJB-EUP/VI/26</t>
  </si>
  <si>
    <t>1001030265</t>
  </si>
  <si>
    <t>PK</t>
  </si>
  <si>
    <t>SEBAKIS INTI LESTARI PT.</t>
  </si>
  <si>
    <t>HARDAYA</t>
  </si>
  <si>
    <t>TD</t>
  </si>
  <si>
    <t>PP-BONTAN-007</t>
  </si>
  <si>
    <t>1004030360</t>
  </si>
  <si>
    <t>TBA</t>
  </si>
  <si>
    <t>1001030360</t>
  </si>
  <si>
    <t>HENRISON INTI PERSADA PT.</t>
  </si>
  <si>
    <t>CAPITOL</t>
  </si>
  <si>
    <t>PP-BONTAN-008</t>
  </si>
  <si>
    <t>1004030427</t>
  </si>
  <si>
    <t>056/MJR-PJB/CPO/06-2026</t>
  </si>
  <si>
    <t>1001030427</t>
  </si>
  <si>
    <t>MERBAUJAYA INDAHRAYA PT.</t>
  </si>
  <si>
    <t>AMERBAU</t>
  </si>
  <si>
    <t>PP-BONTAN-009</t>
  </si>
  <si>
    <t>1004030944</t>
  </si>
  <si>
    <t>020/TBP-EUP/CIF-CPO/07/26</t>
  </si>
  <si>
    <t>1001030944</t>
  </si>
  <si>
    <t>TANJUNG BUYU PERKASA PLANTATION PT.</t>
  </si>
  <si>
    <t>TELADAN_P</t>
  </si>
  <si>
    <t>PP-BONTAN-010</t>
  </si>
  <si>
    <t>1004030361</t>
  </si>
  <si>
    <t>003/CPO/THL-JKT/KP/VI/2026</t>
  </si>
  <si>
    <t>1001030361</t>
  </si>
  <si>
    <t>TRIDAYA HUTAN LESTARI PT.</t>
  </si>
  <si>
    <t>ATRIHULES</t>
  </si>
  <si>
    <t>PP-BONTAN-014</t>
  </si>
  <si>
    <t>PP-BONTAN-011</t>
  </si>
  <si>
    <t>1004030968</t>
  </si>
  <si>
    <t>1172000000542</t>
  </si>
  <si>
    <t>1001030968</t>
  </si>
  <si>
    <t>WAHANA KARYA SEJAHTERA MANDIRI PT.</t>
  </si>
  <si>
    <t>PP-BONTAN-004, PP-BONTAN-005</t>
  </si>
  <si>
    <t>PP-BONTAN-012</t>
  </si>
  <si>
    <t>1004030926</t>
  </si>
  <si>
    <t>010/TBP-EUP/CIF-PK/07/26</t>
  </si>
  <si>
    <t>1001030926</t>
  </si>
  <si>
    <t>PP-BONTAN-013</t>
  </si>
  <si>
    <t>1004030461</t>
  </si>
  <si>
    <t>004/CPO/IKSJ-JKT/KP/VI/2026</t>
  </si>
  <si>
    <t>1001030461</t>
  </si>
  <si>
    <t>INTI KEBUN SEJAHTERA PT.</t>
  </si>
  <si>
    <t>CAA</t>
  </si>
  <si>
    <t>1004031047</t>
  </si>
  <si>
    <t>004/CPO/THL-JKT/KP/VII/2026</t>
  </si>
  <si>
    <t>1001031047</t>
  </si>
  <si>
    <t>PP-BONTAN-015</t>
  </si>
  <si>
    <t>1004031223</t>
  </si>
  <si>
    <t>1172000000544</t>
  </si>
  <si>
    <t>1001031223</t>
  </si>
  <si>
    <t>PP-BONTAN-020</t>
  </si>
  <si>
    <t>PP-BONTAN-016</t>
  </si>
  <si>
    <t>1004031296</t>
  </si>
  <si>
    <t>1001031296</t>
  </si>
  <si>
    <t>MAJU KALIMANTAN HADAPAN PT</t>
  </si>
  <si>
    <t>AMAKAHA</t>
  </si>
  <si>
    <t>LT</t>
  </si>
  <si>
    <t>PP-BONTAN-017</t>
  </si>
  <si>
    <t>1004031352</t>
  </si>
  <si>
    <t>1001031352</t>
  </si>
  <si>
    <t>UNGGUL WIDYA TEKNOLOGI LESTARI PT.</t>
  </si>
  <si>
    <t>AUNWITELES</t>
  </si>
  <si>
    <t>PP-BONTAN-018</t>
  </si>
  <si>
    <t>1004031065</t>
  </si>
  <si>
    <t>028/TLN-EUP/CIF-CPO/07/26</t>
  </si>
  <si>
    <t>1001031065</t>
  </si>
  <si>
    <t>TELEN PT.</t>
  </si>
  <si>
    <t>PP-BONTAN-019</t>
  </si>
  <si>
    <t>1004031036</t>
  </si>
  <si>
    <t>1001031036</t>
  </si>
  <si>
    <t>TELEN PRIMA SAWIT PT</t>
  </si>
  <si>
    <t>1004030888</t>
  </si>
  <si>
    <t>1172000000540</t>
  </si>
  <si>
    <t>1001030888</t>
  </si>
  <si>
    <t>PP-BONTAN-021</t>
  </si>
  <si>
    <t>1004031090</t>
  </si>
  <si>
    <t>007/TJIM-EUP/PK/VII/2026</t>
  </si>
  <si>
    <t>1001031090</t>
  </si>
  <si>
    <t>TIMURJAYA INDOMAKMUR PT.</t>
  </si>
  <si>
    <t>ATIMURJAYA</t>
  </si>
  <si>
    <t>PP-BONTAN-022</t>
  </si>
  <si>
    <t>1004031089</t>
  </si>
  <si>
    <t>009/TJIM-EUP/CPO/VII/2026</t>
  </si>
  <si>
    <t>1001031089</t>
  </si>
  <si>
    <t>PP-BONTAN-028</t>
  </si>
  <si>
    <t>PP-BONTAN-023</t>
  </si>
  <si>
    <t>1004031325</t>
  </si>
  <si>
    <t>1001031325</t>
  </si>
  <si>
    <t>REA KALTIM PLANTATIONS PT.</t>
  </si>
  <si>
    <t>REA</t>
  </si>
  <si>
    <t>PP-BONTAN-024</t>
  </si>
  <si>
    <t>1004030943</t>
  </si>
  <si>
    <t>004/HIP/EUP-CРO/VII/2026</t>
  </si>
  <si>
    <t>1001030943</t>
  </si>
  <si>
    <t>PP-BONTAN-025</t>
  </si>
  <si>
    <t>1004030942</t>
  </si>
  <si>
    <t>007/MHS/EUP-CPO/VII/2026</t>
  </si>
  <si>
    <t>1001030942</t>
  </si>
  <si>
    <t>MEDCOPAPUA HIJAU SELARAS PT.</t>
  </si>
  <si>
    <t>PP-BONTAN-026</t>
  </si>
  <si>
    <t>1004031291</t>
  </si>
  <si>
    <t>1182000000368</t>
  </si>
  <si>
    <t>1001031291</t>
  </si>
  <si>
    <t>PP-BONTAN-027</t>
  </si>
  <si>
    <t>1004031279</t>
  </si>
  <si>
    <t>1162000000408</t>
  </si>
  <si>
    <t>1001031279</t>
  </si>
  <si>
    <t>HARAPAN SAWIT SEJAHTERAH PT.</t>
  </si>
  <si>
    <t>PP-BONTAN-031, PP-BONTAN-032, PP-BONTAN-033</t>
  </si>
  <si>
    <t>1004031355</t>
  </si>
  <si>
    <t>1001031355</t>
  </si>
  <si>
    <t>PP-BONTAN-029</t>
  </si>
  <si>
    <t>1004031327</t>
  </si>
  <si>
    <t>1001031327</t>
  </si>
  <si>
    <t>PP-BONTAN-030</t>
  </si>
  <si>
    <t>1004031235</t>
  </si>
  <si>
    <t>1310002558</t>
  </si>
  <si>
    <t>1001031235</t>
  </si>
  <si>
    <t>DHARMA INTISAWIT NUGRAHA PT.</t>
  </si>
  <si>
    <t>DSN</t>
  </si>
  <si>
    <t>PP-BONTAN-031</t>
  </si>
  <si>
    <t>AUTO-GROUP</t>
  </si>
  <si>
    <t>1004031132</t>
  </si>
  <si>
    <t>1192000000217</t>
  </si>
  <si>
    <t>1001031132</t>
  </si>
  <si>
    <t>PP-BONTAN-027, PP-BONTAN-032, PP-BONTAN-033</t>
  </si>
  <si>
    <t>1004031288</t>
  </si>
  <si>
    <t>1192000000219</t>
  </si>
  <si>
    <t>1001031288</t>
  </si>
  <si>
    <t>PP-BONTAN-032</t>
  </si>
  <si>
    <t>1004031128</t>
  </si>
  <si>
    <t>1172000000543</t>
  </si>
  <si>
    <t>1001031128</t>
  </si>
  <si>
    <t>PP-BONTAN-027, PP-BONTAN-031, PP-BONTAN-033</t>
  </si>
  <si>
    <t>1004031286</t>
  </si>
  <si>
    <t>1172000000546</t>
  </si>
  <si>
    <t>1001031286</t>
  </si>
  <si>
    <t>PP-BONTAN-033</t>
  </si>
  <si>
    <t>1004031130</t>
  </si>
  <si>
    <t>1182000000366</t>
  </si>
  <si>
    <t>1001031130</t>
  </si>
  <si>
    <t>PP-BONTAN-027, PP-BONTAN-031, PP-BONTAN-032</t>
  </si>
  <si>
    <t>PP-BONTAN-034</t>
  </si>
  <si>
    <t>1004030838</t>
  </si>
  <si>
    <t>1192000000215</t>
  </si>
  <si>
    <t>1001030838</t>
  </si>
  <si>
    <t>PP-BONTAN-035, PP-BONTAN-036, PP-BONTAN-037</t>
  </si>
  <si>
    <t>PP-BONTAN-035</t>
  </si>
  <si>
    <t>1004030835</t>
  </si>
  <si>
    <t>1182000000361</t>
  </si>
  <si>
    <t>1001030835</t>
  </si>
  <si>
    <t>PP-BONTAN-034, PP-BONTAN-036, PP-BONTAN-037</t>
  </si>
  <si>
    <t>PP-BONTAN-036</t>
  </si>
  <si>
    <t>1004030839</t>
  </si>
  <si>
    <t>1192000000216</t>
  </si>
  <si>
    <t>1001030839</t>
  </si>
  <si>
    <t>PP-BONTAN-034, PP-BONTAN-035, PP-BONTAN-037</t>
  </si>
  <si>
    <t>PP-BONTAN-037</t>
  </si>
  <si>
    <t>1004030837</t>
  </si>
  <si>
    <t>1182000000362</t>
  </si>
  <si>
    <t>1001030837</t>
  </si>
  <si>
    <t>PP-BONTAN-034, PP-BONTAN-035, PP-BONTAN-036</t>
  </si>
  <si>
    <t>PP-BULKIN-001</t>
  </si>
  <si>
    <t>1004031251</t>
  </si>
  <si>
    <t>1052000000492</t>
  </si>
  <si>
    <t>1001031251</t>
  </si>
  <si>
    <t>Bulking Batam</t>
  </si>
  <si>
    <t>EUP EDIBLE OIL BATAM</t>
  </si>
  <si>
    <t>TH INDO PLANTATIONS PT.</t>
  </si>
  <si>
    <t>PP-BULKIN-002</t>
  </si>
  <si>
    <t>1004031106</t>
  </si>
  <si>
    <t>1112000001070</t>
  </si>
  <si>
    <t>1001031106</t>
  </si>
  <si>
    <t>1004031163</t>
  </si>
  <si>
    <t>1112000001071</t>
  </si>
  <si>
    <t>1001031163</t>
  </si>
  <si>
    <t>1004031256</t>
  </si>
  <si>
    <t>1112000001075</t>
  </si>
  <si>
    <t>1001031256</t>
  </si>
  <si>
    <t>1004031257</t>
  </si>
  <si>
    <t>1112000001076</t>
  </si>
  <si>
    <t>1001031257</t>
  </si>
  <si>
    <t>PP-BULKIN-003</t>
  </si>
  <si>
    <t>1004031069</t>
  </si>
  <si>
    <t>1001031069</t>
  </si>
  <si>
    <t>FENYEN AGRO LESTARI PT.</t>
  </si>
  <si>
    <t>FAL</t>
  </si>
  <si>
    <t>PP-BULKIN-004</t>
  </si>
  <si>
    <t>1004031206</t>
  </si>
  <si>
    <t>0702/PALMCO/CPO-L/N-IV/VII/2026</t>
  </si>
  <si>
    <t>1001031206</t>
  </si>
  <si>
    <t>PERKEBUNAN NUSANTARA IV PT.</t>
  </si>
  <si>
    <t>PTPN</t>
  </si>
  <si>
    <t>PP-BULKIN-005</t>
  </si>
  <si>
    <t>1004031332</t>
  </si>
  <si>
    <t>1001031332</t>
  </si>
  <si>
    <t>PP-BULKIN-006</t>
  </si>
  <si>
    <t>1644000239</t>
  </si>
  <si>
    <t>1052000000444</t>
  </si>
  <si>
    <t>1641000239</t>
  </si>
  <si>
    <t>Bulking Lubuk Gaung</t>
  </si>
  <si>
    <t>SPC PALM &amp; LAURIC LB.GAUNG</t>
  </si>
  <si>
    <t>1644000240</t>
  </si>
  <si>
    <t>1052000000445</t>
  </si>
  <si>
    <t>1641000240</t>
  </si>
  <si>
    <t>PP-BULKIN-007</t>
  </si>
  <si>
    <t>1004029973</t>
  </si>
  <si>
    <t>1642000000004</t>
  </si>
  <si>
    <t>1001029973</t>
  </si>
  <si>
    <t>EUP EDIBLE OIL LUBUK GAUNG</t>
  </si>
  <si>
    <t>FRC</t>
  </si>
  <si>
    <t>PRIMA MAKMUR CAKRAWALA PT.</t>
  </si>
  <si>
    <t>PP-BULKIN-008</t>
  </si>
  <si>
    <t>1604000039</t>
  </si>
  <si>
    <t>1002000006374</t>
  </si>
  <si>
    <t>1601000039</t>
  </si>
  <si>
    <t>PMC BIOENERGY LB.GAUNG</t>
  </si>
  <si>
    <t>ENERGI UNGGUL PERSADA PT.</t>
  </si>
  <si>
    <t>PP-BULKIN-009</t>
  </si>
  <si>
    <t>1004031224</t>
  </si>
  <si>
    <t>1052000000491</t>
  </si>
  <si>
    <t>1001031224</t>
  </si>
  <si>
    <t>EUP BIOMASS LUBUK GAUNG</t>
  </si>
  <si>
    <t>SHELL PALM</t>
  </si>
  <si>
    <t>PP-CISADA-001</t>
  </si>
  <si>
    <t>1584000937</t>
  </si>
  <si>
    <t>SPSIM/CPO/2606/02</t>
  </si>
  <si>
    <t>1581000937</t>
  </si>
  <si>
    <t>Cisadane</t>
  </si>
  <si>
    <t>CRC REFINERY TANGERANG</t>
  </si>
  <si>
    <t>SEPANJANG INTISURYA MULIA PT.</t>
  </si>
  <si>
    <t>ASEINTILIA</t>
  </si>
  <si>
    <t>MIX</t>
  </si>
  <si>
    <t>PP-CISADA-004</t>
  </si>
  <si>
    <t>1584000938</t>
  </si>
  <si>
    <t>SPSIM/CPO/2606/03</t>
  </si>
  <si>
    <t>1581000938</t>
  </si>
  <si>
    <t>PP-CISADA-002</t>
  </si>
  <si>
    <t>1584000942</t>
  </si>
  <si>
    <t>007/RBDPKO/KTN-CRC/VI/26</t>
  </si>
  <si>
    <t>1581000942</t>
  </si>
  <si>
    <t>RPKO</t>
  </si>
  <si>
    <t>KURNIA TUNGGAL NUGRAHA PT.</t>
  </si>
  <si>
    <t>AKUTUNU</t>
  </si>
  <si>
    <t>PP-CISADA-003</t>
  </si>
  <si>
    <t>1584000933</t>
  </si>
  <si>
    <t>AGM/VI/SSO26000360</t>
  </si>
  <si>
    <t>1581000933</t>
  </si>
  <si>
    <t>CFR</t>
  </si>
  <si>
    <t>RBDPS</t>
  </si>
  <si>
    <t>AGRO MURNI PT.</t>
  </si>
  <si>
    <t>AAGMURNI</t>
  </si>
  <si>
    <t>PP-CISADA-005</t>
  </si>
  <si>
    <t>1584000960</t>
  </si>
  <si>
    <t>SPSIM/CPO/2607/02</t>
  </si>
  <si>
    <t>1581000960</t>
  </si>
  <si>
    <t>1584000934</t>
  </si>
  <si>
    <t>AGM/VI/SSO26000364</t>
  </si>
  <si>
    <t>1581000934</t>
  </si>
  <si>
    <t>PP-CISADA-006</t>
  </si>
  <si>
    <t>1584000944</t>
  </si>
  <si>
    <t>1002000006519</t>
  </si>
  <si>
    <t>1581000944</t>
  </si>
  <si>
    <t>PP-CISADA-007</t>
  </si>
  <si>
    <t>1584000958</t>
  </si>
  <si>
    <t>010/STR/KTN-CRC/VII/26</t>
  </si>
  <si>
    <t>1581000958</t>
  </si>
  <si>
    <t>PP-CISADA-008</t>
  </si>
  <si>
    <t>1584000969</t>
  </si>
  <si>
    <t>1581000969</t>
  </si>
  <si>
    <t>PP-CISADA-009</t>
  </si>
  <si>
    <t>1584000959</t>
  </si>
  <si>
    <t>1108260008</t>
  </si>
  <si>
    <t>1581000959</t>
  </si>
  <si>
    <t>INCASI RAYA PT</t>
  </si>
  <si>
    <t>AINCARAYA</t>
  </si>
  <si>
    <t>PP-CISADA-010</t>
  </si>
  <si>
    <t>1584000951</t>
  </si>
  <si>
    <t>1581000951</t>
  </si>
  <si>
    <t>PP-EOPTJM-001</t>
  </si>
  <si>
    <t>1384002377</t>
  </si>
  <si>
    <t>2052000000003</t>
  </si>
  <si>
    <t>1381002377</t>
  </si>
  <si>
    <t>EOP Tj Morawa</t>
  </si>
  <si>
    <t>EOP GENERAL BELAWAN</t>
  </si>
  <si>
    <t>SUMBER PANGAN CEMERLANG PT.</t>
  </si>
  <si>
    <t>ASUPACE</t>
  </si>
  <si>
    <t>PP-EOPTJM-002</t>
  </si>
  <si>
    <t>1384002463</t>
  </si>
  <si>
    <t>2052000000007</t>
  </si>
  <si>
    <t>1381002463</t>
  </si>
  <si>
    <t>PFAD</t>
  </si>
  <si>
    <t>PP-EOPTJM-003</t>
  </si>
  <si>
    <t>1384002764</t>
  </si>
  <si>
    <t>002/PFAD/KTN-EOP/VI/26</t>
  </si>
  <si>
    <t>1381002764</t>
  </si>
  <si>
    <t>EOP REFINERY TJ.MORAWA</t>
  </si>
  <si>
    <t>PP-KARAWA-001</t>
  </si>
  <si>
    <t>1014003129</t>
  </si>
  <si>
    <t>1112000001058</t>
  </si>
  <si>
    <t>1011003129</t>
  </si>
  <si>
    <t>Karawang</t>
  </si>
  <si>
    <t>PRC PALM &amp; LAURIC KARAWANG</t>
  </si>
  <si>
    <t>PP-KARAWA-002</t>
  </si>
  <si>
    <t>1014003142</t>
  </si>
  <si>
    <t>053/TBJ-PRC/VII/2026</t>
  </si>
  <si>
    <t>1011003142</t>
  </si>
  <si>
    <t>TAMA BUANA JAYA PT.</t>
  </si>
  <si>
    <t>PP-KARAWA-003</t>
  </si>
  <si>
    <t>1014003149</t>
  </si>
  <si>
    <t>1112000001069</t>
  </si>
  <si>
    <t>1011003149</t>
  </si>
  <si>
    <t>PP-KARAWA-005</t>
  </si>
  <si>
    <t>PP-KARAWA-004</t>
  </si>
  <si>
    <t>1014003167</t>
  </si>
  <si>
    <t>1011003167</t>
  </si>
  <si>
    <t>1014003166</t>
  </si>
  <si>
    <t>1002000006721</t>
  </si>
  <si>
    <t>1011003166</t>
  </si>
  <si>
    <t>PP-KARAWA-006</t>
  </si>
  <si>
    <t>1014003168</t>
  </si>
  <si>
    <t>1011003168</t>
  </si>
  <si>
    <t>KARYA BAKTI AGRO SEJAHTERA PT.</t>
  </si>
  <si>
    <t>BGA</t>
  </si>
  <si>
    <t>PP-TANJUN-001</t>
  </si>
  <si>
    <t>1004028797</t>
  </si>
  <si>
    <t>1052000000454</t>
  </si>
  <si>
    <t>1001028797</t>
  </si>
  <si>
    <t>Tanjung Pura</t>
  </si>
  <si>
    <t>EUP EDIBLE OIL TJ.PURA</t>
  </si>
  <si>
    <t>PP-TANJUN-002</t>
  </si>
  <si>
    <t>1004030570</t>
  </si>
  <si>
    <t>1052000000481</t>
  </si>
  <si>
    <t>1001030570</t>
  </si>
  <si>
    <t>PP-TANJUN-003</t>
  </si>
  <si>
    <t>1004030896</t>
  </si>
  <si>
    <t>1052000000487</t>
  </si>
  <si>
    <t>1001030896</t>
  </si>
  <si>
    <t>1004031215</t>
  </si>
  <si>
    <t>1052000000490</t>
  </si>
  <si>
    <t>1001031215</t>
  </si>
  <si>
    <t>PP-TANJUN-004</t>
  </si>
  <si>
    <t>1004031197</t>
  </si>
  <si>
    <t>061/BENUSA-EUP/POME-INS/VII/2026</t>
  </si>
  <si>
    <t>1001031197</t>
  </si>
  <si>
    <t>BERLIAN NUSANTARA PERKASA PT.</t>
  </si>
  <si>
    <t>BNP</t>
  </si>
  <si>
    <t>PP-TANJUN-005</t>
  </si>
  <si>
    <t>1004031313</t>
  </si>
  <si>
    <t>0728/PALMCO/CPO-L/N-IV/VII/2026</t>
  </si>
  <si>
    <t>1001031313</t>
  </si>
  <si>
    <t>PP-TANJUN-006</t>
  </si>
  <si>
    <t>1004031226</t>
  </si>
  <si>
    <t>1710000540</t>
  </si>
  <si>
    <t>1001031226</t>
  </si>
  <si>
    <t>AGRO ANDALAN PT.</t>
  </si>
  <si>
    <t>PP-TRADIN-001</t>
  </si>
  <si>
    <t>1004029940</t>
  </si>
  <si>
    <t>122/KPBN/TRD/CPO-L/EUP/V/2026</t>
  </si>
  <si>
    <t>1001029940</t>
  </si>
  <si>
    <t>Trading</t>
  </si>
  <si>
    <t>EUP TRADING PLANT</t>
  </si>
  <si>
    <t>KHARISMA PEMASARAN BERSAMA NUSANTAR</t>
  </si>
  <si>
    <t>AKPBN</t>
  </si>
  <si>
    <t>PP-TRADIN-002</t>
  </si>
  <si>
    <t>1004029937</t>
  </si>
  <si>
    <t>0474/PALMCO/CPO-L/N-IV/V/2026</t>
  </si>
  <si>
    <t>1001029937</t>
  </si>
  <si>
    <t>PP-TRADIN-003</t>
  </si>
  <si>
    <t>1004029936</t>
  </si>
  <si>
    <t>0473/PALMCO/CPO-L/N-IV/V/2026</t>
  </si>
  <si>
    <t>1001029936</t>
  </si>
  <si>
    <t>PP-TRADIN-004</t>
  </si>
  <si>
    <t>1014003103</t>
  </si>
  <si>
    <t>1132000000551</t>
  </si>
  <si>
    <t>1011003103</t>
  </si>
  <si>
    <t>PRISCOLIN TRADING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</si>
</sst>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9" x14ac:knownFonts="1">
    <font>
      <sz val="11"/>
      <color theme="1"/>
      <name val="Calibri"/>
      <family val="2"/>
      <scheme val="minor"/>
    </font>
    <font>
      <b/>
      <sz val="9"/>
      <color rgb="FFFFFFFF"/>
      <name val="Arial"/>
    </font>
    <font>
      <sz val="9"/>
      <name val="Arial"/>
    </font>
    <font>
      <b/>
      <sz val="15"/>
      <color rgb="FF1F3864"/>
      <name val="Arial"/>
    </font>
    <font>
      <sz val="9"/>
      <color rgb="FF595959"/>
      <name val="Arial"/>
    </font>
    <font>
      <b/>
      <sz val="11"/>
      <color rgb="FF1F3864"/>
      <name val="Arial"/>
    </font>
    <font>
      <sz val="10"/>
      <color rgb="FF000000"/>
      <name val="Arial"/>
    </font>
    <font>
      <b/>
      <sz val="10"/>
      <color rgb="FF000000"/>
      <name val="Arial"/>
    </font>
    <font>
      <sz val="9"/>
      <color rgb="FF000000"/>
      <name val="Arial"/>
    </font>
  </fonts>
  <fills count="6">
    <fill>
      <patternFill patternType="none"/>
    </fill>
    <fill>
      <patternFill patternType="gray125"/>
    </fill>
    <fill>
      <patternFill patternType="solid">
        <fgColor rgb="FF1F3864"/>
      </patternFill>
    </fill>
    <fill>
      <patternFill patternType="solid">
        <fgColor rgb="FFFFF7E6"/>
      </patternFill>
    </fill>
    <fill>
      <patternFill patternType="solid">
        <fgColor rgb="FFF2F2F2"/>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3" fontId="7" fillId="0" borderId="0" xfId="0" applyNumberFormat="1" applyFont="1"/>
    <xf numFmtId="0" fontId="5" fillId="0" borderId="0" xfId="0" applyFont="1" applyAlignment="1">
      <alignment wrapText="1"/>
    </xf>
    <xf numFmtId="0" fontId="1" fillId="2" borderId="1"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center"/>
    </xf>
    <xf numFmtId="3" fontId="2" fillId="3" borderId="1" xfId="0" applyNumberFormat="1" applyFont="1" applyFill="1" applyBorder="1"/>
    <xf numFmtId="165" fontId="2" fillId="3" borderId="1" xfId="0" applyNumberFormat="1" applyFont="1" applyFill="1" applyBorder="1" applyAlignment="1">
      <alignment horizontal="center"/>
    </xf>
    <xf numFmtId="0" fontId="2" fillId="0" borderId="1" xfId="0" applyFont="1" applyBorder="1"/>
    <xf numFmtId="0" fontId="2" fillId="0" borderId="1" xfId="0" applyFont="1" applyBorder="1" applyAlignment="1">
      <alignment horizontal="center"/>
    </xf>
    <xf numFmtId="3" fontId="2" fillId="0" borderId="1" xfId="0" applyNumberFormat="1" applyFont="1" applyBorder="1"/>
    <xf numFmtId="165" fontId="2" fillId="0" borderId="1" xfId="0" applyNumberFormat="1" applyFont="1" applyBorder="1" applyAlignment="1">
      <alignment horizontal="center"/>
    </xf>
    <xf numFmtId="0" fontId="2" fillId="4" borderId="1" xfId="0" applyFont="1" applyFill="1" applyBorder="1"/>
    <xf numFmtId="0" fontId="2" fillId="4" borderId="1" xfId="0" applyFont="1" applyFill="1" applyBorder="1" applyAlignment="1">
      <alignment horizontal="center"/>
    </xf>
    <xf numFmtId="3" fontId="2" fillId="4" borderId="1" xfId="0" applyNumberFormat="1" applyFont="1" applyFill="1" applyBorder="1"/>
    <xf numFmtId="165" fontId="2" fillId="4" borderId="1" xfId="0" applyNumberFormat="1" applyFont="1" applyFill="1" applyBorder="1" applyAlignment="1">
      <alignment horizontal="center"/>
    </xf>
    <xf numFmtId="0" fontId="2" fillId="5" borderId="1" xfId="0" applyFont="1" applyFill="1" applyBorder="1"/>
    <xf numFmtId="0" fontId="2" fillId="5" borderId="1" xfId="0" applyFont="1" applyFill="1" applyBorder="1" applyAlignment="1">
      <alignment horizontal="center"/>
    </xf>
    <xf numFmtId="3" fontId="2" fillId="5" borderId="1" xfId="0" applyNumberFormat="1" applyFont="1" applyFill="1" applyBorder="1"/>
    <xf numFmtId="165" fontId="2" fillId="5" borderId="1" xfId="0" applyNumberFormat="1" applyFont="1" applyFill="1" applyBorder="1" applyAlignment="1">
      <alignment horizontal="center"/>
    </xf>
    <xf numFmtId="0" fontId="8"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showGridLines="0" workbookViewId="0"/>
  </sheetViews>
  <sheetFormatPr defaultRowHeight="14.5" x14ac:dyDescent="0.35"/>
  <cols>
    <col min="1" max="1" width="52" customWidth="1"/>
    <col min="2" max="2" width="16" customWidth="1"/>
    <col min="3" max="4" width="14" customWidth="1"/>
    <col min="5" max="5" width="30" customWidth="1"/>
  </cols>
  <sheetData>
    <row r="1" spans="1:5" ht="19" x14ac:dyDescent="0.4">
      <c r="A1" s="1" t="s">
        <v>0</v>
      </c>
    </row>
    <row r="2" spans="1:5" x14ac:dyDescent="0.35">
      <c r="A2" s="2" t="s">
        <v>1</v>
      </c>
    </row>
    <row r="3" spans="1:5" x14ac:dyDescent="0.35">
      <c r="A3" s="2" t="s">
        <v>2</v>
      </c>
    </row>
    <row r="5" spans="1:5" x14ac:dyDescent="0.35">
      <c r="A5" s="3" t="s">
        <v>3</v>
      </c>
    </row>
    <row r="6" spans="1:5" x14ac:dyDescent="0.35">
      <c r="A6" s="4" t="s">
        <v>4</v>
      </c>
      <c r="B6" s="5">
        <f>COUNTA('Group Suggestions'!G2:G93)</f>
        <v>92</v>
      </c>
    </row>
    <row r="7" spans="1:5" x14ac:dyDescent="0.35">
      <c r="A7" s="4" t="s">
        <v>5</v>
      </c>
      <c r="B7" s="5">
        <f>SUMPRODUCT(1/COUNTIF('Group Suggestions'!A2:A93,'Group Suggestions'!A2:A93))</f>
        <v>84</v>
      </c>
    </row>
    <row r="8" spans="1:5" x14ac:dyDescent="0.35">
      <c r="A8" s="4" t="s">
        <v>6</v>
      </c>
      <c r="B8" s="5">
        <f>COUNTIF('Group Suggestions'!B2:B93,"AUTO-GROUP")</f>
        <v>14</v>
      </c>
    </row>
    <row r="9" spans="1:5" x14ac:dyDescent="0.35">
      <c r="A9" s="4" t="s">
        <v>7</v>
      </c>
      <c r="B9" s="5">
        <f>COUNTIF('Group Suggestions'!B2:B93,"SINGLE")</f>
        <v>67</v>
      </c>
    </row>
    <row r="10" spans="1:5" x14ac:dyDescent="0.35">
      <c r="A10" s="4" t="s">
        <v>8</v>
      </c>
      <c r="B10" s="5">
        <f>COUNTIF('Group Suggestions'!B2:B93,"EXCLUDED*")</f>
        <v>11</v>
      </c>
    </row>
    <row r="11" spans="1:5" x14ac:dyDescent="0.35">
      <c r="A11" s="4" t="s">
        <v>9</v>
      </c>
      <c r="B11" s="5">
        <f>SUM('Group Suggestions'!S2:S93)</f>
        <v>127773.71</v>
      </c>
    </row>
    <row r="12" spans="1:5" x14ac:dyDescent="0.35">
      <c r="A12" s="4" t="s">
        <v>10</v>
      </c>
      <c r="B12" s="5">
        <f>SUMIF('Group Suggestions'!B2:B93,"AUTO-GROUP",'Group Suggestions'!S2:S93)</f>
        <v>10550</v>
      </c>
    </row>
    <row r="14" spans="1:5" ht="42.5" x14ac:dyDescent="0.35">
      <c r="A14" s="6" t="s">
        <v>11</v>
      </c>
    </row>
    <row r="15" spans="1:5" ht="26" customHeight="1" x14ac:dyDescent="0.35">
      <c r="A15" s="24" t="s">
        <v>12</v>
      </c>
      <c r="B15" s="25"/>
      <c r="C15" s="25"/>
      <c r="D15" s="25"/>
      <c r="E15" s="25"/>
    </row>
    <row r="16" spans="1:5" ht="26" customHeight="1" x14ac:dyDescent="0.35">
      <c r="A16" s="24" t="s">
        <v>13</v>
      </c>
      <c r="B16" s="25"/>
      <c r="C16" s="25"/>
      <c r="D16" s="25"/>
      <c r="E16" s="25"/>
    </row>
    <row r="17" spans="1:5" ht="26" customHeight="1" x14ac:dyDescent="0.35">
      <c r="A17" s="24" t="s">
        <v>14</v>
      </c>
      <c r="B17" s="25"/>
      <c r="C17" s="25"/>
      <c r="D17" s="25"/>
      <c r="E17" s="25"/>
    </row>
    <row r="18" spans="1:5" ht="26" customHeight="1" x14ac:dyDescent="0.35">
      <c r="A18" s="24" t="s">
        <v>15</v>
      </c>
      <c r="B18" s="25"/>
      <c r="C18" s="25"/>
      <c r="D18" s="25"/>
      <c r="E18" s="25"/>
    </row>
    <row r="19" spans="1:5" ht="26" customHeight="1" x14ac:dyDescent="0.35">
      <c r="A19" s="24" t="s">
        <v>16</v>
      </c>
      <c r="B19" s="25"/>
      <c r="C19" s="25"/>
      <c r="D19" s="25"/>
      <c r="E19" s="25"/>
    </row>
    <row r="20" spans="1:5" ht="26" customHeight="1" x14ac:dyDescent="0.35">
      <c r="A20" s="24" t="s">
        <v>17</v>
      </c>
      <c r="B20" s="25"/>
      <c r="C20" s="25"/>
      <c r="D20" s="25"/>
      <c r="E20" s="25"/>
    </row>
    <row r="22" spans="1:5" x14ac:dyDescent="0.35">
      <c r="A22" s="3" t="s">
        <v>18</v>
      </c>
    </row>
    <row r="23" spans="1:5" ht="26" customHeight="1" x14ac:dyDescent="0.35">
      <c r="A23" s="24" t="s">
        <v>19</v>
      </c>
      <c r="B23" s="25"/>
      <c r="C23" s="25"/>
      <c r="D23" s="25"/>
      <c r="E23" s="25"/>
    </row>
    <row r="24" spans="1:5" ht="26" customHeight="1" x14ac:dyDescent="0.35">
      <c r="A24" s="24" t="s">
        <v>20</v>
      </c>
      <c r="B24" s="25"/>
      <c r="C24" s="25"/>
      <c r="D24" s="25"/>
      <c r="E24" s="25"/>
    </row>
    <row r="25" spans="1:5" ht="26" customHeight="1" x14ac:dyDescent="0.35">
      <c r="A25" s="24" t="s">
        <v>21</v>
      </c>
      <c r="B25" s="25"/>
      <c r="C25" s="25"/>
      <c r="D25" s="25"/>
      <c r="E25" s="25"/>
    </row>
    <row r="26" spans="1:5" ht="26" customHeight="1" x14ac:dyDescent="0.35">
      <c r="A26" s="24" t="s">
        <v>22</v>
      </c>
      <c r="B26" s="25"/>
      <c r="C26" s="25"/>
      <c r="D26" s="25"/>
      <c r="E26" s="25"/>
    </row>
  </sheetData>
  <mergeCells count="10">
    <mergeCell ref="A20:E20"/>
    <mergeCell ref="A24:E24"/>
    <mergeCell ref="A16:E16"/>
    <mergeCell ref="A26:E26"/>
    <mergeCell ref="A15:E15"/>
    <mergeCell ref="A25:E25"/>
    <mergeCell ref="A19:E19"/>
    <mergeCell ref="A23:E23"/>
    <mergeCell ref="A17:E17"/>
    <mergeCell ref="A18:E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3"/>
  <sheetViews>
    <sheetView tabSelected="1" workbookViewId="0">
      <pane xSplit="2" ySplit="1" topLeftCell="C2" activePane="bottomRight" state="frozen"/>
      <selection pane="topRight"/>
      <selection pane="bottomLeft"/>
      <selection pane="bottomRight" activeCell="A45" sqref="A45"/>
    </sheetView>
  </sheetViews>
  <sheetFormatPr defaultRowHeight="14.5" x14ac:dyDescent="0.35"/>
  <cols>
    <col min="1" max="1" width="20" customWidth="1"/>
    <col min="2" max="2" width="25.7265625" bestFit="1" customWidth="1"/>
    <col min="3" max="3" width="10" customWidth="1"/>
    <col min="4" max="4" width="14" customWidth="1"/>
    <col min="5" max="5" width="12" customWidth="1"/>
    <col min="6" max="6" width="10" customWidth="1"/>
    <col min="7" max="7" width="13" customWidth="1"/>
    <col min="8" max="8" width="26" customWidth="1"/>
    <col min="9" max="9" width="13" customWidth="1"/>
    <col min="10" max="10" width="17" customWidth="1"/>
    <col min="11" max="11" width="27" customWidth="1"/>
    <col min="12" max="12" width="9" customWidth="1"/>
    <col min="13" max="13" width="16" customWidth="1"/>
    <col min="14" max="14" width="33" customWidth="1"/>
    <col min="15" max="15" width="13" customWidth="1"/>
    <col min="16" max="16" width="9" customWidth="1"/>
    <col min="17" max="17" width="10" customWidth="1"/>
    <col min="18" max="22" width="12" customWidth="1"/>
    <col min="23" max="23" width="34" customWidth="1"/>
  </cols>
  <sheetData>
    <row r="1" spans="1:23" ht="30" customHeight="1" x14ac:dyDescent="0.35">
      <c r="A1" s="7" t="s">
        <v>23</v>
      </c>
      <c r="B1" s="7" t="s">
        <v>24</v>
      </c>
      <c r="C1" s="7" t="s">
        <v>25</v>
      </c>
      <c r="D1" s="7" t="s">
        <v>26</v>
      </c>
      <c r="E1" s="7" t="s">
        <v>27</v>
      </c>
      <c r="F1" s="7" t="s">
        <v>28</v>
      </c>
      <c r="G1" s="7" t="s">
        <v>29</v>
      </c>
      <c r="H1" s="7" t="s">
        <v>30</v>
      </c>
      <c r="I1" s="7" t="s">
        <v>31</v>
      </c>
      <c r="J1" s="7" t="s">
        <v>32</v>
      </c>
      <c r="K1" s="7" t="s">
        <v>33</v>
      </c>
      <c r="L1" s="7" t="s">
        <v>34</v>
      </c>
      <c r="M1" s="7" t="s">
        <v>35</v>
      </c>
      <c r="N1" s="7" t="s">
        <v>36</v>
      </c>
      <c r="O1" s="7" t="s">
        <v>37</v>
      </c>
      <c r="P1" s="7" t="s">
        <v>38</v>
      </c>
      <c r="Q1" s="7" t="s">
        <v>39</v>
      </c>
      <c r="R1" s="7" t="s">
        <v>40</v>
      </c>
      <c r="S1" s="7" t="s">
        <v>41</v>
      </c>
      <c r="T1" s="7" t="s">
        <v>42</v>
      </c>
      <c r="U1" s="7" t="s">
        <v>43</v>
      </c>
      <c r="V1" s="7" t="s">
        <v>44</v>
      </c>
      <c r="W1" s="7" t="s">
        <v>45</v>
      </c>
    </row>
    <row r="2" spans="1:23" x14ac:dyDescent="0.35">
      <c r="A2" s="8" t="s">
        <v>46</v>
      </c>
      <c r="B2" s="8" t="s">
        <v>47</v>
      </c>
      <c r="C2" s="9">
        <v>1</v>
      </c>
      <c r="D2" s="10">
        <v>350</v>
      </c>
      <c r="E2" s="10">
        <v>3000</v>
      </c>
      <c r="F2" s="9">
        <f t="shared" ref="F2:F33" si="0">MAX(1,CEILING(D2/E2,1))</f>
        <v>1</v>
      </c>
      <c r="G2" s="8" t="s">
        <v>48</v>
      </c>
      <c r="H2" s="8" t="s">
        <v>49</v>
      </c>
      <c r="I2" s="8" t="s">
        <v>50</v>
      </c>
      <c r="J2" s="8" t="s">
        <v>51</v>
      </c>
      <c r="K2" s="8" t="s">
        <v>52</v>
      </c>
      <c r="L2" s="8" t="s">
        <v>53</v>
      </c>
      <c r="M2" s="8" t="s">
        <v>54</v>
      </c>
      <c r="N2" s="8" t="s">
        <v>55</v>
      </c>
      <c r="O2" s="8" t="s">
        <v>56</v>
      </c>
      <c r="P2" s="8" t="s">
        <v>57</v>
      </c>
      <c r="Q2" s="8" t="s">
        <v>58</v>
      </c>
      <c r="R2" s="10">
        <v>350</v>
      </c>
      <c r="S2" s="10">
        <v>350</v>
      </c>
      <c r="T2" s="11">
        <v>46114</v>
      </c>
      <c r="U2" s="11">
        <v>46114</v>
      </c>
      <c r="V2" s="11">
        <v>46122</v>
      </c>
      <c r="W2" s="8" t="s">
        <v>59</v>
      </c>
    </row>
    <row r="3" spans="1:23" x14ac:dyDescent="0.35">
      <c r="A3" s="12" t="s">
        <v>59</v>
      </c>
      <c r="B3" s="12" t="s">
        <v>47</v>
      </c>
      <c r="C3" s="13">
        <v>1</v>
      </c>
      <c r="D3" s="14">
        <v>300</v>
      </c>
      <c r="E3" s="14">
        <v>3000</v>
      </c>
      <c r="F3" s="13">
        <f t="shared" si="0"/>
        <v>1</v>
      </c>
      <c r="G3" s="12" t="s">
        <v>60</v>
      </c>
      <c r="H3" s="12" t="s">
        <v>61</v>
      </c>
      <c r="I3" s="12" t="s">
        <v>62</v>
      </c>
      <c r="J3" s="12" t="s">
        <v>51</v>
      </c>
      <c r="K3" s="12" t="s">
        <v>52</v>
      </c>
      <c r="L3" s="12" t="s">
        <v>53</v>
      </c>
      <c r="M3" s="12" t="s">
        <v>54</v>
      </c>
      <c r="N3" s="12" t="s">
        <v>63</v>
      </c>
      <c r="O3" s="12" t="s">
        <v>56</v>
      </c>
      <c r="P3" s="12" t="s">
        <v>57</v>
      </c>
      <c r="Q3" s="12" t="s">
        <v>58</v>
      </c>
      <c r="R3" s="14">
        <v>300</v>
      </c>
      <c r="S3" s="14">
        <v>300</v>
      </c>
      <c r="T3" s="15">
        <v>46129</v>
      </c>
      <c r="U3" s="15">
        <v>46129</v>
      </c>
      <c r="V3" s="15">
        <v>46137</v>
      </c>
      <c r="W3" s="12" t="s">
        <v>46</v>
      </c>
    </row>
    <row r="4" spans="1:23" x14ac:dyDescent="0.35">
      <c r="A4" s="16" t="s">
        <v>64</v>
      </c>
      <c r="B4" s="16" t="s">
        <v>65</v>
      </c>
      <c r="C4" s="17">
        <v>1</v>
      </c>
      <c r="D4" s="18">
        <v>700</v>
      </c>
      <c r="E4" s="18">
        <v>3000</v>
      </c>
      <c r="F4" s="17">
        <f t="shared" si="0"/>
        <v>1</v>
      </c>
      <c r="G4" s="16" t="s">
        <v>66</v>
      </c>
      <c r="H4" s="16" t="s">
        <v>67</v>
      </c>
      <c r="I4" s="16" t="s">
        <v>68</v>
      </c>
      <c r="J4" s="16" t="s">
        <v>69</v>
      </c>
      <c r="K4" s="16" t="s">
        <v>70</v>
      </c>
      <c r="L4" s="16" t="s">
        <v>53</v>
      </c>
      <c r="M4" s="16" t="s">
        <v>54</v>
      </c>
      <c r="N4" s="16" t="s">
        <v>71</v>
      </c>
      <c r="O4" s="16" t="s">
        <v>56</v>
      </c>
      <c r="P4" s="16" t="s">
        <v>57</v>
      </c>
      <c r="Q4" s="16" t="s">
        <v>58</v>
      </c>
      <c r="R4" s="18">
        <v>700</v>
      </c>
      <c r="S4" s="18">
        <v>700</v>
      </c>
      <c r="T4" s="19">
        <v>46114</v>
      </c>
      <c r="U4" s="19">
        <v>46121</v>
      </c>
      <c r="V4" s="19">
        <v>46122</v>
      </c>
      <c r="W4" s="16"/>
    </row>
    <row r="5" spans="1:23" x14ac:dyDescent="0.35">
      <c r="A5" s="16" t="s">
        <v>72</v>
      </c>
      <c r="B5" s="16" t="s">
        <v>65</v>
      </c>
      <c r="C5" s="17">
        <v>1</v>
      </c>
      <c r="D5" s="18">
        <v>1500</v>
      </c>
      <c r="E5" s="18">
        <v>3000</v>
      </c>
      <c r="F5" s="17">
        <f t="shared" si="0"/>
        <v>1</v>
      </c>
      <c r="G5" s="16" t="s">
        <v>73</v>
      </c>
      <c r="H5" s="16" t="s">
        <v>74</v>
      </c>
      <c r="I5" s="16" t="s">
        <v>75</v>
      </c>
      <c r="J5" s="16" t="s">
        <v>69</v>
      </c>
      <c r="K5" s="16" t="s">
        <v>70</v>
      </c>
      <c r="L5" s="16" t="s">
        <v>53</v>
      </c>
      <c r="M5" s="16" t="s">
        <v>54</v>
      </c>
      <c r="N5" s="16" t="s">
        <v>71</v>
      </c>
      <c r="O5" s="16" t="s">
        <v>56</v>
      </c>
      <c r="P5" s="16" t="s">
        <v>57</v>
      </c>
      <c r="Q5" s="16" t="s">
        <v>58</v>
      </c>
      <c r="R5" s="18">
        <v>1500</v>
      </c>
      <c r="S5" s="18">
        <v>1500</v>
      </c>
      <c r="T5" s="19">
        <v>46108</v>
      </c>
      <c r="U5" s="19">
        <v>46122</v>
      </c>
      <c r="V5" s="19">
        <v>46129</v>
      </c>
      <c r="W5" s="16"/>
    </row>
    <row r="6" spans="1:23" x14ac:dyDescent="0.35">
      <c r="A6" s="16" t="s">
        <v>76</v>
      </c>
      <c r="B6" s="16" t="s">
        <v>65</v>
      </c>
      <c r="C6" s="17">
        <v>1</v>
      </c>
      <c r="D6" s="18">
        <v>1000</v>
      </c>
      <c r="E6" s="18">
        <v>3000</v>
      </c>
      <c r="F6" s="17">
        <f t="shared" si="0"/>
        <v>1</v>
      </c>
      <c r="G6" s="16" t="s">
        <v>77</v>
      </c>
      <c r="H6" s="16" t="s">
        <v>78</v>
      </c>
      <c r="I6" s="16" t="s">
        <v>79</v>
      </c>
      <c r="J6" s="16" t="s">
        <v>69</v>
      </c>
      <c r="K6" s="16" t="s">
        <v>80</v>
      </c>
      <c r="L6" s="16" t="s">
        <v>53</v>
      </c>
      <c r="M6" s="16" t="s">
        <v>81</v>
      </c>
      <c r="N6" s="16" t="s">
        <v>71</v>
      </c>
      <c r="O6" s="16" t="s">
        <v>56</v>
      </c>
      <c r="P6" s="16" t="s">
        <v>57</v>
      </c>
      <c r="Q6" s="16" t="s">
        <v>58</v>
      </c>
      <c r="R6" s="18">
        <v>1000</v>
      </c>
      <c r="S6" s="18">
        <v>1000</v>
      </c>
      <c r="T6" s="19">
        <v>46129</v>
      </c>
      <c r="U6" s="19">
        <v>46132</v>
      </c>
      <c r="V6" s="19">
        <v>46142</v>
      </c>
      <c r="W6" s="16"/>
    </row>
    <row r="7" spans="1:23" x14ac:dyDescent="0.35">
      <c r="A7" s="16" t="s">
        <v>82</v>
      </c>
      <c r="B7" s="16" t="s">
        <v>65</v>
      </c>
      <c r="C7" s="17">
        <v>1</v>
      </c>
      <c r="D7" s="18">
        <v>1000</v>
      </c>
      <c r="E7" s="18">
        <v>3000</v>
      </c>
      <c r="F7" s="17">
        <f t="shared" si="0"/>
        <v>1</v>
      </c>
      <c r="G7" s="16" t="s">
        <v>83</v>
      </c>
      <c r="H7" s="16" t="s">
        <v>84</v>
      </c>
      <c r="I7" s="16" t="s">
        <v>85</v>
      </c>
      <c r="J7" s="16" t="s">
        <v>69</v>
      </c>
      <c r="K7" s="16" t="s">
        <v>80</v>
      </c>
      <c r="L7" s="16" t="s">
        <v>53</v>
      </c>
      <c r="M7" s="16" t="s">
        <v>81</v>
      </c>
      <c r="N7" s="16" t="s">
        <v>71</v>
      </c>
      <c r="O7" s="16" t="s">
        <v>56</v>
      </c>
      <c r="P7" s="16" t="s">
        <v>57</v>
      </c>
      <c r="Q7" s="16" t="s">
        <v>58</v>
      </c>
      <c r="R7" s="18">
        <v>1000</v>
      </c>
      <c r="S7" s="18">
        <v>1000</v>
      </c>
      <c r="T7" s="19">
        <v>46136</v>
      </c>
      <c r="U7" s="19">
        <v>46143</v>
      </c>
      <c r="V7" s="19">
        <v>46152</v>
      </c>
      <c r="W7" s="16"/>
    </row>
    <row r="8" spans="1:23" x14ac:dyDescent="0.35">
      <c r="A8" s="16" t="s">
        <v>86</v>
      </c>
      <c r="B8" s="16" t="s">
        <v>65</v>
      </c>
      <c r="C8" s="17">
        <v>1</v>
      </c>
      <c r="D8" s="18">
        <v>300</v>
      </c>
      <c r="E8" s="18">
        <v>3000</v>
      </c>
      <c r="F8" s="17">
        <f t="shared" si="0"/>
        <v>1</v>
      </c>
      <c r="G8" s="16" t="s">
        <v>87</v>
      </c>
      <c r="H8" s="16" t="s">
        <v>88</v>
      </c>
      <c r="I8" s="16" t="s">
        <v>89</v>
      </c>
      <c r="J8" s="16" t="s">
        <v>69</v>
      </c>
      <c r="K8" s="16" t="s">
        <v>90</v>
      </c>
      <c r="L8" s="16" t="s">
        <v>53</v>
      </c>
      <c r="M8" s="16" t="s">
        <v>54</v>
      </c>
      <c r="N8" s="16" t="s">
        <v>91</v>
      </c>
      <c r="O8" s="16" t="s">
        <v>56</v>
      </c>
      <c r="P8" s="16" t="s">
        <v>57</v>
      </c>
      <c r="Q8" s="16" t="s">
        <v>58</v>
      </c>
      <c r="R8" s="18">
        <v>300</v>
      </c>
      <c r="S8" s="18">
        <v>300</v>
      </c>
      <c r="T8" s="19">
        <v>46122</v>
      </c>
      <c r="U8" s="19">
        <v>46143</v>
      </c>
      <c r="V8" s="19">
        <v>46152</v>
      </c>
      <c r="W8" s="16"/>
    </row>
    <row r="9" spans="1:23" x14ac:dyDescent="0.35">
      <c r="A9" s="16" t="s">
        <v>92</v>
      </c>
      <c r="B9" s="16" t="s">
        <v>65</v>
      </c>
      <c r="C9" s="17">
        <v>1</v>
      </c>
      <c r="D9" s="18">
        <v>1800</v>
      </c>
      <c r="E9" s="18">
        <v>3000</v>
      </c>
      <c r="F9" s="17">
        <f t="shared" si="0"/>
        <v>1</v>
      </c>
      <c r="G9" s="16" t="s">
        <v>93</v>
      </c>
      <c r="H9" s="16" t="s">
        <v>94</v>
      </c>
      <c r="I9" s="16" t="s">
        <v>95</v>
      </c>
      <c r="J9" s="16" t="s">
        <v>69</v>
      </c>
      <c r="K9" s="16" t="s">
        <v>96</v>
      </c>
      <c r="L9" s="16" t="s">
        <v>53</v>
      </c>
      <c r="M9" s="16" t="s">
        <v>54</v>
      </c>
      <c r="N9" s="16" t="s">
        <v>97</v>
      </c>
      <c r="O9" s="16" t="s">
        <v>98</v>
      </c>
      <c r="P9" s="16" t="s">
        <v>99</v>
      </c>
      <c r="Q9" s="16" t="s">
        <v>58</v>
      </c>
      <c r="R9" s="18">
        <v>1800</v>
      </c>
      <c r="S9" s="18">
        <v>1800</v>
      </c>
      <c r="T9" s="19">
        <v>46190</v>
      </c>
      <c r="U9" s="19">
        <v>46218</v>
      </c>
      <c r="V9" s="19">
        <v>46221</v>
      </c>
      <c r="W9" s="16"/>
    </row>
    <row r="10" spans="1:23" x14ac:dyDescent="0.35">
      <c r="A10" s="16" t="s">
        <v>100</v>
      </c>
      <c r="B10" s="16" t="s">
        <v>65</v>
      </c>
      <c r="C10" s="17">
        <v>1</v>
      </c>
      <c r="D10" s="18">
        <v>3200</v>
      </c>
      <c r="E10" s="18">
        <v>3200</v>
      </c>
      <c r="F10" s="17">
        <f t="shared" si="0"/>
        <v>1</v>
      </c>
      <c r="G10" s="16" t="s">
        <v>101</v>
      </c>
      <c r="H10" s="16" t="s">
        <v>102</v>
      </c>
      <c r="I10" s="16" t="s">
        <v>103</v>
      </c>
      <c r="J10" s="16" t="s">
        <v>69</v>
      </c>
      <c r="K10" s="16" t="s">
        <v>104</v>
      </c>
      <c r="L10" s="16" t="s">
        <v>53</v>
      </c>
      <c r="M10" s="16" t="s">
        <v>54</v>
      </c>
      <c r="N10" s="16" t="s">
        <v>97</v>
      </c>
      <c r="O10" s="16" t="s">
        <v>98</v>
      </c>
      <c r="P10" s="16" t="s">
        <v>99</v>
      </c>
      <c r="Q10" s="16" t="s">
        <v>58</v>
      </c>
      <c r="R10" s="18">
        <v>3200</v>
      </c>
      <c r="S10" s="18">
        <v>3200</v>
      </c>
      <c r="T10" s="19">
        <v>46190</v>
      </c>
      <c r="U10" s="19">
        <v>46218</v>
      </c>
      <c r="V10" s="19">
        <v>46221</v>
      </c>
      <c r="W10" s="16"/>
    </row>
    <row r="11" spans="1:23" x14ac:dyDescent="0.35">
      <c r="A11" s="12" t="s">
        <v>105</v>
      </c>
      <c r="B11" s="12" t="s">
        <v>47</v>
      </c>
      <c r="C11" s="13">
        <v>1</v>
      </c>
      <c r="D11" s="14">
        <v>6</v>
      </c>
      <c r="E11" s="14">
        <v>3000</v>
      </c>
      <c r="F11" s="13">
        <f t="shared" si="0"/>
        <v>1</v>
      </c>
      <c r="G11" s="12" t="s">
        <v>106</v>
      </c>
      <c r="H11" s="12" t="s">
        <v>107</v>
      </c>
      <c r="I11" s="12" t="s">
        <v>108</v>
      </c>
      <c r="J11" s="12" t="s">
        <v>109</v>
      </c>
      <c r="K11" s="12" t="s">
        <v>110</v>
      </c>
      <c r="L11" s="12" t="s">
        <v>111</v>
      </c>
      <c r="M11" s="12" t="s">
        <v>112</v>
      </c>
      <c r="N11" s="12" t="s">
        <v>113</v>
      </c>
      <c r="O11" s="12" t="s">
        <v>114</v>
      </c>
      <c r="P11" s="12" t="s">
        <v>99</v>
      </c>
      <c r="Q11" s="12" t="s">
        <v>58</v>
      </c>
      <c r="R11" s="14">
        <v>500</v>
      </c>
      <c r="S11" s="14">
        <v>5.53</v>
      </c>
      <c r="T11" s="15">
        <v>46079</v>
      </c>
      <c r="U11" s="15">
        <v>46088</v>
      </c>
      <c r="V11" s="15">
        <v>46091</v>
      </c>
      <c r="W11" s="12"/>
    </row>
    <row r="12" spans="1:23" x14ac:dyDescent="0.35">
      <c r="A12" s="8" t="s">
        <v>115</v>
      </c>
      <c r="B12" s="8" t="s">
        <v>47</v>
      </c>
      <c r="C12" s="9">
        <v>1</v>
      </c>
      <c r="D12" s="10">
        <v>300</v>
      </c>
      <c r="E12" s="10">
        <v>3000</v>
      </c>
      <c r="F12" s="9">
        <f t="shared" si="0"/>
        <v>1</v>
      </c>
      <c r="G12" s="8" t="s">
        <v>116</v>
      </c>
      <c r="H12" s="8" t="s">
        <v>117</v>
      </c>
      <c r="I12" s="8" t="s">
        <v>118</v>
      </c>
      <c r="J12" s="8" t="s">
        <v>109</v>
      </c>
      <c r="K12" s="8" t="s">
        <v>110</v>
      </c>
      <c r="L12" s="8" t="s">
        <v>53</v>
      </c>
      <c r="M12" s="8" t="s">
        <v>54</v>
      </c>
      <c r="N12" s="8" t="s">
        <v>91</v>
      </c>
      <c r="O12" s="8" t="s">
        <v>56</v>
      </c>
      <c r="P12" s="8" t="s">
        <v>57</v>
      </c>
      <c r="Q12" s="8" t="s">
        <v>58</v>
      </c>
      <c r="R12" s="10">
        <v>300</v>
      </c>
      <c r="S12" s="10">
        <v>300</v>
      </c>
      <c r="T12" s="11">
        <v>46178</v>
      </c>
      <c r="U12" s="11">
        <v>46178</v>
      </c>
      <c r="V12" s="11">
        <v>46186</v>
      </c>
      <c r="W12" s="8" t="s">
        <v>119</v>
      </c>
    </row>
    <row r="13" spans="1:23" x14ac:dyDescent="0.35">
      <c r="A13" s="12" t="s">
        <v>120</v>
      </c>
      <c r="B13" s="12" t="s">
        <v>47</v>
      </c>
      <c r="C13" s="13">
        <v>1</v>
      </c>
      <c r="D13" s="14">
        <v>600</v>
      </c>
      <c r="E13" s="14">
        <v>3000</v>
      </c>
      <c r="F13" s="13">
        <f t="shared" si="0"/>
        <v>1</v>
      </c>
      <c r="G13" s="12" t="s">
        <v>121</v>
      </c>
      <c r="H13" s="12" t="s">
        <v>122</v>
      </c>
      <c r="I13" s="12" t="s">
        <v>123</v>
      </c>
      <c r="J13" s="12" t="s">
        <v>109</v>
      </c>
      <c r="K13" s="12" t="s">
        <v>110</v>
      </c>
      <c r="L13" s="12" t="s">
        <v>53</v>
      </c>
      <c r="M13" s="12" t="s">
        <v>54</v>
      </c>
      <c r="N13" s="12" t="s">
        <v>71</v>
      </c>
      <c r="O13" s="12" t="s">
        <v>56</v>
      </c>
      <c r="P13" s="12" t="s">
        <v>57</v>
      </c>
      <c r="Q13" s="12" t="s">
        <v>58</v>
      </c>
      <c r="R13" s="14">
        <v>600</v>
      </c>
      <c r="S13" s="14">
        <v>600</v>
      </c>
      <c r="T13" s="15">
        <v>46178</v>
      </c>
      <c r="U13" s="15">
        <v>46178</v>
      </c>
      <c r="V13" s="15">
        <v>46186</v>
      </c>
      <c r="W13" s="12" t="s">
        <v>124</v>
      </c>
    </row>
    <row r="14" spans="1:23" x14ac:dyDescent="0.35">
      <c r="A14" s="8" t="s">
        <v>125</v>
      </c>
      <c r="B14" s="8" t="s">
        <v>47</v>
      </c>
      <c r="C14" s="9">
        <v>1</v>
      </c>
      <c r="D14" s="10">
        <v>600</v>
      </c>
      <c r="E14" s="10">
        <v>3000</v>
      </c>
      <c r="F14" s="9">
        <f t="shared" si="0"/>
        <v>1</v>
      </c>
      <c r="G14" s="8" t="s">
        <v>126</v>
      </c>
      <c r="H14" s="8" t="s">
        <v>127</v>
      </c>
      <c r="I14" s="8" t="s">
        <v>128</v>
      </c>
      <c r="J14" s="8" t="s">
        <v>109</v>
      </c>
      <c r="K14" s="8" t="s">
        <v>110</v>
      </c>
      <c r="L14" s="8" t="s">
        <v>53</v>
      </c>
      <c r="M14" s="8" t="s">
        <v>54</v>
      </c>
      <c r="N14" s="8" t="s">
        <v>91</v>
      </c>
      <c r="O14" s="8" t="s">
        <v>56</v>
      </c>
      <c r="P14" s="8" t="s">
        <v>57</v>
      </c>
      <c r="Q14" s="8" t="s">
        <v>58</v>
      </c>
      <c r="R14" s="10">
        <v>600</v>
      </c>
      <c r="S14" s="10">
        <v>600</v>
      </c>
      <c r="T14" s="11">
        <v>46185</v>
      </c>
      <c r="U14" s="11">
        <v>46188</v>
      </c>
      <c r="V14" s="11">
        <v>46203</v>
      </c>
      <c r="W14" s="8" t="s">
        <v>129</v>
      </c>
    </row>
    <row r="15" spans="1:23" x14ac:dyDescent="0.35">
      <c r="A15" s="12" t="s">
        <v>130</v>
      </c>
      <c r="B15" s="12" t="s">
        <v>47</v>
      </c>
      <c r="C15" s="13">
        <v>1</v>
      </c>
      <c r="D15" s="14">
        <v>1500</v>
      </c>
      <c r="E15" s="14">
        <v>3000</v>
      </c>
      <c r="F15" s="13">
        <f t="shared" si="0"/>
        <v>1</v>
      </c>
      <c r="G15" s="12" t="s">
        <v>131</v>
      </c>
      <c r="H15" s="12" t="s">
        <v>132</v>
      </c>
      <c r="I15" s="12" t="s">
        <v>133</v>
      </c>
      <c r="J15" s="12" t="s">
        <v>109</v>
      </c>
      <c r="K15" s="12" t="s">
        <v>110</v>
      </c>
      <c r="L15" s="12" t="s">
        <v>53</v>
      </c>
      <c r="M15" s="12" t="s">
        <v>54</v>
      </c>
      <c r="N15" s="12" t="s">
        <v>71</v>
      </c>
      <c r="O15" s="12" t="s">
        <v>56</v>
      </c>
      <c r="P15" s="12" t="s">
        <v>57</v>
      </c>
      <c r="Q15" s="12" t="s">
        <v>58</v>
      </c>
      <c r="R15" s="14">
        <v>1500</v>
      </c>
      <c r="S15" s="14">
        <v>1500</v>
      </c>
      <c r="T15" s="15">
        <v>46185</v>
      </c>
      <c r="U15" s="15">
        <v>46188</v>
      </c>
      <c r="V15" s="15">
        <v>46203</v>
      </c>
      <c r="W15" s="12" t="s">
        <v>134</v>
      </c>
    </row>
    <row r="16" spans="1:23" x14ac:dyDescent="0.35">
      <c r="A16" s="8" t="s">
        <v>135</v>
      </c>
      <c r="B16" s="8" t="s">
        <v>47</v>
      </c>
      <c r="C16" s="9">
        <v>1</v>
      </c>
      <c r="D16" s="10">
        <v>700</v>
      </c>
      <c r="E16" s="10">
        <v>3000</v>
      </c>
      <c r="F16" s="9">
        <f t="shared" si="0"/>
        <v>1</v>
      </c>
      <c r="G16" s="8" t="s">
        <v>136</v>
      </c>
      <c r="H16" s="8" t="s">
        <v>137</v>
      </c>
      <c r="I16" s="8" t="s">
        <v>138</v>
      </c>
      <c r="J16" s="8" t="s">
        <v>109</v>
      </c>
      <c r="K16" s="8" t="s">
        <v>110</v>
      </c>
      <c r="L16" s="8" t="s">
        <v>53</v>
      </c>
      <c r="M16" s="8" t="s">
        <v>139</v>
      </c>
      <c r="N16" s="8" t="s">
        <v>140</v>
      </c>
      <c r="O16" s="8" t="s">
        <v>141</v>
      </c>
      <c r="P16" s="8" t="s">
        <v>142</v>
      </c>
      <c r="Q16" s="8" t="s">
        <v>58</v>
      </c>
      <c r="R16" s="10">
        <v>700</v>
      </c>
      <c r="S16" s="10">
        <v>700</v>
      </c>
      <c r="T16" s="11">
        <v>46177</v>
      </c>
      <c r="U16" s="11">
        <v>46188</v>
      </c>
      <c r="V16" s="11">
        <v>46193</v>
      </c>
      <c r="W16" s="8"/>
    </row>
    <row r="17" spans="1:23" x14ac:dyDescent="0.35">
      <c r="A17" s="12" t="s">
        <v>143</v>
      </c>
      <c r="B17" s="12" t="s">
        <v>47</v>
      </c>
      <c r="C17" s="13">
        <v>1</v>
      </c>
      <c r="D17" s="14">
        <v>700</v>
      </c>
      <c r="E17" s="14">
        <v>3000</v>
      </c>
      <c r="F17" s="13">
        <f t="shared" si="0"/>
        <v>1</v>
      </c>
      <c r="G17" s="12" t="s">
        <v>144</v>
      </c>
      <c r="H17" s="12" t="s">
        <v>145</v>
      </c>
      <c r="I17" s="12" t="s">
        <v>146</v>
      </c>
      <c r="J17" s="12" t="s">
        <v>109</v>
      </c>
      <c r="K17" s="12" t="s">
        <v>110</v>
      </c>
      <c r="L17" s="12" t="s">
        <v>111</v>
      </c>
      <c r="M17" s="12" t="s">
        <v>54</v>
      </c>
      <c r="N17" s="12" t="s">
        <v>147</v>
      </c>
      <c r="O17" s="12" t="s">
        <v>148</v>
      </c>
      <c r="P17" s="12" t="s">
        <v>99</v>
      </c>
      <c r="Q17" s="12" t="s">
        <v>58</v>
      </c>
      <c r="R17" s="14">
        <v>700</v>
      </c>
      <c r="S17" s="14">
        <v>700</v>
      </c>
      <c r="T17" s="15">
        <v>46178</v>
      </c>
      <c r="U17" s="15">
        <v>46193</v>
      </c>
      <c r="V17" s="15">
        <v>46207</v>
      </c>
      <c r="W17" s="12"/>
    </row>
    <row r="18" spans="1:23" x14ac:dyDescent="0.35">
      <c r="A18" s="8" t="s">
        <v>149</v>
      </c>
      <c r="B18" s="8" t="s">
        <v>47</v>
      </c>
      <c r="C18" s="9">
        <v>1</v>
      </c>
      <c r="D18" s="10">
        <v>93</v>
      </c>
      <c r="E18" s="10">
        <v>3000</v>
      </c>
      <c r="F18" s="9">
        <f t="shared" si="0"/>
        <v>1</v>
      </c>
      <c r="G18" s="8" t="s">
        <v>150</v>
      </c>
      <c r="H18" s="8" t="s">
        <v>151</v>
      </c>
      <c r="I18" s="8" t="s">
        <v>152</v>
      </c>
      <c r="J18" s="8" t="s">
        <v>109</v>
      </c>
      <c r="K18" s="8" t="s">
        <v>110</v>
      </c>
      <c r="L18" s="8" t="s">
        <v>111</v>
      </c>
      <c r="M18" s="8" t="s">
        <v>54</v>
      </c>
      <c r="N18" s="8" t="s">
        <v>153</v>
      </c>
      <c r="O18" s="8" t="s">
        <v>154</v>
      </c>
      <c r="P18" s="8" t="s">
        <v>99</v>
      </c>
      <c r="Q18" s="8" t="s">
        <v>58</v>
      </c>
      <c r="R18" s="10">
        <v>2300</v>
      </c>
      <c r="S18" s="10">
        <v>93.47</v>
      </c>
      <c r="T18" s="11">
        <v>46178</v>
      </c>
      <c r="U18" s="11">
        <v>46193</v>
      </c>
      <c r="V18" s="11">
        <v>46198</v>
      </c>
      <c r="W18" s="8"/>
    </row>
    <row r="19" spans="1:23" x14ac:dyDescent="0.35">
      <c r="A19" s="12" t="s">
        <v>155</v>
      </c>
      <c r="B19" s="12" t="s">
        <v>47</v>
      </c>
      <c r="C19" s="13">
        <v>1</v>
      </c>
      <c r="D19" s="14">
        <v>3000</v>
      </c>
      <c r="E19" s="14">
        <v>3000</v>
      </c>
      <c r="F19" s="13">
        <f t="shared" si="0"/>
        <v>1</v>
      </c>
      <c r="G19" s="12" t="s">
        <v>156</v>
      </c>
      <c r="H19" s="12" t="s">
        <v>157</v>
      </c>
      <c r="I19" s="12" t="s">
        <v>158</v>
      </c>
      <c r="J19" s="12" t="s">
        <v>109</v>
      </c>
      <c r="K19" s="12" t="s">
        <v>110</v>
      </c>
      <c r="L19" s="12" t="s">
        <v>111</v>
      </c>
      <c r="M19" s="12" t="s">
        <v>54</v>
      </c>
      <c r="N19" s="12" t="s">
        <v>159</v>
      </c>
      <c r="O19" s="12" t="s">
        <v>160</v>
      </c>
      <c r="P19" s="12" t="s">
        <v>99</v>
      </c>
      <c r="Q19" s="12" t="s">
        <v>58</v>
      </c>
      <c r="R19" s="14">
        <v>3000</v>
      </c>
      <c r="S19" s="14">
        <v>3000</v>
      </c>
      <c r="T19" s="15">
        <v>46205</v>
      </c>
      <c r="U19" s="15">
        <v>46208</v>
      </c>
      <c r="V19" s="15">
        <v>46213</v>
      </c>
      <c r="W19" s="12"/>
    </row>
    <row r="20" spans="1:23" x14ac:dyDescent="0.35">
      <c r="A20" s="8" t="s">
        <v>161</v>
      </c>
      <c r="B20" s="8" t="s">
        <v>47</v>
      </c>
      <c r="C20" s="9">
        <v>1</v>
      </c>
      <c r="D20" s="10">
        <v>2000</v>
      </c>
      <c r="E20" s="10">
        <v>3000</v>
      </c>
      <c r="F20" s="9">
        <f t="shared" si="0"/>
        <v>1</v>
      </c>
      <c r="G20" s="8" t="s">
        <v>162</v>
      </c>
      <c r="H20" s="8" t="s">
        <v>163</v>
      </c>
      <c r="I20" s="8" t="s">
        <v>164</v>
      </c>
      <c r="J20" s="8" t="s">
        <v>109</v>
      </c>
      <c r="K20" s="8" t="s">
        <v>110</v>
      </c>
      <c r="L20" s="8" t="s">
        <v>111</v>
      </c>
      <c r="M20" s="8" t="s">
        <v>54</v>
      </c>
      <c r="N20" s="8" t="s">
        <v>165</v>
      </c>
      <c r="O20" s="8" t="s">
        <v>166</v>
      </c>
      <c r="P20" s="8" t="s">
        <v>99</v>
      </c>
      <c r="Q20" s="8" t="s">
        <v>58</v>
      </c>
      <c r="R20" s="10">
        <v>2000</v>
      </c>
      <c r="S20" s="10">
        <v>2000</v>
      </c>
      <c r="T20" s="11">
        <v>46178</v>
      </c>
      <c r="U20" s="11">
        <v>46208</v>
      </c>
      <c r="V20" s="11">
        <v>46211</v>
      </c>
      <c r="W20" s="8" t="s">
        <v>167</v>
      </c>
    </row>
    <row r="21" spans="1:23" x14ac:dyDescent="0.35">
      <c r="A21" s="12" t="s">
        <v>168</v>
      </c>
      <c r="B21" s="12" t="s">
        <v>47</v>
      </c>
      <c r="C21" s="13">
        <v>1</v>
      </c>
      <c r="D21" s="14">
        <v>300</v>
      </c>
      <c r="E21" s="14">
        <v>3000</v>
      </c>
      <c r="F21" s="13">
        <f t="shared" si="0"/>
        <v>1</v>
      </c>
      <c r="G21" s="12" t="s">
        <v>169</v>
      </c>
      <c r="H21" s="12" t="s">
        <v>170</v>
      </c>
      <c r="I21" s="12" t="s">
        <v>171</v>
      </c>
      <c r="J21" s="12" t="s">
        <v>109</v>
      </c>
      <c r="K21" s="12" t="s">
        <v>110</v>
      </c>
      <c r="L21" s="12" t="s">
        <v>53</v>
      </c>
      <c r="M21" s="12" t="s">
        <v>54</v>
      </c>
      <c r="N21" s="12" t="s">
        <v>172</v>
      </c>
      <c r="O21" s="12" t="s">
        <v>56</v>
      </c>
      <c r="P21" s="12" t="s">
        <v>57</v>
      </c>
      <c r="Q21" s="12" t="s">
        <v>58</v>
      </c>
      <c r="R21" s="14">
        <v>300</v>
      </c>
      <c r="S21" s="14">
        <v>300</v>
      </c>
      <c r="T21" s="15">
        <v>46206</v>
      </c>
      <c r="U21" s="15">
        <v>46208</v>
      </c>
      <c r="V21" s="15">
        <v>46218</v>
      </c>
      <c r="W21" s="12" t="s">
        <v>173</v>
      </c>
    </row>
    <row r="22" spans="1:23" x14ac:dyDescent="0.35">
      <c r="A22" s="8" t="s">
        <v>174</v>
      </c>
      <c r="B22" s="8" t="s">
        <v>47</v>
      </c>
      <c r="C22" s="9">
        <v>1</v>
      </c>
      <c r="D22" s="10">
        <v>1300</v>
      </c>
      <c r="E22" s="10">
        <v>3000</v>
      </c>
      <c r="F22" s="9">
        <f t="shared" si="0"/>
        <v>1</v>
      </c>
      <c r="G22" s="8" t="s">
        <v>175</v>
      </c>
      <c r="H22" s="8" t="s">
        <v>176</v>
      </c>
      <c r="I22" s="8" t="s">
        <v>177</v>
      </c>
      <c r="J22" s="8" t="s">
        <v>109</v>
      </c>
      <c r="K22" s="8" t="s">
        <v>110</v>
      </c>
      <c r="L22" s="8" t="s">
        <v>111</v>
      </c>
      <c r="M22" s="8" t="s">
        <v>139</v>
      </c>
      <c r="N22" s="8" t="s">
        <v>159</v>
      </c>
      <c r="O22" s="8" t="s">
        <v>160</v>
      </c>
      <c r="P22" s="8" t="s">
        <v>99</v>
      </c>
      <c r="Q22" s="8" t="s">
        <v>58</v>
      </c>
      <c r="R22" s="10">
        <v>1300</v>
      </c>
      <c r="S22" s="10">
        <v>1300</v>
      </c>
      <c r="T22" s="11">
        <v>46204</v>
      </c>
      <c r="U22" s="11">
        <v>46208</v>
      </c>
      <c r="V22" s="11">
        <v>46213</v>
      </c>
      <c r="W22" s="8"/>
    </row>
    <row r="23" spans="1:23" x14ac:dyDescent="0.35">
      <c r="A23" s="12" t="s">
        <v>178</v>
      </c>
      <c r="B23" s="12" t="s">
        <v>47</v>
      </c>
      <c r="C23" s="13">
        <v>1</v>
      </c>
      <c r="D23" s="14">
        <v>2000</v>
      </c>
      <c r="E23" s="14">
        <v>3000</v>
      </c>
      <c r="F23" s="13">
        <f t="shared" si="0"/>
        <v>1</v>
      </c>
      <c r="G23" s="12" t="s">
        <v>179</v>
      </c>
      <c r="H23" s="12" t="s">
        <v>180</v>
      </c>
      <c r="I23" s="12" t="s">
        <v>181</v>
      </c>
      <c r="J23" s="12" t="s">
        <v>109</v>
      </c>
      <c r="K23" s="12" t="s">
        <v>110</v>
      </c>
      <c r="L23" s="12" t="s">
        <v>111</v>
      </c>
      <c r="M23" s="12" t="s">
        <v>54</v>
      </c>
      <c r="N23" s="12" t="s">
        <v>182</v>
      </c>
      <c r="O23" s="12" t="s">
        <v>183</v>
      </c>
      <c r="P23" s="12" t="s">
        <v>99</v>
      </c>
      <c r="Q23" s="12" t="s">
        <v>58</v>
      </c>
      <c r="R23" s="14">
        <v>2000</v>
      </c>
      <c r="S23" s="14">
        <v>2000</v>
      </c>
      <c r="T23" s="15">
        <v>46184</v>
      </c>
      <c r="U23" s="15">
        <v>46209</v>
      </c>
      <c r="V23" s="15">
        <v>46215</v>
      </c>
      <c r="W23" s="12"/>
    </row>
    <row r="24" spans="1:23" x14ac:dyDescent="0.35">
      <c r="A24" s="8" t="s">
        <v>167</v>
      </c>
      <c r="B24" s="8" t="s">
        <v>47</v>
      </c>
      <c r="C24" s="9">
        <v>1</v>
      </c>
      <c r="D24" s="10">
        <v>1300</v>
      </c>
      <c r="E24" s="10">
        <v>3000</v>
      </c>
      <c r="F24" s="9">
        <f t="shared" si="0"/>
        <v>1</v>
      </c>
      <c r="G24" s="8" t="s">
        <v>184</v>
      </c>
      <c r="H24" s="8" t="s">
        <v>185</v>
      </c>
      <c r="I24" s="8" t="s">
        <v>186</v>
      </c>
      <c r="J24" s="8" t="s">
        <v>109</v>
      </c>
      <c r="K24" s="8" t="s">
        <v>110</v>
      </c>
      <c r="L24" s="8" t="s">
        <v>111</v>
      </c>
      <c r="M24" s="8" t="s">
        <v>54</v>
      </c>
      <c r="N24" s="8" t="s">
        <v>165</v>
      </c>
      <c r="O24" s="8" t="s">
        <v>166</v>
      </c>
      <c r="P24" s="8" t="s">
        <v>99</v>
      </c>
      <c r="Q24" s="8" t="s">
        <v>58</v>
      </c>
      <c r="R24" s="10">
        <v>1300</v>
      </c>
      <c r="S24" s="10">
        <v>1300</v>
      </c>
      <c r="T24" s="11">
        <v>46210</v>
      </c>
      <c r="U24" s="11">
        <v>46218</v>
      </c>
      <c r="V24" s="11">
        <v>46220</v>
      </c>
      <c r="W24" s="8" t="s">
        <v>161</v>
      </c>
    </row>
    <row r="25" spans="1:23" x14ac:dyDescent="0.35">
      <c r="A25" s="12" t="s">
        <v>187</v>
      </c>
      <c r="B25" s="12" t="s">
        <v>47</v>
      </c>
      <c r="C25" s="13">
        <v>1</v>
      </c>
      <c r="D25" s="14">
        <v>250</v>
      </c>
      <c r="E25" s="14">
        <v>3000</v>
      </c>
      <c r="F25" s="13">
        <f t="shared" si="0"/>
        <v>1</v>
      </c>
      <c r="G25" s="12" t="s">
        <v>188</v>
      </c>
      <c r="H25" s="12" t="s">
        <v>189</v>
      </c>
      <c r="I25" s="12" t="s">
        <v>190</v>
      </c>
      <c r="J25" s="12" t="s">
        <v>109</v>
      </c>
      <c r="K25" s="12" t="s">
        <v>110</v>
      </c>
      <c r="L25" s="12" t="s">
        <v>53</v>
      </c>
      <c r="M25" s="12" t="s">
        <v>139</v>
      </c>
      <c r="N25" s="12" t="s">
        <v>172</v>
      </c>
      <c r="O25" s="12" t="s">
        <v>56</v>
      </c>
      <c r="P25" s="12" t="s">
        <v>57</v>
      </c>
      <c r="Q25" s="12" t="s">
        <v>58</v>
      </c>
      <c r="R25" s="14">
        <v>250</v>
      </c>
      <c r="S25" s="14">
        <v>250</v>
      </c>
      <c r="T25" s="15">
        <v>46218</v>
      </c>
      <c r="U25" s="15">
        <v>46218</v>
      </c>
      <c r="V25" s="15">
        <v>46225</v>
      </c>
      <c r="W25" s="12" t="s">
        <v>191</v>
      </c>
    </row>
    <row r="26" spans="1:23" x14ac:dyDescent="0.35">
      <c r="A26" s="8" t="s">
        <v>192</v>
      </c>
      <c r="B26" s="8" t="s">
        <v>47</v>
      </c>
      <c r="C26" s="9">
        <v>1</v>
      </c>
      <c r="D26" s="10">
        <v>1000</v>
      </c>
      <c r="E26" s="10">
        <v>3000</v>
      </c>
      <c r="F26" s="9">
        <f t="shared" si="0"/>
        <v>1</v>
      </c>
      <c r="G26" s="8" t="s">
        <v>193</v>
      </c>
      <c r="H26" s="8" t="s">
        <v>145</v>
      </c>
      <c r="I26" s="8" t="s">
        <v>194</v>
      </c>
      <c r="J26" s="8" t="s">
        <v>109</v>
      </c>
      <c r="K26" s="8" t="s">
        <v>110</v>
      </c>
      <c r="L26" s="8" t="s">
        <v>53</v>
      </c>
      <c r="M26" s="8" t="s">
        <v>54</v>
      </c>
      <c r="N26" s="8" t="s">
        <v>195</v>
      </c>
      <c r="O26" s="8" t="s">
        <v>196</v>
      </c>
      <c r="P26" s="8" t="s">
        <v>197</v>
      </c>
      <c r="Q26" s="8" t="s">
        <v>58</v>
      </c>
      <c r="R26" s="10">
        <v>1000</v>
      </c>
      <c r="S26" s="10">
        <v>1000</v>
      </c>
      <c r="T26" s="11">
        <v>46220</v>
      </c>
      <c r="U26" s="11">
        <v>46220</v>
      </c>
      <c r="V26" s="11">
        <v>46233</v>
      </c>
      <c r="W26" s="8"/>
    </row>
    <row r="27" spans="1:23" x14ac:dyDescent="0.35">
      <c r="A27" s="12" t="s">
        <v>198</v>
      </c>
      <c r="B27" s="12" t="s">
        <v>47</v>
      </c>
      <c r="C27" s="13">
        <v>1</v>
      </c>
      <c r="D27" s="14">
        <v>300</v>
      </c>
      <c r="E27" s="14">
        <v>3000</v>
      </c>
      <c r="F27" s="13">
        <f t="shared" si="0"/>
        <v>1</v>
      </c>
      <c r="G27" s="12" t="s">
        <v>199</v>
      </c>
      <c r="H27" s="12" t="s">
        <v>145</v>
      </c>
      <c r="I27" s="12" t="s">
        <v>200</v>
      </c>
      <c r="J27" s="12" t="s">
        <v>109</v>
      </c>
      <c r="K27" s="12" t="s">
        <v>110</v>
      </c>
      <c r="L27" s="12" t="s">
        <v>53</v>
      </c>
      <c r="M27" s="12" t="s">
        <v>54</v>
      </c>
      <c r="N27" s="12" t="s">
        <v>201</v>
      </c>
      <c r="O27" s="12" t="s">
        <v>202</v>
      </c>
      <c r="P27" s="12" t="s">
        <v>197</v>
      </c>
      <c r="Q27" s="12" t="s">
        <v>58</v>
      </c>
      <c r="R27" s="14">
        <v>300</v>
      </c>
      <c r="S27" s="14">
        <v>300</v>
      </c>
      <c r="T27" s="15">
        <v>46224</v>
      </c>
      <c r="U27" s="15">
        <v>46226</v>
      </c>
      <c r="V27" s="15">
        <v>46228</v>
      </c>
      <c r="W27" s="12"/>
    </row>
    <row r="28" spans="1:23" x14ac:dyDescent="0.35">
      <c r="A28" s="8" t="s">
        <v>203</v>
      </c>
      <c r="B28" s="8" t="s">
        <v>47</v>
      </c>
      <c r="C28" s="9">
        <v>1</v>
      </c>
      <c r="D28" s="10">
        <v>3000</v>
      </c>
      <c r="E28" s="10">
        <v>3000</v>
      </c>
      <c r="F28" s="9">
        <f t="shared" si="0"/>
        <v>1</v>
      </c>
      <c r="G28" s="8" t="s">
        <v>204</v>
      </c>
      <c r="H28" s="8" t="s">
        <v>205</v>
      </c>
      <c r="I28" s="8" t="s">
        <v>206</v>
      </c>
      <c r="J28" s="8" t="s">
        <v>109</v>
      </c>
      <c r="K28" s="8" t="s">
        <v>110</v>
      </c>
      <c r="L28" s="8" t="s">
        <v>111</v>
      </c>
      <c r="M28" s="8" t="s">
        <v>54</v>
      </c>
      <c r="N28" s="8" t="s">
        <v>207</v>
      </c>
      <c r="O28" s="8" t="s">
        <v>160</v>
      </c>
      <c r="P28" s="8" t="s">
        <v>99</v>
      </c>
      <c r="Q28" s="8" t="s">
        <v>58</v>
      </c>
      <c r="R28" s="10">
        <v>3000</v>
      </c>
      <c r="S28" s="10">
        <v>3000</v>
      </c>
      <c r="T28" s="11">
        <v>46210</v>
      </c>
      <c r="U28" s="11">
        <v>46228</v>
      </c>
      <c r="V28" s="11">
        <v>46233</v>
      </c>
      <c r="W28" s="8" t="s">
        <v>208</v>
      </c>
    </row>
    <row r="29" spans="1:23" x14ac:dyDescent="0.35">
      <c r="A29" s="12" t="s">
        <v>208</v>
      </c>
      <c r="B29" s="12" t="s">
        <v>47</v>
      </c>
      <c r="C29" s="13">
        <v>1</v>
      </c>
      <c r="D29" s="14">
        <v>3000</v>
      </c>
      <c r="E29" s="14">
        <v>3000</v>
      </c>
      <c r="F29" s="13">
        <f t="shared" si="0"/>
        <v>1</v>
      </c>
      <c r="G29" s="12" t="s">
        <v>209</v>
      </c>
      <c r="H29" s="12" t="s">
        <v>145</v>
      </c>
      <c r="I29" s="12" t="s">
        <v>210</v>
      </c>
      <c r="J29" s="12" t="s">
        <v>109</v>
      </c>
      <c r="K29" s="12" t="s">
        <v>110</v>
      </c>
      <c r="L29" s="12" t="s">
        <v>111</v>
      </c>
      <c r="M29" s="12" t="s">
        <v>54</v>
      </c>
      <c r="N29" s="12" t="s">
        <v>211</v>
      </c>
      <c r="O29" s="12" t="s">
        <v>160</v>
      </c>
      <c r="P29" s="12" t="s">
        <v>99</v>
      </c>
      <c r="Q29" s="12" t="s">
        <v>58</v>
      </c>
      <c r="R29" s="14">
        <v>3000</v>
      </c>
      <c r="S29" s="14">
        <v>3000</v>
      </c>
      <c r="T29" s="15">
        <v>46210</v>
      </c>
      <c r="U29" s="15">
        <v>46228</v>
      </c>
      <c r="V29" s="15">
        <v>46233</v>
      </c>
      <c r="W29" s="12" t="s">
        <v>203</v>
      </c>
    </row>
    <row r="30" spans="1:23" x14ac:dyDescent="0.35">
      <c r="A30" s="8" t="s">
        <v>191</v>
      </c>
      <c r="B30" s="8" t="s">
        <v>47</v>
      </c>
      <c r="C30" s="9">
        <v>1</v>
      </c>
      <c r="D30" s="10">
        <v>250</v>
      </c>
      <c r="E30" s="10">
        <v>3000</v>
      </c>
      <c r="F30" s="9">
        <f t="shared" si="0"/>
        <v>1</v>
      </c>
      <c r="G30" s="8" t="s">
        <v>212</v>
      </c>
      <c r="H30" s="8" t="s">
        <v>213</v>
      </c>
      <c r="I30" s="8" t="s">
        <v>214</v>
      </c>
      <c r="J30" s="8" t="s">
        <v>109</v>
      </c>
      <c r="K30" s="8" t="s">
        <v>110</v>
      </c>
      <c r="L30" s="8" t="s">
        <v>53</v>
      </c>
      <c r="M30" s="8" t="s">
        <v>139</v>
      </c>
      <c r="N30" s="8" t="s">
        <v>172</v>
      </c>
      <c r="O30" s="8" t="s">
        <v>56</v>
      </c>
      <c r="P30" s="8" t="s">
        <v>57</v>
      </c>
      <c r="Q30" s="8" t="s">
        <v>58</v>
      </c>
      <c r="R30" s="10">
        <v>250</v>
      </c>
      <c r="S30" s="10">
        <v>250</v>
      </c>
      <c r="T30" s="11">
        <v>46203</v>
      </c>
      <c r="U30" s="11">
        <v>46228</v>
      </c>
      <c r="V30" s="11">
        <v>46235</v>
      </c>
      <c r="W30" s="8" t="s">
        <v>187</v>
      </c>
    </row>
    <row r="31" spans="1:23" x14ac:dyDescent="0.35">
      <c r="A31" s="12" t="s">
        <v>215</v>
      </c>
      <c r="B31" s="12" t="s">
        <v>47</v>
      </c>
      <c r="C31" s="13">
        <v>1</v>
      </c>
      <c r="D31" s="14">
        <v>1700</v>
      </c>
      <c r="E31" s="14">
        <v>3000</v>
      </c>
      <c r="F31" s="13">
        <f t="shared" si="0"/>
        <v>1</v>
      </c>
      <c r="G31" s="12" t="s">
        <v>216</v>
      </c>
      <c r="H31" s="12" t="s">
        <v>217</v>
      </c>
      <c r="I31" s="12" t="s">
        <v>218</v>
      </c>
      <c r="J31" s="12" t="s">
        <v>109</v>
      </c>
      <c r="K31" s="12" t="s">
        <v>110</v>
      </c>
      <c r="L31" s="12" t="s">
        <v>111</v>
      </c>
      <c r="M31" s="12" t="s">
        <v>139</v>
      </c>
      <c r="N31" s="12" t="s">
        <v>219</v>
      </c>
      <c r="O31" s="12" t="s">
        <v>220</v>
      </c>
      <c r="P31" s="12" t="s">
        <v>99</v>
      </c>
      <c r="Q31" s="12" t="s">
        <v>58</v>
      </c>
      <c r="R31" s="14">
        <v>1700</v>
      </c>
      <c r="S31" s="14">
        <v>1700</v>
      </c>
      <c r="T31" s="15">
        <v>46212</v>
      </c>
      <c r="U31" s="15">
        <v>46232</v>
      </c>
      <c r="V31" s="15">
        <v>46238</v>
      </c>
      <c r="W31" s="12"/>
    </row>
    <row r="32" spans="1:23" x14ac:dyDescent="0.35">
      <c r="A32" s="8" t="s">
        <v>221</v>
      </c>
      <c r="B32" s="8" t="s">
        <v>47</v>
      </c>
      <c r="C32" s="9">
        <v>1</v>
      </c>
      <c r="D32" s="10">
        <v>3000</v>
      </c>
      <c r="E32" s="10">
        <v>3000</v>
      </c>
      <c r="F32" s="9">
        <f t="shared" si="0"/>
        <v>1</v>
      </c>
      <c r="G32" s="8" t="s">
        <v>222</v>
      </c>
      <c r="H32" s="8" t="s">
        <v>223</v>
      </c>
      <c r="I32" s="8" t="s">
        <v>224</v>
      </c>
      <c r="J32" s="8" t="s">
        <v>109</v>
      </c>
      <c r="K32" s="8" t="s">
        <v>110</v>
      </c>
      <c r="L32" s="8" t="s">
        <v>111</v>
      </c>
      <c r="M32" s="8" t="s">
        <v>54</v>
      </c>
      <c r="N32" s="8" t="s">
        <v>219</v>
      </c>
      <c r="O32" s="8" t="s">
        <v>220</v>
      </c>
      <c r="P32" s="8" t="s">
        <v>99</v>
      </c>
      <c r="Q32" s="8" t="s">
        <v>58</v>
      </c>
      <c r="R32" s="10">
        <v>3000</v>
      </c>
      <c r="S32" s="10">
        <v>3000</v>
      </c>
      <c r="T32" s="11">
        <v>46212</v>
      </c>
      <c r="U32" s="11">
        <v>46234</v>
      </c>
      <c r="V32" s="11">
        <v>46240</v>
      </c>
      <c r="W32" s="8" t="s">
        <v>225</v>
      </c>
    </row>
    <row r="33" spans="1:23" x14ac:dyDescent="0.35">
      <c r="A33" s="12" t="s">
        <v>226</v>
      </c>
      <c r="B33" s="12" t="s">
        <v>47</v>
      </c>
      <c r="C33" s="13">
        <v>1</v>
      </c>
      <c r="D33" s="14">
        <v>4000</v>
      </c>
      <c r="E33" s="14">
        <v>4000</v>
      </c>
      <c r="F33" s="13">
        <f t="shared" si="0"/>
        <v>1</v>
      </c>
      <c r="G33" s="12" t="s">
        <v>227</v>
      </c>
      <c r="H33" s="12" t="s">
        <v>145</v>
      </c>
      <c r="I33" s="12" t="s">
        <v>228</v>
      </c>
      <c r="J33" s="12" t="s">
        <v>109</v>
      </c>
      <c r="K33" s="12" t="s">
        <v>110</v>
      </c>
      <c r="L33" s="12" t="s">
        <v>111</v>
      </c>
      <c r="M33" s="12" t="s">
        <v>54</v>
      </c>
      <c r="N33" s="12" t="s">
        <v>229</v>
      </c>
      <c r="O33" s="12" t="s">
        <v>230</v>
      </c>
      <c r="P33" s="12" t="s">
        <v>197</v>
      </c>
      <c r="Q33" s="12" t="s">
        <v>58</v>
      </c>
      <c r="R33" s="14">
        <v>4000</v>
      </c>
      <c r="S33" s="14">
        <v>4000</v>
      </c>
      <c r="T33" s="15">
        <v>46223</v>
      </c>
      <c r="U33" s="15">
        <v>46234</v>
      </c>
      <c r="V33" s="15">
        <v>46235</v>
      </c>
      <c r="W33" s="12"/>
    </row>
    <row r="34" spans="1:23" x14ac:dyDescent="0.35">
      <c r="A34" s="8" t="s">
        <v>231</v>
      </c>
      <c r="B34" s="8" t="s">
        <v>47</v>
      </c>
      <c r="C34" s="9">
        <v>1</v>
      </c>
      <c r="D34" s="10">
        <v>1400</v>
      </c>
      <c r="E34" s="10">
        <v>3000</v>
      </c>
      <c r="F34" s="9">
        <f t="shared" ref="F34:F65" si="1">MAX(1,CEILING(D34/E34,1))</f>
        <v>1</v>
      </c>
      <c r="G34" s="8" t="s">
        <v>232</v>
      </c>
      <c r="H34" s="8" t="s">
        <v>233</v>
      </c>
      <c r="I34" s="8" t="s">
        <v>234</v>
      </c>
      <c r="J34" s="8" t="s">
        <v>109</v>
      </c>
      <c r="K34" s="8" t="s">
        <v>110</v>
      </c>
      <c r="L34" s="8" t="s">
        <v>111</v>
      </c>
      <c r="M34" s="8" t="s">
        <v>54</v>
      </c>
      <c r="N34" s="8" t="s">
        <v>147</v>
      </c>
      <c r="O34" s="8" t="s">
        <v>148</v>
      </c>
      <c r="P34" s="8" t="s">
        <v>99</v>
      </c>
      <c r="Q34" s="8" t="s">
        <v>58</v>
      </c>
      <c r="R34" s="10">
        <v>1400</v>
      </c>
      <c r="S34" s="10">
        <v>1400</v>
      </c>
      <c r="T34" s="11">
        <v>46205</v>
      </c>
      <c r="U34" s="11">
        <v>46235</v>
      </c>
      <c r="V34" s="11">
        <v>46239</v>
      </c>
      <c r="W34" s="8" t="s">
        <v>235</v>
      </c>
    </row>
    <row r="35" spans="1:23" x14ac:dyDescent="0.35">
      <c r="A35" s="12" t="s">
        <v>235</v>
      </c>
      <c r="B35" s="12" t="s">
        <v>47</v>
      </c>
      <c r="C35" s="13">
        <v>1</v>
      </c>
      <c r="D35" s="14">
        <v>1600</v>
      </c>
      <c r="E35" s="14">
        <v>3000</v>
      </c>
      <c r="F35" s="13">
        <f t="shared" si="1"/>
        <v>1</v>
      </c>
      <c r="G35" s="12" t="s">
        <v>236</v>
      </c>
      <c r="H35" s="12" t="s">
        <v>237</v>
      </c>
      <c r="I35" s="12" t="s">
        <v>238</v>
      </c>
      <c r="J35" s="12" t="s">
        <v>109</v>
      </c>
      <c r="K35" s="12" t="s">
        <v>110</v>
      </c>
      <c r="L35" s="12" t="s">
        <v>111</v>
      </c>
      <c r="M35" s="12" t="s">
        <v>54</v>
      </c>
      <c r="N35" s="12" t="s">
        <v>239</v>
      </c>
      <c r="O35" s="12" t="s">
        <v>148</v>
      </c>
      <c r="P35" s="12" t="s">
        <v>99</v>
      </c>
      <c r="Q35" s="12" t="s">
        <v>58</v>
      </c>
      <c r="R35" s="14">
        <v>1600</v>
      </c>
      <c r="S35" s="14">
        <v>1600</v>
      </c>
      <c r="T35" s="15">
        <v>46205</v>
      </c>
      <c r="U35" s="15">
        <v>46235</v>
      </c>
      <c r="V35" s="15">
        <v>46239</v>
      </c>
      <c r="W35" s="12" t="s">
        <v>231</v>
      </c>
    </row>
    <row r="36" spans="1:23" x14ac:dyDescent="0.35">
      <c r="A36" s="8" t="s">
        <v>240</v>
      </c>
      <c r="B36" s="8" t="s">
        <v>47</v>
      </c>
      <c r="C36" s="9">
        <v>1</v>
      </c>
      <c r="D36" s="10">
        <v>1000</v>
      </c>
      <c r="E36" s="10">
        <v>3000</v>
      </c>
      <c r="F36" s="9">
        <f t="shared" si="1"/>
        <v>1</v>
      </c>
      <c r="G36" s="8" t="s">
        <v>241</v>
      </c>
      <c r="H36" s="8" t="s">
        <v>242</v>
      </c>
      <c r="I36" s="8" t="s">
        <v>243</v>
      </c>
      <c r="J36" s="8" t="s">
        <v>109</v>
      </c>
      <c r="K36" s="8" t="s">
        <v>110</v>
      </c>
      <c r="L36" s="8" t="s">
        <v>53</v>
      </c>
      <c r="M36" s="8" t="s">
        <v>81</v>
      </c>
      <c r="N36" s="8" t="s">
        <v>71</v>
      </c>
      <c r="O36" s="8" t="s">
        <v>56</v>
      </c>
      <c r="P36" s="8" t="s">
        <v>57</v>
      </c>
      <c r="Q36" s="8" t="s">
        <v>58</v>
      </c>
      <c r="R36" s="10">
        <v>1000</v>
      </c>
      <c r="S36" s="10">
        <v>1000</v>
      </c>
      <c r="T36" s="11">
        <v>46220</v>
      </c>
      <c r="U36" s="11">
        <v>46235</v>
      </c>
      <c r="V36" s="11">
        <v>46242</v>
      </c>
      <c r="W36" s="8"/>
    </row>
    <row r="37" spans="1:23" x14ac:dyDescent="0.35">
      <c r="A37" s="12" t="s">
        <v>244</v>
      </c>
      <c r="B37" s="12" t="s">
        <v>47</v>
      </c>
      <c r="C37" s="13">
        <v>1</v>
      </c>
      <c r="D37" s="14">
        <v>300</v>
      </c>
      <c r="E37" s="14">
        <v>3000</v>
      </c>
      <c r="F37" s="13">
        <f t="shared" si="1"/>
        <v>1</v>
      </c>
      <c r="G37" s="12" t="s">
        <v>245</v>
      </c>
      <c r="H37" s="12" t="s">
        <v>246</v>
      </c>
      <c r="I37" s="12" t="s">
        <v>247</v>
      </c>
      <c r="J37" s="12" t="s">
        <v>109</v>
      </c>
      <c r="K37" s="12" t="s">
        <v>110</v>
      </c>
      <c r="L37" s="12" t="s">
        <v>53</v>
      </c>
      <c r="M37" s="12" t="s">
        <v>54</v>
      </c>
      <c r="N37" s="12" t="s">
        <v>248</v>
      </c>
      <c r="O37" s="12" t="s">
        <v>56</v>
      </c>
      <c r="P37" s="12" t="s">
        <v>57</v>
      </c>
      <c r="Q37" s="12" t="s">
        <v>58</v>
      </c>
      <c r="R37" s="14">
        <v>300</v>
      </c>
      <c r="S37" s="14">
        <v>300</v>
      </c>
      <c r="T37" s="15">
        <v>46220</v>
      </c>
      <c r="U37" s="15">
        <v>46241</v>
      </c>
      <c r="V37" s="15">
        <v>46249</v>
      </c>
      <c r="W37" s="12" t="s">
        <v>249</v>
      </c>
    </row>
    <row r="38" spans="1:23" x14ac:dyDescent="0.35">
      <c r="A38" s="8" t="s">
        <v>225</v>
      </c>
      <c r="B38" s="8" t="s">
        <v>47</v>
      </c>
      <c r="C38" s="9">
        <v>1</v>
      </c>
      <c r="D38" s="10">
        <v>3500</v>
      </c>
      <c r="E38" s="10">
        <v>3500</v>
      </c>
      <c r="F38" s="9">
        <f t="shared" si="1"/>
        <v>1</v>
      </c>
      <c r="G38" s="8" t="s">
        <v>250</v>
      </c>
      <c r="H38" s="8" t="s">
        <v>145</v>
      </c>
      <c r="I38" s="8" t="s">
        <v>251</v>
      </c>
      <c r="J38" s="8" t="s">
        <v>109</v>
      </c>
      <c r="K38" s="8" t="s">
        <v>110</v>
      </c>
      <c r="L38" s="8" t="s">
        <v>111</v>
      </c>
      <c r="M38" s="8" t="s">
        <v>54</v>
      </c>
      <c r="N38" s="8" t="s">
        <v>219</v>
      </c>
      <c r="O38" s="8" t="s">
        <v>220</v>
      </c>
      <c r="P38" s="8" t="s">
        <v>99</v>
      </c>
      <c r="Q38" s="8" t="s">
        <v>58</v>
      </c>
      <c r="R38" s="10">
        <v>3500</v>
      </c>
      <c r="S38" s="10">
        <v>3500</v>
      </c>
      <c r="T38" s="11">
        <v>46224</v>
      </c>
      <c r="U38" s="11">
        <v>46244</v>
      </c>
      <c r="V38" s="11">
        <v>46248</v>
      </c>
      <c r="W38" s="8" t="s">
        <v>221</v>
      </c>
    </row>
    <row r="39" spans="1:23" x14ac:dyDescent="0.35">
      <c r="A39" s="12" t="s">
        <v>252</v>
      </c>
      <c r="B39" s="12" t="s">
        <v>47</v>
      </c>
      <c r="C39" s="13">
        <v>1</v>
      </c>
      <c r="D39" s="14">
        <v>3000</v>
      </c>
      <c r="E39" s="14">
        <v>3000</v>
      </c>
      <c r="F39" s="13">
        <f t="shared" si="1"/>
        <v>1</v>
      </c>
      <c r="G39" s="12" t="s">
        <v>253</v>
      </c>
      <c r="H39" s="12" t="s">
        <v>145</v>
      </c>
      <c r="I39" s="12" t="s">
        <v>254</v>
      </c>
      <c r="J39" s="12" t="s">
        <v>109</v>
      </c>
      <c r="K39" s="12" t="s">
        <v>110</v>
      </c>
      <c r="L39" s="12" t="s">
        <v>111</v>
      </c>
      <c r="M39" s="12" t="s">
        <v>54</v>
      </c>
      <c r="N39" s="12" t="s">
        <v>159</v>
      </c>
      <c r="O39" s="12" t="s">
        <v>160</v>
      </c>
      <c r="P39" s="12" t="s">
        <v>99</v>
      </c>
      <c r="Q39" s="12" t="s">
        <v>58</v>
      </c>
      <c r="R39" s="14">
        <v>3000</v>
      </c>
      <c r="S39" s="14">
        <v>3000</v>
      </c>
      <c r="T39" s="15">
        <v>46223</v>
      </c>
      <c r="U39" s="15">
        <v>46244</v>
      </c>
      <c r="V39" s="15">
        <v>46249</v>
      </c>
      <c r="W39" s="12"/>
    </row>
    <row r="40" spans="1:23" x14ac:dyDescent="0.35">
      <c r="A40" s="8" t="s">
        <v>255</v>
      </c>
      <c r="B40" s="8" t="s">
        <v>47</v>
      </c>
      <c r="C40" s="9">
        <v>1</v>
      </c>
      <c r="D40" s="10">
        <v>2000</v>
      </c>
      <c r="E40" s="10">
        <v>3000</v>
      </c>
      <c r="F40" s="9">
        <f t="shared" si="1"/>
        <v>1</v>
      </c>
      <c r="G40" s="8" t="s">
        <v>256</v>
      </c>
      <c r="H40" s="8" t="s">
        <v>257</v>
      </c>
      <c r="I40" s="8" t="s">
        <v>258</v>
      </c>
      <c r="J40" s="8" t="s">
        <v>109</v>
      </c>
      <c r="K40" s="8" t="s">
        <v>110</v>
      </c>
      <c r="L40" s="8" t="s">
        <v>53</v>
      </c>
      <c r="M40" s="8" t="s">
        <v>54</v>
      </c>
      <c r="N40" s="8" t="s">
        <v>259</v>
      </c>
      <c r="O40" s="8" t="s">
        <v>260</v>
      </c>
      <c r="P40" s="8" t="s">
        <v>197</v>
      </c>
      <c r="Q40" s="8" t="s">
        <v>58</v>
      </c>
      <c r="R40" s="10">
        <v>2000</v>
      </c>
      <c r="S40" s="10">
        <v>2000</v>
      </c>
      <c r="T40" s="11">
        <v>46218</v>
      </c>
      <c r="U40" s="11">
        <v>46247</v>
      </c>
      <c r="V40" s="11">
        <v>46249</v>
      </c>
      <c r="W40" s="8"/>
    </row>
    <row r="41" spans="1:23" x14ac:dyDescent="0.35">
      <c r="A41" s="20" t="s">
        <v>261</v>
      </c>
      <c r="B41" s="20" t="s">
        <v>262</v>
      </c>
      <c r="C41" s="21">
        <v>2</v>
      </c>
      <c r="D41" s="22">
        <v>750</v>
      </c>
      <c r="E41" s="22">
        <v>3000</v>
      </c>
      <c r="F41" s="21">
        <f t="shared" si="1"/>
        <v>1</v>
      </c>
      <c r="G41" s="20" t="s">
        <v>263</v>
      </c>
      <c r="H41" s="20" t="s">
        <v>264</v>
      </c>
      <c r="I41" s="20" t="s">
        <v>265</v>
      </c>
      <c r="J41" s="20" t="s">
        <v>109</v>
      </c>
      <c r="K41" s="20" t="s">
        <v>110</v>
      </c>
      <c r="L41" s="20" t="s">
        <v>53</v>
      </c>
      <c r="M41" s="20" t="s">
        <v>54</v>
      </c>
      <c r="N41" s="20" t="s">
        <v>91</v>
      </c>
      <c r="O41" s="20" t="s">
        <v>56</v>
      </c>
      <c r="P41" s="20" t="s">
        <v>57</v>
      </c>
      <c r="Q41" s="20" t="s">
        <v>58</v>
      </c>
      <c r="R41" s="22">
        <v>400</v>
      </c>
      <c r="S41" s="22">
        <v>400</v>
      </c>
      <c r="T41" s="23">
        <v>46213</v>
      </c>
      <c r="U41" s="23">
        <v>46249</v>
      </c>
      <c r="V41" s="23">
        <v>46264</v>
      </c>
      <c r="W41" s="20" t="s">
        <v>266</v>
      </c>
    </row>
    <row r="42" spans="1:23" x14ac:dyDescent="0.35">
      <c r="A42" s="20" t="s">
        <v>261</v>
      </c>
      <c r="B42" s="20" t="s">
        <v>262</v>
      </c>
      <c r="C42" s="21">
        <v>2</v>
      </c>
      <c r="D42" s="22">
        <v>750</v>
      </c>
      <c r="E42" s="22">
        <v>3000</v>
      </c>
      <c r="F42" s="21">
        <f t="shared" si="1"/>
        <v>1</v>
      </c>
      <c r="G42" s="20" t="s">
        <v>267</v>
      </c>
      <c r="H42" s="20" t="s">
        <v>268</v>
      </c>
      <c r="I42" s="20" t="s">
        <v>269</v>
      </c>
      <c r="J42" s="20" t="s">
        <v>109</v>
      </c>
      <c r="K42" s="20" t="s">
        <v>110</v>
      </c>
      <c r="L42" s="20" t="s">
        <v>53</v>
      </c>
      <c r="M42" s="20" t="s">
        <v>54</v>
      </c>
      <c r="N42" s="20" t="s">
        <v>91</v>
      </c>
      <c r="O42" s="20" t="s">
        <v>56</v>
      </c>
      <c r="P42" s="20" t="s">
        <v>57</v>
      </c>
      <c r="Q42" s="20" t="s">
        <v>58</v>
      </c>
      <c r="R42" s="22">
        <v>350</v>
      </c>
      <c r="S42" s="22">
        <v>350</v>
      </c>
      <c r="T42" s="23">
        <v>46220</v>
      </c>
      <c r="U42" s="23">
        <v>46249</v>
      </c>
      <c r="V42" s="23">
        <v>46264</v>
      </c>
      <c r="W42" s="20" t="s">
        <v>266</v>
      </c>
    </row>
    <row r="43" spans="1:23" x14ac:dyDescent="0.35">
      <c r="A43" s="20" t="s">
        <v>270</v>
      </c>
      <c r="B43" s="20" t="s">
        <v>262</v>
      </c>
      <c r="C43" s="21">
        <v>2</v>
      </c>
      <c r="D43" s="22">
        <v>1400</v>
      </c>
      <c r="E43" s="22">
        <v>3000</v>
      </c>
      <c r="F43" s="21">
        <f t="shared" si="1"/>
        <v>1</v>
      </c>
      <c r="G43" s="20" t="s">
        <v>271</v>
      </c>
      <c r="H43" s="20" t="s">
        <v>272</v>
      </c>
      <c r="I43" s="20" t="s">
        <v>273</v>
      </c>
      <c r="J43" s="20" t="s">
        <v>109</v>
      </c>
      <c r="K43" s="20" t="s">
        <v>110</v>
      </c>
      <c r="L43" s="20" t="s">
        <v>53</v>
      </c>
      <c r="M43" s="20" t="s">
        <v>54</v>
      </c>
      <c r="N43" s="20" t="s">
        <v>172</v>
      </c>
      <c r="O43" s="20" t="s">
        <v>56</v>
      </c>
      <c r="P43" s="20" t="s">
        <v>57</v>
      </c>
      <c r="Q43" s="20" t="s">
        <v>58</v>
      </c>
      <c r="R43" s="22">
        <v>900</v>
      </c>
      <c r="S43" s="22">
        <v>900</v>
      </c>
      <c r="T43" s="23">
        <v>46213</v>
      </c>
      <c r="U43" s="23">
        <v>46249</v>
      </c>
      <c r="V43" s="23">
        <v>46259</v>
      </c>
      <c r="W43" s="20" t="s">
        <v>274</v>
      </c>
    </row>
    <row r="44" spans="1:23" x14ac:dyDescent="0.35">
      <c r="A44" s="20" t="s">
        <v>270</v>
      </c>
      <c r="B44" s="20" t="s">
        <v>262</v>
      </c>
      <c r="C44" s="21">
        <v>2</v>
      </c>
      <c r="D44" s="22">
        <v>1400</v>
      </c>
      <c r="E44" s="22">
        <v>3000</v>
      </c>
      <c r="F44" s="21">
        <f t="shared" si="1"/>
        <v>1</v>
      </c>
      <c r="G44" s="20" t="s">
        <v>275</v>
      </c>
      <c r="H44" s="20" t="s">
        <v>276</v>
      </c>
      <c r="I44" s="20" t="s">
        <v>277</v>
      </c>
      <c r="J44" s="20" t="s">
        <v>109</v>
      </c>
      <c r="K44" s="20" t="s">
        <v>110</v>
      </c>
      <c r="L44" s="20" t="s">
        <v>53</v>
      </c>
      <c r="M44" s="20" t="s">
        <v>54</v>
      </c>
      <c r="N44" s="20" t="s">
        <v>172</v>
      </c>
      <c r="O44" s="20" t="s">
        <v>56</v>
      </c>
      <c r="P44" s="20" t="s">
        <v>57</v>
      </c>
      <c r="Q44" s="20" t="s">
        <v>58</v>
      </c>
      <c r="R44" s="22">
        <v>500</v>
      </c>
      <c r="S44" s="22">
        <v>500</v>
      </c>
      <c r="T44" s="23">
        <v>46220</v>
      </c>
      <c r="U44" s="23">
        <v>46249</v>
      </c>
      <c r="V44" s="23">
        <v>46259</v>
      </c>
      <c r="W44" s="20" t="s">
        <v>274</v>
      </c>
    </row>
    <row r="45" spans="1:23" x14ac:dyDescent="0.35">
      <c r="A45" s="12" t="s">
        <v>278</v>
      </c>
      <c r="B45" s="12" t="s">
        <v>47</v>
      </c>
      <c r="C45" s="13">
        <v>1</v>
      </c>
      <c r="D45" s="14">
        <v>1500</v>
      </c>
      <c r="E45" s="14">
        <v>3000</v>
      </c>
      <c r="F45" s="13">
        <f t="shared" si="1"/>
        <v>1</v>
      </c>
      <c r="G45" s="12" t="s">
        <v>279</v>
      </c>
      <c r="H45" s="12" t="s">
        <v>280</v>
      </c>
      <c r="I45" s="12" t="s">
        <v>281</v>
      </c>
      <c r="J45" s="12" t="s">
        <v>109</v>
      </c>
      <c r="K45" s="12" t="s">
        <v>110</v>
      </c>
      <c r="L45" s="12" t="s">
        <v>53</v>
      </c>
      <c r="M45" s="12" t="s">
        <v>54</v>
      </c>
      <c r="N45" s="12" t="s">
        <v>71</v>
      </c>
      <c r="O45" s="12" t="s">
        <v>56</v>
      </c>
      <c r="P45" s="12" t="s">
        <v>57</v>
      </c>
      <c r="Q45" s="12" t="s">
        <v>58</v>
      </c>
      <c r="R45" s="14">
        <v>1500</v>
      </c>
      <c r="S45" s="14">
        <v>1500</v>
      </c>
      <c r="T45" s="15">
        <v>46213</v>
      </c>
      <c r="U45" s="15">
        <v>46249</v>
      </c>
      <c r="V45" s="15">
        <v>46264</v>
      </c>
      <c r="W45" s="12" t="s">
        <v>282</v>
      </c>
    </row>
    <row r="46" spans="1:23" x14ac:dyDescent="0.35">
      <c r="A46" s="8" t="s">
        <v>283</v>
      </c>
      <c r="B46" s="8" t="s">
        <v>47</v>
      </c>
      <c r="C46" s="9">
        <v>1</v>
      </c>
      <c r="D46" s="10">
        <v>1000</v>
      </c>
      <c r="E46" s="10">
        <v>3000</v>
      </c>
      <c r="F46" s="9">
        <f t="shared" si="1"/>
        <v>1</v>
      </c>
      <c r="G46" s="8" t="s">
        <v>284</v>
      </c>
      <c r="H46" s="8" t="s">
        <v>285</v>
      </c>
      <c r="I46" s="8" t="s">
        <v>286</v>
      </c>
      <c r="J46" s="8" t="s">
        <v>109</v>
      </c>
      <c r="K46" s="8" t="s">
        <v>110</v>
      </c>
      <c r="L46" s="8" t="s">
        <v>53</v>
      </c>
      <c r="M46" s="8" t="s">
        <v>54</v>
      </c>
      <c r="N46" s="8" t="s">
        <v>91</v>
      </c>
      <c r="O46" s="8" t="s">
        <v>56</v>
      </c>
      <c r="P46" s="8" t="s">
        <v>57</v>
      </c>
      <c r="Q46" s="8" t="s">
        <v>58</v>
      </c>
      <c r="R46" s="10">
        <v>1000</v>
      </c>
      <c r="S46" s="10">
        <v>1000</v>
      </c>
      <c r="T46" s="11">
        <v>46199</v>
      </c>
      <c r="U46" s="11">
        <v>46296</v>
      </c>
      <c r="V46" s="11">
        <v>46326</v>
      </c>
      <c r="W46" s="8" t="s">
        <v>287</v>
      </c>
    </row>
    <row r="47" spans="1:23" x14ac:dyDescent="0.35">
      <c r="A47" s="12" t="s">
        <v>288</v>
      </c>
      <c r="B47" s="12" t="s">
        <v>47</v>
      </c>
      <c r="C47" s="13">
        <v>1</v>
      </c>
      <c r="D47" s="14">
        <v>3000</v>
      </c>
      <c r="E47" s="14">
        <v>3000</v>
      </c>
      <c r="F47" s="13">
        <f t="shared" si="1"/>
        <v>1</v>
      </c>
      <c r="G47" s="12" t="s">
        <v>289</v>
      </c>
      <c r="H47" s="12" t="s">
        <v>290</v>
      </c>
      <c r="I47" s="12" t="s">
        <v>291</v>
      </c>
      <c r="J47" s="12" t="s">
        <v>109</v>
      </c>
      <c r="K47" s="12" t="s">
        <v>110</v>
      </c>
      <c r="L47" s="12" t="s">
        <v>53</v>
      </c>
      <c r="M47" s="12" t="s">
        <v>54</v>
      </c>
      <c r="N47" s="12" t="s">
        <v>71</v>
      </c>
      <c r="O47" s="12" t="s">
        <v>56</v>
      </c>
      <c r="P47" s="12" t="s">
        <v>57</v>
      </c>
      <c r="Q47" s="12" t="s">
        <v>58</v>
      </c>
      <c r="R47" s="14">
        <v>3000</v>
      </c>
      <c r="S47" s="14">
        <v>3000</v>
      </c>
      <c r="T47" s="15">
        <v>46199</v>
      </c>
      <c r="U47" s="15">
        <v>46296</v>
      </c>
      <c r="V47" s="15">
        <v>46326</v>
      </c>
      <c r="W47" s="12" t="s">
        <v>292</v>
      </c>
    </row>
    <row r="48" spans="1:23" x14ac:dyDescent="0.35">
      <c r="A48" s="8" t="s">
        <v>293</v>
      </c>
      <c r="B48" s="8" t="s">
        <v>47</v>
      </c>
      <c r="C48" s="9">
        <v>1</v>
      </c>
      <c r="D48" s="10">
        <v>1000</v>
      </c>
      <c r="E48" s="10">
        <v>3000</v>
      </c>
      <c r="F48" s="9">
        <f t="shared" si="1"/>
        <v>1</v>
      </c>
      <c r="G48" s="8" t="s">
        <v>294</v>
      </c>
      <c r="H48" s="8" t="s">
        <v>295</v>
      </c>
      <c r="I48" s="8" t="s">
        <v>296</v>
      </c>
      <c r="J48" s="8" t="s">
        <v>109</v>
      </c>
      <c r="K48" s="8" t="s">
        <v>110</v>
      </c>
      <c r="L48" s="8" t="s">
        <v>53</v>
      </c>
      <c r="M48" s="8" t="s">
        <v>54</v>
      </c>
      <c r="N48" s="8" t="s">
        <v>91</v>
      </c>
      <c r="O48" s="8" t="s">
        <v>56</v>
      </c>
      <c r="P48" s="8" t="s">
        <v>57</v>
      </c>
      <c r="Q48" s="8" t="s">
        <v>58</v>
      </c>
      <c r="R48" s="10">
        <v>1000</v>
      </c>
      <c r="S48" s="10">
        <v>1000</v>
      </c>
      <c r="T48" s="11">
        <v>46199</v>
      </c>
      <c r="U48" s="11">
        <v>46327</v>
      </c>
      <c r="V48" s="11">
        <v>46356</v>
      </c>
      <c r="W48" s="8" t="s">
        <v>297</v>
      </c>
    </row>
    <row r="49" spans="1:23" x14ac:dyDescent="0.35">
      <c r="A49" s="12" t="s">
        <v>298</v>
      </c>
      <c r="B49" s="12" t="s">
        <v>47</v>
      </c>
      <c r="C49" s="13">
        <v>1</v>
      </c>
      <c r="D49" s="14">
        <v>3000</v>
      </c>
      <c r="E49" s="14">
        <v>3000</v>
      </c>
      <c r="F49" s="13">
        <f t="shared" si="1"/>
        <v>1</v>
      </c>
      <c r="G49" s="12" t="s">
        <v>299</v>
      </c>
      <c r="H49" s="12" t="s">
        <v>300</v>
      </c>
      <c r="I49" s="12" t="s">
        <v>301</v>
      </c>
      <c r="J49" s="12" t="s">
        <v>109</v>
      </c>
      <c r="K49" s="12" t="s">
        <v>110</v>
      </c>
      <c r="L49" s="12" t="s">
        <v>53</v>
      </c>
      <c r="M49" s="12" t="s">
        <v>54</v>
      </c>
      <c r="N49" s="12" t="s">
        <v>71</v>
      </c>
      <c r="O49" s="12" t="s">
        <v>56</v>
      </c>
      <c r="P49" s="12" t="s">
        <v>57</v>
      </c>
      <c r="Q49" s="12" t="s">
        <v>58</v>
      </c>
      <c r="R49" s="14">
        <v>3000</v>
      </c>
      <c r="S49" s="14">
        <v>3000</v>
      </c>
      <c r="T49" s="15">
        <v>46199</v>
      </c>
      <c r="U49" s="15">
        <v>46327</v>
      </c>
      <c r="V49" s="15">
        <v>46356</v>
      </c>
      <c r="W49" s="12" t="s">
        <v>302</v>
      </c>
    </row>
    <row r="50" spans="1:23" x14ac:dyDescent="0.35">
      <c r="A50" s="8" t="s">
        <v>303</v>
      </c>
      <c r="B50" s="8" t="s">
        <v>47</v>
      </c>
      <c r="C50" s="9">
        <v>1</v>
      </c>
      <c r="D50" s="10">
        <v>2500</v>
      </c>
      <c r="E50" s="10">
        <v>3000</v>
      </c>
      <c r="F50" s="9">
        <f t="shared" si="1"/>
        <v>1</v>
      </c>
      <c r="G50" s="8" t="s">
        <v>304</v>
      </c>
      <c r="H50" s="8" t="s">
        <v>305</v>
      </c>
      <c r="I50" s="8" t="s">
        <v>306</v>
      </c>
      <c r="J50" s="8" t="s">
        <v>307</v>
      </c>
      <c r="K50" s="8" t="s">
        <v>308</v>
      </c>
      <c r="L50" s="8" t="s">
        <v>53</v>
      </c>
      <c r="M50" s="8" t="s">
        <v>54</v>
      </c>
      <c r="N50" s="8" t="s">
        <v>309</v>
      </c>
      <c r="O50" s="8" t="s">
        <v>56</v>
      </c>
      <c r="P50" s="8" t="s">
        <v>57</v>
      </c>
      <c r="Q50" s="8" t="s">
        <v>58</v>
      </c>
      <c r="R50" s="10">
        <v>2500</v>
      </c>
      <c r="S50" s="10">
        <v>2500</v>
      </c>
      <c r="T50" s="11">
        <v>46220</v>
      </c>
      <c r="U50" s="11">
        <v>46221</v>
      </c>
      <c r="V50" s="11">
        <v>46229</v>
      </c>
      <c r="W50" s="8" t="s">
        <v>310</v>
      </c>
    </row>
    <row r="51" spans="1:23" x14ac:dyDescent="0.35">
      <c r="A51" s="20" t="s">
        <v>310</v>
      </c>
      <c r="B51" s="20" t="s">
        <v>262</v>
      </c>
      <c r="C51" s="21">
        <v>4</v>
      </c>
      <c r="D51" s="22">
        <v>1900</v>
      </c>
      <c r="E51" s="22">
        <v>3000</v>
      </c>
      <c r="F51" s="21">
        <f t="shared" si="1"/>
        <v>1</v>
      </c>
      <c r="G51" s="20" t="s">
        <v>311</v>
      </c>
      <c r="H51" s="20" t="s">
        <v>312</v>
      </c>
      <c r="I51" s="20" t="s">
        <v>313</v>
      </c>
      <c r="J51" s="20" t="s">
        <v>307</v>
      </c>
      <c r="K51" s="20" t="s">
        <v>308</v>
      </c>
      <c r="L51" s="20" t="s">
        <v>53</v>
      </c>
      <c r="M51" s="20" t="s">
        <v>54</v>
      </c>
      <c r="N51" s="20" t="s">
        <v>55</v>
      </c>
      <c r="O51" s="20" t="s">
        <v>56</v>
      </c>
      <c r="P51" s="20" t="s">
        <v>57</v>
      </c>
      <c r="Q51" s="20" t="s">
        <v>58</v>
      </c>
      <c r="R51" s="22">
        <v>750</v>
      </c>
      <c r="S51" s="22">
        <v>750</v>
      </c>
      <c r="T51" s="23">
        <v>46213</v>
      </c>
      <c r="U51" s="23">
        <v>46223</v>
      </c>
      <c r="V51" s="23">
        <v>46228</v>
      </c>
      <c r="W51" s="20" t="s">
        <v>303</v>
      </c>
    </row>
    <row r="52" spans="1:23" x14ac:dyDescent="0.35">
      <c r="A52" s="20" t="s">
        <v>310</v>
      </c>
      <c r="B52" s="20" t="s">
        <v>262</v>
      </c>
      <c r="C52" s="21">
        <v>4</v>
      </c>
      <c r="D52" s="22">
        <v>1900</v>
      </c>
      <c r="E52" s="22">
        <v>3000</v>
      </c>
      <c r="F52" s="21">
        <f t="shared" si="1"/>
        <v>1</v>
      </c>
      <c r="G52" s="20" t="s">
        <v>314</v>
      </c>
      <c r="H52" s="20" t="s">
        <v>315</v>
      </c>
      <c r="I52" s="20" t="s">
        <v>316</v>
      </c>
      <c r="J52" s="20" t="s">
        <v>307</v>
      </c>
      <c r="K52" s="20" t="s">
        <v>308</v>
      </c>
      <c r="L52" s="20" t="s">
        <v>53</v>
      </c>
      <c r="M52" s="20" t="s">
        <v>54</v>
      </c>
      <c r="N52" s="20" t="s">
        <v>55</v>
      </c>
      <c r="O52" s="20" t="s">
        <v>56</v>
      </c>
      <c r="P52" s="20" t="s">
        <v>57</v>
      </c>
      <c r="Q52" s="20" t="s">
        <v>58</v>
      </c>
      <c r="R52" s="22">
        <v>500</v>
      </c>
      <c r="S52" s="22">
        <v>500</v>
      </c>
      <c r="T52" s="23">
        <v>46213</v>
      </c>
      <c r="U52" s="23">
        <v>46223</v>
      </c>
      <c r="V52" s="23">
        <v>46228</v>
      </c>
      <c r="W52" s="20" t="s">
        <v>303</v>
      </c>
    </row>
    <row r="53" spans="1:23" x14ac:dyDescent="0.35">
      <c r="A53" s="20" t="s">
        <v>310</v>
      </c>
      <c r="B53" s="20" t="s">
        <v>262</v>
      </c>
      <c r="C53" s="21">
        <v>4</v>
      </c>
      <c r="D53" s="22">
        <v>1900</v>
      </c>
      <c r="E53" s="22">
        <v>3000</v>
      </c>
      <c r="F53" s="21">
        <f t="shared" si="1"/>
        <v>1</v>
      </c>
      <c r="G53" s="20" t="s">
        <v>317</v>
      </c>
      <c r="H53" s="20" t="s">
        <v>318</v>
      </c>
      <c r="I53" s="20" t="s">
        <v>319</v>
      </c>
      <c r="J53" s="20" t="s">
        <v>307</v>
      </c>
      <c r="K53" s="20" t="s">
        <v>308</v>
      </c>
      <c r="L53" s="20" t="s">
        <v>53</v>
      </c>
      <c r="M53" s="20" t="s">
        <v>54</v>
      </c>
      <c r="N53" s="20" t="s">
        <v>55</v>
      </c>
      <c r="O53" s="20" t="s">
        <v>56</v>
      </c>
      <c r="P53" s="20" t="s">
        <v>57</v>
      </c>
      <c r="Q53" s="20" t="s">
        <v>58</v>
      </c>
      <c r="R53" s="22">
        <v>400</v>
      </c>
      <c r="S53" s="22">
        <v>400</v>
      </c>
      <c r="T53" s="23">
        <v>46220</v>
      </c>
      <c r="U53" s="23">
        <v>46221</v>
      </c>
      <c r="V53" s="23">
        <v>46229</v>
      </c>
      <c r="W53" s="20" t="s">
        <v>303</v>
      </c>
    </row>
    <row r="54" spans="1:23" x14ac:dyDescent="0.35">
      <c r="A54" s="20" t="s">
        <v>310</v>
      </c>
      <c r="B54" s="20" t="s">
        <v>262</v>
      </c>
      <c r="C54" s="21">
        <v>4</v>
      </c>
      <c r="D54" s="22">
        <v>1900</v>
      </c>
      <c r="E54" s="22">
        <v>3000</v>
      </c>
      <c r="F54" s="21">
        <f t="shared" si="1"/>
        <v>1</v>
      </c>
      <c r="G54" s="20" t="s">
        <v>320</v>
      </c>
      <c r="H54" s="20" t="s">
        <v>321</v>
      </c>
      <c r="I54" s="20" t="s">
        <v>322</v>
      </c>
      <c r="J54" s="20" t="s">
        <v>307</v>
      </c>
      <c r="K54" s="20" t="s">
        <v>308</v>
      </c>
      <c r="L54" s="20" t="s">
        <v>53</v>
      </c>
      <c r="M54" s="20" t="s">
        <v>54</v>
      </c>
      <c r="N54" s="20" t="s">
        <v>55</v>
      </c>
      <c r="O54" s="20" t="s">
        <v>56</v>
      </c>
      <c r="P54" s="20" t="s">
        <v>57</v>
      </c>
      <c r="Q54" s="20" t="s">
        <v>58</v>
      </c>
      <c r="R54" s="22">
        <v>250</v>
      </c>
      <c r="S54" s="22">
        <v>250</v>
      </c>
      <c r="T54" s="23">
        <v>46220</v>
      </c>
      <c r="U54" s="23">
        <v>46221</v>
      </c>
      <c r="V54" s="23">
        <v>46229</v>
      </c>
      <c r="W54" s="20" t="s">
        <v>303</v>
      </c>
    </row>
    <row r="55" spans="1:23" x14ac:dyDescent="0.35">
      <c r="A55" s="8" t="s">
        <v>323</v>
      </c>
      <c r="B55" s="8" t="s">
        <v>47</v>
      </c>
      <c r="C55" s="9">
        <v>1</v>
      </c>
      <c r="D55" s="10">
        <v>1000</v>
      </c>
      <c r="E55" s="10">
        <v>3000</v>
      </c>
      <c r="F55" s="9">
        <f t="shared" si="1"/>
        <v>1</v>
      </c>
      <c r="G55" s="8" t="s">
        <v>324</v>
      </c>
      <c r="H55" s="8" t="s">
        <v>145</v>
      </c>
      <c r="I55" s="8" t="s">
        <v>325</v>
      </c>
      <c r="J55" s="8" t="s">
        <v>307</v>
      </c>
      <c r="K55" s="8" t="s">
        <v>308</v>
      </c>
      <c r="L55" s="8" t="s">
        <v>53</v>
      </c>
      <c r="M55" s="8" t="s">
        <v>54</v>
      </c>
      <c r="N55" s="8" t="s">
        <v>326</v>
      </c>
      <c r="O55" s="8" t="s">
        <v>327</v>
      </c>
      <c r="P55" s="8" t="s">
        <v>99</v>
      </c>
      <c r="Q55" s="8" t="s">
        <v>58</v>
      </c>
      <c r="R55" s="10">
        <v>1000</v>
      </c>
      <c r="S55" s="10">
        <v>1000</v>
      </c>
      <c r="T55" s="11">
        <v>46211</v>
      </c>
      <c r="U55" s="11">
        <v>46223</v>
      </c>
      <c r="V55" s="11">
        <v>46228</v>
      </c>
      <c r="W55" s="8"/>
    </row>
    <row r="56" spans="1:23" x14ac:dyDescent="0.35">
      <c r="A56" s="12" t="s">
        <v>328</v>
      </c>
      <c r="B56" s="12" t="s">
        <v>47</v>
      </c>
      <c r="C56" s="13">
        <v>1</v>
      </c>
      <c r="D56" s="14">
        <v>500</v>
      </c>
      <c r="E56" s="14">
        <v>3000</v>
      </c>
      <c r="F56" s="13">
        <f t="shared" si="1"/>
        <v>1</v>
      </c>
      <c r="G56" s="12" t="s">
        <v>329</v>
      </c>
      <c r="H56" s="12" t="s">
        <v>330</v>
      </c>
      <c r="I56" s="12" t="s">
        <v>331</v>
      </c>
      <c r="J56" s="12" t="s">
        <v>307</v>
      </c>
      <c r="K56" s="12" t="s">
        <v>308</v>
      </c>
      <c r="L56" s="12" t="s">
        <v>53</v>
      </c>
      <c r="M56" s="12" t="s">
        <v>54</v>
      </c>
      <c r="N56" s="12" t="s">
        <v>332</v>
      </c>
      <c r="O56" s="12" t="s">
        <v>333</v>
      </c>
      <c r="P56" s="12" t="s">
        <v>142</v>
      </c>
      <c r="Q56" s="12" t="s">
        <v>58</v>
      </c>
      <c r="R56" s="14">
        <v>500</v>
      </c>
      <c r="S56" s="14">
        <v>500</v>
      </c>
      <c r="T56" s="15">
        <v>46217</v>
      </c>
      <c r="U56" s="15">
        <v>46232</v>
      </c>
      <c r="V56" s="15">
        <v>46247</v>
      </c>
      <c r="W56" s="12" t="s">
        <v>334</v>
      </c>
    </row>
    <row r="57" spans="1:23" x14ac:dyDescent="0.35">
      <c r="A57" s="8" t="s">
        <v>334</v>
      </c>
      <c r="B57" s="8" t="s">
        <v>47</v>
      </c>
      <c r="C57" s="9">
        <v>1</v>
      </c>
      <c r="D57" s="10">
        <v>500</v>
      </c>
      <c r="E57" s="10">
        <v>3000</v>
      </c>
      <c r="F57" s="9">
        <f t="shared" si="1"/>
        <v>1</v>
      </c>
      <c r="G57" s="8" t="s">
        <v>335</v>
      </c>
      <c r="H57" s="8" t="s">
        <v>145</v>
      </c>
      <c r="I57" s="8" t="s">
        <v>336</v>
      </c>
      <c r="J57" s="8" t="s">
        <v>307</v>
      </c>
      <c r="K57" s="8" t="s">
        <v>308</v>
      </c>
      <c r="L57" s="8" t="s">
        <v>53</v>
      </c>
      <c r="M57" s="8" t="s">
        <v>54</v>
      </c>
      <c r="N57" s="8" t="s">
        <v>332</v>
      </c>
      <c r="O57" s="8" t="s">
        <v>333</v>
      </c>
      <c r="P57" s="8" t="s">
        <v>142</v>
      </c>
      <c r="Q57" s="8" t="s">
        <v>58</v>
      </c>
      <c r="R57" s="10">
        <v>500</v>
      </c>
      <c r="S57" s="10">
        <v>500</v>
      </c>
      <c r="T57" s="11">
        <v>46223</v>
      </c>
      <c r="U57" s="11">
        <v>46238</v>
      </c>
      <c r="V57" s="11">
        <v>46253</v>
      </c>
      <c r="W57" s="8" t="s">
        <v>328</v>
      </c>
    </row>
    <row r="58" spans="1:23" x14ac:dyDescent="0.35">
      <c r="A58" s="20" t="s">
        <v>337</v>
      </c>
      <c r="B58" s="20" t="s">
        <v>262</v>
      </c>
      <c r="C58" s="21">
        <v>2</v>
      </c>
      <c r="D58" s="22">
        <v>2500</v>
      </c>
      <c r="E58" s="22">
        <v>3000</v>
      </c>
      <c r="F58" s="21">
        <f t="shared" si="1"/>
        <v>1</v>
      </c>
      <c r="G58" s="20" t="s">
        <v>338</v>
      </c>
      <c r="H58" s="20" t="s">
        <v>339</v>
      </c>
      <c r="I58" s="20" t="s">
        <v>340</v>
      </c>
      <c r="J58" s="20" t="s">
        <v>341</v>
      </c>
      <c r="K58" s="20" t="s">
        <v>342</v>
      </c>
      <c r="L58" s="20" t="s">
        <v>53</v>
      </c>
      <c r="M58" s="20" t="s">
        <v>54</v>
      </c>
      <c r="N58" s="20" t="s">
        <v>309</v>
      </c>
      <c r="O58" s="20" t="s">
        <v>56</v>
      </c>
      <c r="P58" s="20" t="s">
        <v>57</v>
      </c>
      <c r="Q58" s="20" t="s">
        <v>58</v>
      </c>
      <c r="R58" s="22">
        <v>1500</v>
      </c>
      <c r="S58" s="22">
        <v>1500</v>
      </c>
      <c r="T58" s="23">
        <v>46080</v>
      </c>
      <c r="U58" s="23">
        <v>46082</v>
      </c>
      <c r="V58" s="23">
        <v>46091</v>
      </c>
      <c r="W58" s="20"/>
    </row>
    <row r="59" spans="1:23" x14ac:dyDescent="0.35">
      <c r="A59" s="20" t="s">
        <v>337</v>
      </c>
      <c r="B59" s="20" t="s">
        <v>262</v>
      </c>
      <c r="C59" s="21">
        <v>2</v>
      </c>
      <c r="D59" s="22">
        <v>2500</v>
      </c>
      <c r="E59" s="22">
        <v>3000</v>
      </c>
      <c r="F59" s="21">
        <f t="shared" si="1"/>
        <v>1</v>
      </c>
      <c r="G59" s="20" t="s">
        <v>343</v>
      </c>
      <c r="H59" s="20" t="s">
        <v>344</v>
      </c>
      <c r="I59" s="20" t="s">
        <v>345</v>
      </c>
      <c r="J59" s="20" t="s">
        <v>341</v>
      </c>
      <c r="K59" s="20" t="s">
        <v>342</v>
      </c>
      <c r="L59" s="20" t="s">
        <v>53</v>
      </c>
      <c r="M59" s="20" t="s">
        <v>54</v>
      </c>
      <c r="N59" s="20" t="s">
        <v>309</v>
      </c>
      <c r="O59" s="20" t="s">
        <v>56</v>
      </c>
      <c r="P59" s="20" t="s">
        <v>57</v>
      </c>
      <c r="Q59" s="20" t="s">
        <v>58</v>
      </c>
      <c r="R59" s="22">
        <v>1000</v>
      </c>
      <c r="S59" s="22">
        <v>1000</v>
      </c>
      <c r="T59" s="23">
        <v>46080</v>
      </c>
      <c r="U59" s="23">
        <v>46082</v>
      </c>
      <c r="V59" s="23">
        <v>46091</v>
      </c>
      <c r="W59" s="20"/>
    </row>
    <row r="60" spans="1:23" x14ac:dyDescent="0.35">
      <c r="A60" s="8" t="s">
        <v>346</v>
      </c>
      <c r="B60" s="8" t="s">
        <v>47</v>
      </c>
      <c r="C60" s="9">
        <v>1</v>
      </c>
      <c r="D60" s="10">
        <v>1</v>
      </c>
      <c r="E60" s="10">
        <v>3000</v>
      </c>
      <c r="F60" s="9">
        <f t="shared" si="1"/>
        <v>1</v>
      </c>
      <c r="G60" s="8" t="s">
        <v>347</v>
      </c>
      <c r="H60" s="8" t="s">
        <v>348</v>
      </c>
      <c r="I60" s="8" t="s">
        <v>349</v>
      </c>
      <c r="J60" s="8" t="s">
        <v>341</v>
      </c>
      <c r="K60" s="8" t="s">
        <v>350</v>
      </c>
      <c r="L60" s="8" t="s">
        <v>351</v>
      </c>
      <c r="M60" s="8" t="s">
        <v>81</v>
      </c>
      <c r="N60" s="8" t="s">
        <v>352</v>
      </c>
      <c r="O60" s="8" t="s">
        <v>56</v>
      </c>
      <c r="P60" s="8" t="s">
        <v>142</v>
      </c>
      <c r="Q60" s="8" t="s">
        <v>58</v>
      </c>
      <c r="R60" s="10">
        <v>400</v>
      </c>
      <c r="S60" s="10">
        <v>0.62</v>
      </c>
      <c r="T60" s="11">
        <v>46162</v>
      </c>
      <c r="U60" s="11">
        <v>46164</v>
      </c>
      <c r="V60" s="11">
        <v>46174</v>
      </c>
      <c r="W60" s="8"/>
    </row>
    <row r="61" spans="1:23" x14ac:dyDescent="0.35">
      <c r="A61" s="12" t="s">
        <v>353</v>
      </c>
      <c r="B61" s="12" t="s">
        <v>47</v>
      </c>
      <c r="C61" s="13">
        <v>1</v>
      </c>
      <c r="D61" s="14">
        <v>9</v>
      </c>
      <c r="E61" s="14">
        <v>3000</v>
      </c>
      <c r="F61" s="13">
        <f t="shared" si="1"/>
        <v>1</v>
      </c>
      <c r="G61" s="12" t="s">
        <v>354</v>
      </c>
      <c r="H61" s="12" t="s">
        <v>355</v>
      </c>
      <c r="I61" s="12" t="s">
        <v>356</v>
      </c>
      <c r="J61" s="12" t="s">
        <v>341</v>
      </c>
      <c r="K61" s="12" t="s">
        <v>357</v>
      </c>
      <c r="L61" s="12" t="s">
        <v>111</v>
      </c>
      <c r="M61" s="12" t="s">
        <v>81</v>
      </c>
      <c r="N61" s="12" t="s">
        <v>358</v>
      </c>
      <c r="O61" s="12" t="s">
        <v>56</v>
      </c>
      <c r="P61" s="12" t="s">
        <v>142</v>
      </c>
      <c r="Q61" s="12" t="s">
        <v>58</v>
      </c>
      <c r="R61" s="14">
        <v>3000</v>
      </c>
      <c r="S61" s="14">
        <v>8.85</v>
      </c>
      <c r="T61" s="15">
        <v>46171</v>
      </c>
      <c r="U61" s="15">
        <v>46173</v>
      </c>
      <c r="V61" s="15">
        <v>46193</v>
      </c>
      <c r="W61" s="12"/>
    </row>
    <row r="62" spans="1:23" x14ac:dyDescent="0.35">
      <c r="A62" s="8" t="s">
        <v>359</v>
      </c>
      <c r="B62" s="8" t="s">
        <v>47</v>
      </c>
      <c r="C62" s="9">
        <v>1</v>
      </c>
      <c r="D62" s="10">
        <v>500</v>
      </c>
      <c r="E62" s="10">
        <v>3000</v>
      </c>
      <c r="F62" s="9">
        <f t="shared" si="1"/>
        <v>1</v>
      </c>
      <c r="G62" s="8" t="s">
        <v>360</v>
      </c>
      <c r="H62" s="8" t="s">
        <v>361</v>
      </c>
      <c r="I62" s="8" t="s">
        <v>362</v>
      </c>
      <c r="J62" s="8" t="s">
        <v>341</v>
      </c>
      <c r="K62" s="8" t="s">
        <v>363</v>
      </c>
      <c r="L62" s="8" t="s">
        <v>53</v>
      </c>
      <c r="M62" s="8" t="s">
        <v>364</v>
      </c>
      <c r="N62" s="8" t="s">
        <v>309</v>
      </c>
      <c r="O62" s="8" t="s">
        <v>56</v>
      </c>
      <c r="P62" s="8" t="s">
        <v>57</v>
      </c>
      <c r="Q62" s="8" t="s">
        <v>58</v>
      </c>
      <c r="R62" s="10">
        <v>500</v>
      </c>
      <c r="S62" s="10">
        <v>500</v>
      </c>
      <c r="T62" s="11">
        <v>46218</v>
      </c>
      <c r="U62" s="11">
        <v>46219</v>
      </c>
      <c r="V62" s="11">
        <v>46223</v>
      </c>
      <c r="W62" s="8"/>
    </row>
    <row r="63" spans="1:23" x14ac:dyDescent="0.35">
      <c r="A63" s="20" t="s">
        <v>365</v>
      </c>
      <c r="B63" s="20" t="s">
        <v>262</v>
      </c>
      <c r="C63" s="21">
        <v>2</v>
      </c>
      <c r="D63" s="22">
        <v>2000</v>
      </c>
      <c r="E63" s="22">
        <v>3000</v>
      </c>
      <c r="F63" s="21">
        <f t="shared" si="1"/>
        <v>1</v>
      </c>
      <c r="G63" s="20" t="s">
        <v>366</v>
      </c>
      <c r="H63" s="20" t="s">
        <v>367</v>
      </c>
      <c r="I63" s="20" t="s">
        <v>368</v>
      </c>
      <c r="J63" s="20" t="s">
        <v>369</v>
      </c>
      <c r="K63" s="20" t="s">
        <v>370</v>
      </c>
      <c r="L63" s="20" t="s">
        <v>53</v>
      </c>
      <c r="M63" s="20" t="s">
        <v>54</v>
      </c>
      <c r="N63" s="20" t="s">
        <v>371</v>
      </c>
      <c r="O63" s="20" t="s">
        <v>372</v>
      </c>
      <c r="P63" s="20" t="s">
        <v>197</v>
      </c>
      <c r="Q63" s="20" t="s">
        <v>373</v>
      </c>
      <c r="R63" s="22">
        <v>1000</v>
      </c>
      <c r="S63" s="22">
        <v>1000</v>
      </c>
      <c r="T63" s="23">
        <v>46188</v>
      </c>
      <c r="U63" s="23">
        <v>46193</v>
      </c>
      <c r="V63" s="23">
        <v>46223</v>
      </c>
      <c r="W63" s="20" t="s">
        <v>374</v>
      </c>
    </row>
    <row r="64" spans="1:23" x14ac:dyDescent="0.35">
      <c r="A64" s="20" t="s">
        <v>365</v>
      </c>
      <c r="B64" s="20" t="s">
        <v>262</v>
      </c>
      <c r="C64" s="21">
        <v>2</v>
      </c>
      <c r="D64" s="22">
        <v>2000</v>
      </c>
      <c r="E64" s="22">
        <v>3000</v>
      </c>
      <c r="F64" s="21">
        <f t="shared" si="1"/>
        <v>1</v>
      </c>
      <c r="G64" s="20" t="s">
        <v>375</v>
      </c>
      <c r="H64" s="20" t="s">
        <v>376</v>
      </c>
      <c r="I64" s="20" t="s">
        <v>377</v>
      </c>
      <c r="J64" s="20" t="s">
        <v>369</v>
      </c>
      <c r="K64" s="20" t="s">
        <v>370</v>
      </c>
      <c r="L64" s="20" t="s">
        <v>53</v>
      </c>
      <c r="M64" s="20" t="s">
        <v>54</v>
      </c>
      <c r="N64" s="20" t="s">
        <v>371</v>
      </c>
      <c r="O64" s="20" t="s">
        <v>372</v>
      </c>
      <c r="P64" s="20" t="s">
        <v>197</v>
      </c>
      <c r="Q64" s="20" t="s">
        <v>373</v>
      </c>
      <c r="R64" s="22">
        <v>1000</v>
      </c>
      <c r="S64" s="22">
        <v>1000</v>
      </c>
      <c r="T64" s="23">
        <v>46188</v>
      </c>
      <c r="U64" s="23">
        <v>46193</v>
      </c>
      <c r="V64" s="23">
        <v>46223</v>
      </c>
      <c r="W64" s="20" t="s">
        <v>374</v>
      </c>
    </row>
    <row r="65" spans="1:23" x14ac:dyDescent="0.35">
      <c r="A65" s="8" t="s">
        <v>378</v>
      </c>
      <c r="B65" s="8" t="s">
        <v>47</v>
      </c>
      <c r="C65" s="9">
        <v>1</v>
      </c>
      <c r="D65" s="10">
        <v>3000</v>
      </c>
      <c r="E65" s="10">
        <v>3000</v>
      </c>
      <c r="F65" s="9">
        <f t="shared" si="1"/>
        <v>1</v>
      </c>
      <c r="G65" s="8" t="s">
        <v>379</v>
      </c>
      <c r="H65" s="8" t="s">
        <v>380</v>
      </c>
      <c r="I65" s="8" t="s">
        <v>381</v>
      </c>
      <c r="J65" s="8" t="s">
        <v>369</v>
      </c>
      <c r="K65" s="8" t="s">
        <v>370</v>
      </c>
      <c r="L65" s="8" t="s">
        <v>111</v>
      </c>
      <c r="M65" s="8" t="s">
        <v>382</v>
      </c>
      <c r="N65" s="8" t="s">
        <v>383</v>
      </c>
      <c r="O65" s="8" t="s">
        <v>384</v>
      </c>
      <c r="P65" s="8" t="s">
        <v>99</v>
      </c>
      <c r="Q65" s="8" t="s">
        <v>58</v>
      </c>
      <c r="R65" s="10">
        <v>3000</v>
      </c>
      <c r="S65" s="10">
        <v>3000</v>
      </c>
      <c r="T65" s="11">
        <v>46182</v>
      </c>
      <c r="U65" s="11">
        <v>46204</v>
      </c>
      <c r="V65" s="11">
        <v>46234</v>
      </c>
      <c r="W65" s="8"/>
    </row>
    <row r="66" spans="1:23" x14ac:dyDescent="0.35">
      <c r="A66" s="12" t="s">
        <v>385</v>
      </c>
      <c r="B66" s="12" t="s">
        <v>47</v>
      </c>
      <c r="C66" s="13">
        <v>1</v>
      </c>
      <c r="D66" s="14">
        <v>5000</v>
      </c>
      <c r="E66" s="14">
        <v>5000</v>
      </c>
      <c r="F66" s="13">
        <f t="shared" ref="F66:F97" si="2">MAX(1,CEILING(D66/E66,1))</f>
        <v>1</v>
      </c>
      <c r="G66" s="12" t="s">
        <v>386</v>
      </c>
      <c r="H66" s="12" t="s">
        <v>387</v>
      </c>
      <c r="I66" s="12" t="s">
        <v>388</v>
      </c>
      <c r="J66" s="12" t="s">
        <v>369</v>
      </c>
      <c r="K66" s="12" t="s">
        <v>370</v>
      </c>
      <c r="L66" s="12" t="s">
        <v>389</v>
      </c>
      <c r="M66" s="12" t="s">
        <v>390</v>
      </c>
      <c r="N66" s="12" t="s">
        <v>391</v>
      </c>
      <c r="O66" s="12" t="s">
        <v>392</v>
      </c>
      <c r="P66" s="12" t="s">
        <v>99</v>
      </c>
      <c r="Q66" s="12" t="s">
        <v>58</v>
      </c>
      <c r="R66" s="14">
        <v>5000</v>
      </c>
      <c r="S66" s="14">
        <v>5000</v>
      </c>
      <c r="T66" s="15">
        <v>46181</v>
      </c>
      <c r="U66" s="15">
        <v>46204</v>
      </c>
      <c r="V66" s="15">
        <v>46218</v>
      </c>
      <c r="W66" s="12" t="s">
        <v>393</v>
      </c>
    </row>
    <row r="67" spans="1:23" x14ac:dyDescent="0.35">
      <c r="A67" s="8" t="s">
        <v>374</v>
      </c>
      <c r="B67" s="8" t="s">
        <v>47</v>
      </c>
      <c r="C67" s="9">
        <v>1</v>
      </c>
      <c r="D67" s="10">
        <v>400</v>
      </c>
      <c r="E67" s="10">
        <v>3000</v>
      </c>
      <c r="F67" s="9">
        <f t="shared" si="2"/>
        <v>1</v>
      </c>
      <c r="G67" s="8" t="s">
        <v>394</v>
      </c>
      <c r="H67" s="8" t="s">
        <v>395</v>
      </c>
      <c r="I67" s="8" t="s">
        <v>396</v>
      </c>
      <c r="J67" s="8" t="s">
        <v>369</v>
      </c>
      <c r="K67" s="8" t="s">
        <v>370</v>
      </c>
      <c r="L67" s="8" t="s">
        <v>53</v>
      </c>
      <c r="M67" s="8" t="s">
        <v>54</v>
      </c>
      <c r="N67" s="8" t="s">
        <v>371</v>
      </c>
      <c r="O67" s="8" t="s">
        <v>372</v>
      </c>
      <c r="P67" s="8" t="s">
        <v>99</v>
      </c>
      <c r="Q67" s="8" t="s">
        <v>373</v>
      </c>
      <c r="R67" s="10">
        <v>400</v>
      </c>
      <c r="S67" s="10">
        <v>400</v>
      </c>
      <c r="T67" s="11">
        <v>46210</v>
      </c>
      <c r="U67" s="11">
        <v>46212</v>
      </c>
      <c r="V67" s="11">
        <v>46213</v>
      </c>
      <c r="W67" s="8" t="s">
        <v>365</v>
      </c>
    </row>
    <row r="68" spans="1:23" x14ac:dyDescent="0.35">
      <c r="A68" s="12" t="s">
        <v>393</v>
      </c>
      <c r="B68" s="12" t="s">
        <v>47</v>
      </c>
      <c r="C68" s="13">
        <v>1</v>
      </c>
      <c r="D68" s="14">
        <v>5000</v>
      </c>
      <c r="E68" s="14">
        <v>5000</v>
      </c>
      <c r="F68" s="13">
        <f t="shared" si="2"/>
        <v>1</v>
      </c>
      <c r="G68" s="12" t="s">
        <v>397</v>
      </c>
      <c r="H68" s="12" t="s">
        <v>398</v>
      </c>
      <c r="I68" s="12" t="s">
        <v>399</v>
      </c>
      <c r="J68" s="12" t="s">
        <v>369</v>
      </c>
      <c r="K68" s="12" t="s">
        <v>370</v>
      </c>
      <c r="L68" s="12" t="s">
        <v>389</v>
      </c>
      <c r="M68" s="12" t="s">
        <v>390</v>
      </c>
      <c r="N68" s="12" t="s">
        <v>391</v>
      </c>
      <c r="O68" s="12" t="s">
        <v>392</v>
      </c>
      <c r="P68" s="12" t="s">
        <v>99</v>
      </c>
      <c r="Q68" s="12" t="s">
        <v>58</v>
      </c>
      <c r="R68" s="14">
        <v>5000</v>
      </c>
      <c r="S68" s="14">
        <v>5000</v>
      </c>
      <c r="T68" s="15">
        <v>46184</v>
      </c>
      <c r="U68" s="15">
        <v>46218</v>
      </c>
      <c r="V68" s="15">
        <v>46234</v>
      </c>
      <c r="W68" s="12" t="s">
        <v>385</v>
      </c>
    </row>
    <row r="69" spans="1:23" x14ac:dyDescent="0.35">
      <c r="A69" s="8" t="s">
        <v>400</v>
      </c>
      <c r="B69" s="8" t="s">
        <v>47</v>
      </c>
      <c r="C69" s="9">
        <v>1</v>
      </c>
      <c r="D69" s="10">
        <v>4</v>
      </c>
      <c r="E69" s="10">
        <v>3000</v>
      </c>
      <c r="F69" s="9">
        <f t="shared" si="2"/>
        <v>1</v>
      </c>
      <c r="G69" s="8" t="s">
        <v>401</v>
      </c>
      <c r="H69" s="8" t="s">
        <v>402</v>
      </c>
      <c r="I69" s="8" t="s">
        <v>403</v>
      </c>
      <c r="J69" s="8" t="s">
        <v>369</v>
      </c>
      <c r="K69" s="8" t="s">
        <v>370</v>
      </c>
      <c r="L69" s="8" t="s">
        <v>111</v>
      </c>
      <c r="M69" s="8" t="s">
        <v>382</v>
      </c>
      <c r="N69" s="8" t="s">
        <v>358</v>
      </c>
      <c r="O69" s="8" t="s">
        <v>56</v>
      </c>
      <c r="P69" s="8" t="s">
        <v>57</v>
      </c>
      <c r="Q69" s="8" t="s">
        <v>58</v>
      </c>
      <c r="R69" s="10">
        <v>4</v>
      </c>
      <c r="S69" s="10">
        <v>4</v>
      </c>
      <c r="T69" s="11">
        <v>46191</v>
      </c>
      <c r="U69" s="11">
        <v>46219</v>
      </c>
      <c r="V69" s="11">
        <v>46250</v>
      </c>
      <c r="W69" s="8"/>
    </row>
    <row r="70" spans="1:23" x14ac:dyDescent="0.35">
      <c r="A70" s="12" t="s">
        <v>404</v>
      </c>
      <c r="B70" s="12" t="s">
        <v>47</v>
      </c>
      <c r="C70" s="13">
        <v>1</v>
      </c>
      <c r="D70" s="14">
        <v>3200</v>
      </c>
      <c r="E70" s="14">
        <v>3200</v>
      </c>
      <c r="F70" s="13">
        <f t="shared" si="2"/>
        <v>1</v>
      </c>
      <c r="G70" s="12" t="s">
        <v>405</v>
      </c>
      <c r="H70" s="12" t="s">
        <v>406</v>
      </c>
      <c r="I70" s="12" t="s">
        <v>407</v>
      </c>
      <c r="J70" s="12" t="s">
        <v>369</v>
      </c>
      <c r="K70" s="12" t="s">
        <v>370</v>
      </c>
      <c r="L70" s="12" t="s">
        <v>111</v>
      </c>
      <c r="M70" s="12" t="s">
        <v>390</v>
      </c>
      <c r="N70" s="12" t="s">
        <v>383</v>
      </c>
      <c r="O70" s="12" t="s">
        <v>384</v>
      </c>
      <c r="P70" s="12" t="s">
        <v>99</v>
      </c>
      <c r="Q70" s="12" t="s">
        <v>58</v>
      </c>
      <c r="R70" s="14">
        <v>3200</v>
      </c>
      <c r="S70" s="14">
        <v>3200</v>
      </c>
      <c r="T70" s="15">
        <v>46205</v>
      </c>
      <c r="U70" s="15">
        <v>46235</v>
      </c>
      <c r="V70" s="15">
        <v>46264</v>
      </c>
      <c r="W70" s="12" t="s">
        <v>408</v>
      </c>
    </row>
    <row r="71" spans="1:23" x14ac:dyDescent="0.35">
      <c r="A71" s="8" t="s">
        <v>408</v>
      </c>
      <c r="B71" s="8" t="s">
        <v>47</v>
      </c>
      <c r="C71" s="9">
        <v>1</v>
      </c>
      <c r="D71" s="10">
        <v>2800</v>
      </c>
      <c r="E71" s="10">
        <v>3200</v>
      </c>
      <c r="F71" s="9">
        <f t="shared" si="2"/>
        <v>1</v>
      </c>
      <c r="G71" s="8" t="s">
        <v>409</v>
      </c>
      <c r="H71" s="8" t="s">
        <v>145</v>
      </c>
      <c r="I71" s="8" t="s">
        <v>410</v>
      </c>
      <c r="J71" s="8" t="s">
        <v>369</v>
      </c>
      <c r="K71" s="8" t="s">
        <v>370</v>
      </c>
      <c r="L71" s="8" t="s">
        <v>111</v>
      </c>
      <c r="M71" s="8" t="s">
        <v>390</v>
      </c>
      <c r="N71" s="8" t="s">
        <v>383</v>
      </c>
      <c r="O71" s="8" t="s">
        <v>384</v>
      </c>
      <c r="P71" s="8" t="s">
        <v>99</v>
      </c>
      <c r="Q71" s="8" t="s">
        <v>58</v>
      </c>
      <c r="R71" s="10">
        <v>2800</v>
      </c>
      <c r="S71" s="10">
        <v>2800</v>
      </c>
      <c r="T71" s="11">
        <v>46220</v>
      </c>
      <c r="U71" s="11">
        <v>46235</v>
      </c>
      <c r="V71" s="11">
        <v>46264</v>
      </c>
      <c r="W71" s="8" t="s">
        <v>404</v>
      </c>
    </row>
    <row r="72" spans="1:23" x14ac:dyDescent="0.35">
      <c r="A72" s="12" t="s">
        <v>411</v>
      </c>
      <c r="B72" s="12" t="s">
        <v>47</v>
      </c>
      <c r="C72" s="13">
        <v>1</v>
      </c>
      <c r="D72" s="14">
        <v>8000</v>
      </c>
      <c r="E72" s="14">
        <v>8000</v>
      </c>
      <c r="F72" s="13">
        <f t="shared" si="2"/>
        <v>1</v>
      </c>
      <c r="G72" s="12" t="s">
        <v>412</v>
      </c>
      <c r="H72" s="12" t="s">
        <v>413</v>
      </c>
      <c r="I72" s="12" t="s">
        <v>414</v>
      </c>
      <c r="J72" s="12" t="s">
        <v>369</v>
      </c>
      <c r="K72" s="12" t="s">
        <v>370</v>
      </c>
      <c r="L72" s="12" t="s">
        <v>111</v>
      </c>
      <c r="M72" s="12" t="s">
        <v>390</v>
      </c>
      <c r="N72" s="12" t="s">
        <v>415</v>
      </c>
      <c r="O72" s="12" t="s">
        <v>416</v>
      </c>
      <c r="P72" s="12" t="s">
        <v>99</v>
      </c>
      <c r="Q72" s="12" t="s">
        <v>58</v>
      </c>
      <c r="R72" s="14">
        <v>8000</v>
      </c>
      <c r="S72" s="14">
        <v>8000</v>
      </c>
      <c r="T72" s="15">
        <v>46209</v>
      </c>
      <c r="U72" s="15">
        <v>46235</v>
      </c>
      <c r="V72" s="15">
        <v>46265</v>
      </c>
      <c r="W72" s="12"/>
    </row>
    <row r="73" spans="1:23" x14ac:dyDescent="0.35">
      <c r="A73" s="8" t="s">
        <v>417</v>
      </c>
      <c r="B73" s="8" t="s">
        <v>47</v>
      </c>
      <c r="C73" s="9">
        <v>1</v>
      </c>
      <c r="D73" s="10">
        <v>3000</v>
      </c>
      <c r="E73" s="10">
        <v>3000</v>
      </c>
      <c r="F73" s="9">
        <f t="shared" si="2"/>
        <v>1</v>
      </c>
      <c r="G73" s="8" t="s">
        <v>418</v>
      </c>
      <c r="H73" s="8" t="s">
        <v>145</v>
      </c>
      <c r="I73" s="8" t="s">
        <v>419</v>
      </c>
      <c r="J73" s="8" t="s">
        <v>369</v>
      </c>
      <c r="K73" s="8" t="s">
        <v>370</v>
      </c>
      <c r="L73" s="8" t="s">
        <v>111</v>
      </c>
      <c r="M73" s="8" t="s">
        <v>382</v>
      </c>
      <c r="N73" s="8" t="s">
        <v>383</v>
      </c>
      <c r="O73" s="8" t="s">
        <v>384</v>
      </c>
      <c r="P73" s="8" t="s">
        <v>99</v>
      </c>
      <c r="Q73" s="8" t="s">
        <v>58</v>
      </c>
      <c r="R73" s="10">
        <v>3000</v>
      </c>
      <c r="S73" s="10">
        <v>3000</v>
      </c>
      <c r="T73" s="11">
        <v>46203</v>
      </c>
      <c r="U73" s="11">
        <v>46244</v>
      </c>
      <c r="V73" s="11">
        <v>46259</v>
      </c>
      <c r="W73" s="8"/>
    </row>
    <row r="74" spans="1:23" x14ac:dyDescent="0.35">
      <c r="A74" s="12" t="s">
        <v>420</v>
      </c>
      <c r="B74" s="12" t="s">
        <v>47</v>
      </c>
      <c r="C74" s="13">
        <v>1</v>
      </c>
      <c r="D74" s="14">
        <v>60</v>
      </c>
      <c r="E74" s="14">
        <v>3000</v>
      </c>
      <c r="F74" s="13">
        <f t="shared" si="2"/>
        <v>1</v>
      </c>
      <c r="G74" s="12" t="s">
        <v>421</v>
      </c>
      <c r="H74" s="12" t="s">
        <v>422</v>
      </c>
      <c r="I74" s="12" t="s">
        <v>423</v>
      </c>
      <c r="J74" s="12" t="s">
        <v>424</v>
      </c>
      <c r="K74" s="12" t="s">
        <v>425</v>
      </c>
      <c r="L74" s="12" t="s">
        <v>111</v>
      </c>
      <c r="M74" s="12" t="s">
        <v>390</v>
      </c>
      <c r="N74" s="12" t="s">
        <v>426</v>
      </c>
      <c r="O74" s="12" t="s">
        <v>427</v>
      </c>
      <c r="P74" s="12" t="s">
        <v>142</v>
      </c>
      <c r="Q74" s="12" t="s">
        <v>58</v>
      </c>
      <c r="R74" s="14">
        <v>3500</v>
      </c>
      <c r="S74" s="14">
        <v>59.88</v>
      </c>
      <c r="T74" s="15">
        <v>46028</v>
      </c>
      <c r="U74" s="15">
        <v>46029</v>
      </c>
      <c r="V74" s="15">
        <v>46043</v>
      </c>
      <c r="W74" s="12"/>
    </row>
    <row r="75" spans="1:23" x14ac:dyDescent="0.35">
      <c r="A75" s="8" t="s">
        <v>428</v>
      </c>
      <c r="B75" s="8" t="s">
        <v>47</v>
      </c>
      <c r="C75" s="9">
        <v>1</v>
      </c>
      <c r="D75" s="10">
        <v>1</v>
      </c>
      <c r="E75" s="10">
        <v>3000</v>
      </c>
      <c r="F75" s="9">
        <f t="shared" si="2"/>
        <v>1</v>
      </c>
      <c r="G75" s="8" t="s">
        <v>429</v>
      </c>
      <c r="H75" s="8" t="s">
        <v>430</v>
      </c>
      <c r="I75" s="8" t="s">
        <v>431</v>
      </c>
      <c r="J75" s="8" t="s">
        <v>424</v>
      </c>
      <c r="K75" s="8" t="s">
        <v>425</v>
      </c>
      <c r="L75" s="8" t="s">
        <v>111</v>
      </c>
      <c r="M75" s="8" t="s">
        <v>432</v>
      </c>
      <c r="N75" s="8" t="s">
        <v>426</v>
      </c>
      <c r="O75" s="8" t="s">
        <v>427</v>
      </c>
      <c r="P75" s="8" t="s">
        <v>142</v>
      </c>
      <c r="Q75" s="8" t="s">
        <v>58</v>
      </c>
      <c r="R75" s="10">
        <v>1000</v>
      </c>
      <c r="S75" s="10">
        <v>1.36</v>
      </c>
      <c r="T75" s="11">
        <v>46048</v>
      </c>
      <c r="U75" s="11">
        <v>46050</v>
      </c>
      <c r="V75" s="11">
        <v>46064</v>
      </c>
      <c r="W75" s="8"/>
    </row>
    <row r="76" spans="1:23" x14ac:dyDescent="0.35">
      <c r="A76" s="12" t="s">
        <v>433</v>
      </c>
      <c r="B76" s="12" t="s">
        <v>47</v>
      </c>
      <c r="C76" s="13">
        <v>1</v>
      </c>
      <c r="D76" s="14">
        <v>3200</v>
      </c>
      <c r="E76" s="14">
        <v>3200</v>
      </c>
      <c r="F76" s="13">
        <f t="shared" si="2"/>
        <v>1</v>
      </c>
      <c r="G76" s="12" t="s">
        <v>434</v>
      </c>
      <c r="H76" s="12" t="s">
        <v>435</v>
      </c>
      <c r="I76" s="12" t="s">
        <v>436</v>
      </c>
      <c r="J76" s="12" t="s">
        <v>424</v>
      </c>
      <c r="K76" s="12" t="s">
        <v>437</v>
      </c>
      <c r="L76" s="12" t="s">
        <v>111</v>
      </c>
      <c r="M76" s="12" t="s">
        <v>432</v>
      </c>
      <c r="N76" s="12" t="s">
        <v>383</v>
      </c>
      <c r="O76" s="12" t="s">
        <v>384</v>
      </c>
      <c r="P76" s="12" t="s">
        <v>99</v>
      </c>
      <c r="Q76" s="12" t="s">
        <v>58</v>
      </c>
      <c r="R76" s="14">
        <v>3200</v>
      </c>
      <c r="S76" s="14">
        <v>3200</v>
      </c>
      <c r="T76" s="15">
        <v>46182</v>
      </c>
      <c r="U76" s="15">
        <v>46204</v>
      </c>
      <c r="V76" s="15">
        <v>46234</v>
      </c>
      <c r="W76" s="12"/>
    </row>
    <row r="77" spans="1:23" x14ac:dyDescent="0.35">
      <c r="A77" s="8" t="s">
        <v>438</v>
      </c>
      <c r="B77" s="8" t="s">
        <v>47</v>
      </c>
      <c r="C77" s="9">
        <v>1</v>
      </c>
      <c r="D77" s="10">
        <v>750</v>
      </c>
      <c r="E77" s="10">
        <v>3000</v>
      </c>
      <c r="F77" s="9">
        <f t="shared" si="2"/>
        <v>1</v>
      </c>
      <c r="G77" s="8" t="s">
        <v>439</v>
      </c>
      <c r="H77" s="8" t="s">
        <v>440</v>
      </c>
      <c r="I77" s="8" t="s">
        <v>441</v>
      </c>
      <c r="J77" s="8" t="s">
        <v>442</v>
      </c>
      <c r="K77" s="8" t="s">
        <v>443</v>
      </c>
      <c r="L77" s="8" t="s">
        <v>53</v>
      </c>
      <c r="M77" s="8" t="s">
        <v>54</v>
      </c>
      <c r="N77" s="8" t="s">
        <v>55</v>
      </c>
      <c r="O77" s="8" t="s">
        <v>56</v>
      </c>
      <c r="P77" s="8" t="s">
        <v>57</v>
      </c>
      <c r="Q77" s="8" t="s">
        <v>58</v>
      </c>
      <c r="R77" s="10">
        <v>750</v>
      </c>
      <c r="S77" s="10">
        <v>750</v>
      </c>
      <c r="T77" s="11">
        <v>46199</v>
      </c>
      <c r="U77" s="11">
        <v>46199</v>
      </c>
      <c r="V77" s="11">
        <v>46208</v>
      </c>
      <c r="W77" s="8"/>
    </row>
    <row r="78" spans="1:23" x14ac:dyDescent="0.35">
      <c r="A78" s="12" t="s">
        <v>444</v>
      </c>
      <c r="B78" s="12" t="s">
        <v>47</v>
      </c>
      <c r="C78" s="13">
        <v>1</v>
      </c>
      <c r="D78" s="14">
        <v>1000</v>
      </c>
      <c r="E78" s="14">
        <v>3000</v>
      </c>
      <c r="F78" s="13">
        <f t="shared" si="2"/>
        <v>1</v>
      </c>
      <c r="G78" s="12" t="s">
        <v>445</v>
      </c>
      <c r="H78" s="12" t="s">
        <v>446</v>
      </c>
      <c r="I78" s="12" t="s">
        <v>447</v>
      </c>
      <c r="J78" s="12" t="s">
        <v>442</v>
      </c>
      <c r="K78" s="12" t="s">
        <v>443</v>
      </c>
      <c r="L78" s="12" t="s">
        <v>53</v>
      </c>
      <c r="M78" s="12" t="s">
        <v>54</v>
      </c>
      <c r="N78" s="12" t="s">
        <v>448</v>
      </c>
      <c r="O78" s="12" t="s">
        <v>327</v>
      </c>
      <c r="P78" s="12" t="s">
        <v>99</v>
      </c>
      <c r="Q78" s="12" t="s">
        <v>373</v>
      </c>
      <c r="R78" s="14">
        <v>1000</v>
      </c>
      <c r="S78" s="14">
        <v>1000</v>
      </c>
      <c r="T78" s="15">
        <v>46206</v>
      </c>
      <c r="U78" s="15">
        <v>46209</v>
      </c>
      <c r="V78" s="15">
        <v>46211</v>
      </c>
      <c r="W78" s="12"/>
    </row>
    <row r="79" spans="1:23" x14ac:dyDescent="0.35">
      <c r="A79" s="8" t="s">
        <v>449</v>
      </c>
      <c r="B79" s="8" t="s">
        <v>47</v>
      </c>
      <c r="C79" s="9">
        <v>1</v>
      </c>
      <c r="D79" s="10">
        <v>500</v>
      </c>
      <c r="E79" s="10">
        <v>3000</v>
      </c>
      <c r="F79" s="9">
        <f t="shared" si="2"/>
        <v>1</v>
      </c>
      <c r="G79" s="8" t="s">
        <v>450</v>
      </c>
      <c r="H79" s="8" t="s">
        <v>451</v>
      </c>
      <c r="I79" s="8" t="s">
        <v>452</v>
      </c>
      <c r="J79" s="8" t="s">
        <v>442</v>
      </c>
      <c r="K79" s="8" t="s">
        <v>443</v>
      </c>
      <c r="L79" s="8" t="s">
        <v>53</v>
      </c>
      <c r="M79" s="8" t="s">
        <v>54</v>
      </c>
      <c r="N79" s="8" t="s">
        <v>55</v>
      </c>
      <c r="O79" s="8" t="s">
        <v>56</v>
      </c>
      <c r="P79" s="8" t="s">
        <v>57</v>
      </c>
      <c r="Q79" s="8" t="s">
        <v>58</v>
      </c>
      <c r="R79" s="10">
        <v>500</v>
      </c>
      <c r="S79" s="10">
        <v>500</v>
      </c>
      <c r="T79" s="11">
        <v>46213</v>
      </c>
      <c r="U79" s="11">
        <v>46223</v>
      </c>
      <c r="V79" s="11">
        <v>46228</v>
      </c>
      <c r="W79" s="8" t="s">
        <v>453</v>
      </c>
    </row>
    <row r="80" spans="1:23" x14ac:dyDescent="0.35">
      <c r="A80" s="12" t="s">
        <v>454</v>
      </c>
      <c r="B80" s="12" t="s">
        <v>47</v>
      </c>
      <c r="C80" s="13">
        <v>1</v>
      </c>
      <c r="D80" s="14">
        <v>1000</v>
      </c>
      <c r="E80" s="14">
        <v>3000</v>
      </c>
      <c r="F80" s="13">
        <f t="shared" si="2"/>
        <v>1</v>
      </c>
      <c r="G80" s="12" t="s">
        <v>455</v>
      </c>
      <c r="H80" s="12" t="s">
        <v>145</v>
      </c>
      <c r="I80" s="12" t="s">
        <v>456</v>
      </c>
      <c r="J80" s="12" t="s">
        <v>442</v>
      </c>
      <c r="K80" s="12" t="s">
        <v>443</v>
      </c>
      <c r="L80" s="12" t="s">
        <v>53</v>
      </c>
      <c r="M80" s="12" t="s">
        <v>54</v>
      </c>
      <c r="N80" s="12" t="s">
        <v>326</v>
      </c>
      <c r="O80" s="12" t="s">
        <v>327</v>
      </c>
      <c r="P80" s="12" t="s">
        <v>99</v>
      </c>
      <c r="Q80" s="12" t="s">
        <v>58</v>
      </c>
      <c r="R80" s="14">
        <v>1000</v>
      </c>
      <c r="S80" s="14">
        <v>1000</v>
      </c>
      <c r="T80" s="15">
        <v>46211</v>
      </c>
      <c r="U80" s="15">
        <v>46223</v>
      </c>
      <c r="V80" s="15">
        <v>46228</v>
      </c>
      <c r="W80" s="12"/>
    </row>
    <row r="81" spans="1:23" x14ac:dyDescent="0.35">
      <c r="A81" s="8" t="s">
        <v>453</v>
      </c>
      <c r="B81" s="8" t="s">
        <v>47</v>
      </c>
      <c r="C81" s="9">
        <v>1</v>
      </c>
      <c r="D81" s="10">
        <v>150</v>
      </c>
      <c r="E81" s="10">
        <v>3000</v>
      </c>
      <c r="F81" s="9">
        <f t="shared" si="2"/>
        <v>1</v>
      </c>
      <c r="G81" s="8" t="s">
        <v>457</v>
      </c>
      <c r="H81" s="8" t="s">
        <v>458</v>
      </c>
      <c r="I81" s="8" t="s">
        <v>459</v>
      </c>
      <c r="J81" s="8" t="s">
        <v>442</v>
      </c>
      <c r="K81" s="8" t="s">
        <v>443</v>
      </c>
      <c r="L81" s="8" t="s">
        <v>53</v>
      </c>
      <c r="M81" s="8" t="s">
        <v>54</v>
      </c>
      <c r="N81" s="8" t="s">
        <v>358</v>
      </c>
      <c r="O81" s="8" t="s">
        <v>56</v>
      </c>
      <c r="P81" s="8" t="s">
        <v>99</v>
      </c>
      <c r="Q81" s="8" t="s">
        <v>373</v>
      </c>
      <c r="R81" s="10">
        <v>150</v>
      </c>
      <c r="S81" s="10">
        <v>150</v>
      </c>
      <c r="T81" s="11">
        <v>46217</v>
      </c>
      <c r="U81" s="11">
        <v>46234</v>
      </c>
      <c r="V81" s="11">
        <v>46245</v>
      </c>
      <c r="W81" s="8" t="s">
        <v>449</v>
      </c>
    </row>
    <row r="82" spans="1:23" x14ac:dyDescent="0.35">
      <c r="A82" s="12" t="s">
        <v>460</v>
      </c>
      <c r="B82" s="12" t="s">
        <v>47</v>
      </c>
      <c r="C82" s="13">
        <v>1</v>
      </c>
      <c r="D82" s="14">
        <v>1000</v>
      </c>
      <c r="E82" s="14">
        <v>3000</v>
      </c>
      <c r="F82" s="13">
        <f t="shared" si="2"/>
        <v>1</v>
      </c>
      <c r="G82" s="12" t="s">
        <v>461</v>
      </c>
      <c r="H82" s="12" t="s">
        <v>145</v>
      </c>
      <c r="I82" s="12" t="s">
        <v>462</v>
      </c>
      <c r="J82" s="12" t="s">
        <v>442</v>
      </c>
      <c r="K82" s="12" t="s">
        <v>443</v>
      </c>
      <c r="L82" s="12" t="s">
        <v>53</v>
      </c>
      <c r="M82" s="12" t="s">
        <v>54</v>
      </c>
      <c r="N82" s="12" t="s">
        <v>463</v>
      </c>
      <c r="O82" s="12" t="s">
        <v>464</v>
      </c>
      <c r="P82" s="12" t="s">
        <v>197</v>
      </c>
      <c r="Q82" s="12" t="s">
        <v>373</v>
      </c>
      <c r="R82" s="14">
        <v>1000</v>
      </c>
      <c r="S82" s="14">
        <v>1000</v>
      </c>
      <c r="T82" s="15">
        <v>46224</v>
      </c>
      <c r="U82" s="15">
        <v>46248</v>
      </c>
      <c r="V82" s="15">
        <v>46250</v>
      </c>
      <c r="W82" s="12"/>
    </row>
    <row r="83" spans="1:23" x14ac:dyDescent="0.35">
      <c r="A83" s="8" t="s">
        <v>465</v>
      </c>
      <c r="B83" s="8" t="s">
        <v>47</v>
      </c>
      <c r="C83" s="9">
        <v>1</v>
      </c>
      <c r="D83" s="10">
        <v>1500</v>
      </c>
      <c r="E83" s="10">
        <v>3000</v>
      </c>
      <c r="F83" s="9">
        <f t="shared" si="2"/>
        <v>1</v>
      </c>
      <c r="G83" s="8" t="s">
        <v>466</v>
      </c>
      <c r="H83" s="8" t="s">
        <v>467</v>
      </c>
      <c r="I83" s="8" t="s">
        <v>468</v>
      </c>
      <c r="J83" s="8" t="s">
        <v>469</v>
      </c>
      <c r="K83" s="8" t="s">
        <v>470</v>
      </c>
      <c r="L83" s="8" t="s">
        <v>53</v>
      </c>
      <c r="M83" s="8" t="s">
        <v>54</v>
      </c>
      <c r="N83" s="8" t="s">
        <v>309</v>
      </c>
      <c r="O83" s="8" t="s">
        <v>56</v>
      </c>
      <c r="P83" s="8" t="s">
        <v>57</v>
      </c>
      <c r="Q83" s="8" t="s">
        <v>58</v>
      </c>
      <c r="R83" s="10">
        <v>1500</v>
      </c>
      <c r="S83" s="10">
        <v>1500</v>
      </c>
      <c r="T83" s="11">
        <v>46108</v>
      </c>
      <c r="U83" s="11">
        <v>46108</v>
      </c>
      <c r="V83" s="11">
        <v>46116</v>
      </c>
      <c r="W83" s="8"/>
    </row>
    <row r="84" spans="1:23" x14ac:dyDescent="0.35">
      <c r="A84" s="12" t="s">
        <v>471</v>
      </c>
      <c r="B84" s="12" t="s">
        <v>47</v>
      </c>
      <c r="C84" s="13">
        <v>1</v>
      </c>
      <c r="D84" s="14">
        <v>1000</v>
      </c>
      <c r="E84" s="14">
        <v>3000</v>
      </c>
      <c r="F84" s="13">
        <f t="shared" si="2"/>
        <v>1</v>
      </c>
      <c r="G84" s="12" t="s">
        <v>472</v>
      </c>
      <c r="H84" s="12" t="s">
        <v>473</v>
      </c>
      <c r="I84" s="12" t="s">
        <v>474</v>
      </c>
      <c r="J84" s="12" t="s">
        <v>469</v>
      </c>
      <c r="K84" s="12" t="s">
        <v>470</v>
      </c>
      <c r="L84" s="12" t="s">
        <v>53</v>
      </c>
      <c r="M84" s="12" t="s">
        <v>139</v>
      </c>
      <c r="N84" s="12" t="s">
        <v>309</v>
      </c>
      <c r="O84" s="12" t="s">
        <v>56</v>
      </c>
      <c r="P84" s="12" t="s">
        <v>57</v>
      </c>
      <c r="Q84" s="12" t="s">
        <v>58</v>
      </c>
      <c r="R84" s="14">
        <v>1000</v>
      </c>
      <c r="S84" s="14">
        <v>1000</v>
      </c>
      <c r="T84" s="15">
        <v>46190</v>
      </c>
      <c r="U84" s="15">
        <v>46204</v>
      </c>
      <c r="V84" s="15">
        <v>46218</v>
      </c>
      <c r="W84" s="12" t="s">
        <v>475</v>
      </c>
    </row>
    <row r="85" spans="1:23" x14ac:dyDescent="0.35">
      <c r="A85" s="20" t="s">
        <v>475</v>
      </c>
      <c r="B85" s="20" t="s">
        <v>262</v>
      </c>
      <c r="C85" s="21">
        <v>2</v>
      </c>
      <c r="D85" s="22">
        <v>2000</v>
      </c>
      <c r="E85" s="22">
        <v>3000</v>
      </c>
      <c r="F85" s="21">
        <f t="shared" si="2"/>
        <v>1</v>
      </c>
      <c r="G85" s="20" t="s">
        <v>476</v>
      </c>
      <c r="H85" s="20" t="s">
        <v>477</v>
      </c>
      <c r="I85" s="20" t="s">
        <v>478</v>
      </c>
      <c r="J85" s="20" t="s">
        <v>469</v>
      </c>
      <c r="K85" s="20" t="s">
        <v>470</v>
      </c>
      <c r="L85" s="20" t="s">
        <v>53</v>
      </c>
      <c r="M85" s="20" t="s">
        <v>139</v>
      </c>
      <c r="N85" s="20" t="s">
        <v>309</v>
      </c>
      <c r="O85" s="20" t="s">
        <v>56</v>
      </c>
      <c r="P85" s="20" t="s">
        <v>57</v>
      </c>
      <c r="Q85" s="20" t="s">
        <v>58</v>
      </c>
      <c r="R85" s="22">
        <v>1000</v>
      </c>
      <c r="S85" s="22">
        <v>1000</v>
      </c>
      <c r="T85" s="23">
        <v>46203</v>
      </c>
      <c r="U85" s="23">
        <v>46218</v>
      </c>
      <c r="V85" s="23">
        <v>46228</v>
      </c>
      <c r="W85" s="20" t="s">
        <v>471</v>
      </c>
    </row>
    <row r="86" spans="1:23" x14ac:dyDescent="0.35">
      <c r="A86" s="20" t="s">
        <v>475</v>
      </c>
      <c r="B86" s="20" t="s">
        <v>262</v>
      </c>
      <c r="C86" s="21">
        <v>2</v>
      </c>
      <c r="D86" s="22">
        <v>2000</v>
      </c>
      <c r="E86" s="22">
        <v>3000</v>
      </c>
      <c r="F86" s="21">
        <f t="shared" si="2"/>
        <v>1</v>
      </c>
      <c r="G86" s="20" t="s">
        <v>479</v>
      </c>
      <c r="H86" s="20" t="s">
        <v>480</v>
      </c>
      <c r="I86" s="20" t="s">
        <v>481</v>
      </c>
      <c r="J86" s="20" t="s">
        <v>469</v>
      </c>
      <c r="K86" s="20" t="s">
        <v>470</v>
      </c>
      <c r="L86" s="20" t="s">
        <v>53</v>
      </c>
      <c r="M86" s="20" t="s">
        <v>139</v>
      </c>
      <c r="N86" s="20" t="s">
        <v>309</v>
      </c>
      <c r="O86" s="20" t="s">
        <v>56</v>
      </c>
      <c r="P86" s="20" t="s">
        <v>57</v>
      </c>
      <c r="Q86" s="20" t="s">
        <v>58</v>
      </c>
      <c r="R86" s="22">
        <v>1000</v>
      </c>
      <c r="S86" s="22">
        <v>1000</v>
      </c>
      <c r="T86" s="23">
        <v>46218</v>
      </c>
      <c r="U86" s="23">
        <v>46218</v>
      </c>
      <c r="V86" s="23">
        <v>46225</v>
      </c>
      <c r="W86" s="20" t="s">
        <v>471</v>
      </c>
    </row>
    <row r="87" spans="1:23" x14ac:dyDescent="0.35">
      <c r="A87" s="12" t="s">
        <v>482</v>
      </c>
      <c r="B87" s="12" t="s">
        <v>47</v>
      </c>
      <c r="C87" s="13">
        <v>1</v>
      </c>
      <c r="D87" s="14">
        <v>1800</v>
      </c>
      <c r="E87" s="14">
        <v>3000</v>
      </c>
      <c r="F87" s="13">
        <f t="shared" si="2"/>
        <v>1</v>
      </c>
      <c r="G87" s="12" t="s">
        <v>483</v>
      </c>
      <c r="H87" s="12" t="s">
        <v>484</v>
      </c>
      <c r="I87" s="12" t="s">
        <v>485</v>
      </c>
      <c r="J87" s="12" t="s">
        <v>469</v>
      </c>
      <c r="K87" s="12" t="s">
        <v>470</v>
      </c>
      <c r="L87" s="12" t="s">
        <v>111</v>
      </c>
      <c r="M87" s="12" t="s">
        <v>81</v>
      </c>
      <c r="N87" s="12" t="s">
        <v>486</v>
      </c>
      <c r="O87" s="12" t="s">
        <v>487</v>
      </c>
      <c r="P87" s="12" t="s">
        <v>99</v>
      </c>
      <c r="Q87" s="12" t="s">
        <v>58</v>
      </c>
      <c r="R87" s="14">
        <v>1800</v>
      </c>
      <c r="S87" s="14">
        <v>1800</v>
      </c>
      <c r="T87" s="15">
        <v>46217</v>
      </c>
      <c r="U87" s="15">
        <v>46228</v>
      </c>
      <c r="V87" s="15">
        <v>46233</v>
      </c>
      <c r="W87" s="12"/>
    </row>
    <row r="88" spans="1:23" x14ac:dyDescent="0.35">
      <c r="A88" s="8" t="s">
        <v>488</v>
      </c>
      <c r="B88" s="8" t="s">
        <v>47</v>
      </c>
      <c r="C88" s="9">
        <v>1</v>
      </c>
      <c r="D88" s="10">
        <v>3000</v>
      </c>
      <c r="E88" s="10">
        <v>3000</v>
      </c>
      <c r="F88" s="9">
        <f t="shared" si="2"/>
        <v>1</v>
      </c>
      <c r="G88" s="8" t="s">
        <v>489</v>
      </c>
      <c r="H88" s="8" t="s">
        <v>490</v>
      </c>
      <c r="I88" s="8" t="s">
        <v>491</v>
      </c>
      <c r="J88" s="8" t="s">
        <v>469</v>
      </c>
      <c r="K88" s="8" t="s">
        <v>470</v>
      </c>
      <c r="L88" s="8" t="s">
        <v>53</v>
      </c>
      <c r="M88" s="8" t="s">
        <v>54</v>
      </c>
      <c r="N88" s="8" t="s">
        <v>332</v>
      </c>
      <c r="O88" s="8" t="s">
        <v>333</v>
      </c>
      <c r="P88" s="8" t="s">
        <v>142</v>
      </c>
      <c r="Q88" s="8" t="s">
        <v>58</v>
      </c>
      <c r="R88" s="10">
        <v>3000</v>
      </c>
      <c r="S88" s="10">
        <v>3000</v>
      </c>
      <c r="T88" s="11">
        <v>46223</v>
      </c>
      <c r="U88" s="11">
        <v>46238</v>
      </c>
      <c r="V88" s="11">
        <v>46253</v>
      </c>
      <c r="W88" s="8"/>
    </row>
    <row r="89" spans="1:23" x14ac:dyDescent="0.35">
      <c r="A89" s="12" t="s">
        <v>492</v>
      </c>
      <c r="B89" s="12" t="s">
        <v>47</v>
      </c>
      <c r="C89" s="13">
        <v>1</v>
      </c>
      <c r="D89" s="14">
        <v>1000</v>
      </c>
      <c r="E89" s="14">
        <v>3000</v>
      </c>
      <c r="F89" s="13">
        <f t="shared" si="2"/>
        <v>1</v>
      </c>
      <c r="G89" s="12" t="s">
        <v>493</v>
      </c>
      <c r="H89" s="12" t="s">
        <v>494</v>
      </c>
      <c r="I89" s="12" t="s">
        <v>495</v>
      </c>
      <c r="J89" s="12" t="s">
        <v>469</v>
      </c>
      <c r="K89" s="12" t="s">
        <v>470</v>
      </c>
      <c r="L89" s="12" t="s">
        <v>53</v>
      </c>
      <c r="M89" s="12" t="s">
        <v>54</v>
      </c>
      <c r="N89" s="12" t="s">
        <v>496</v>
      </c>
      <c r="O89" s="12" t="s">
        <v>260</v>
      </c>
      <c r="P89" s="12" t="s">
        <v>197</v>
      </c>
      <c r="Q89" s="12" t="s">
        <v>58</v>
      </c>
      <c r="R89" s="14">
        <v>1000</v>
      </c>
      <c r="S89" s="14">
        <v>1000</v>
      </c>
      <c r="T89" s="15">
        <v>46218</v>
      </c>
      <c r="U89" s="15">
        <v>46247</v>
      </c>
      <c r="V89" s="15">
        <v>46249</v>
      </c>
      <c r="W89" s="12"/>
    </row>
    <row r="90" spans="1:23" x14ac:dyDescent="0.35">
      <c r="A90" s="16" t="s">
        <v>497</v>
      </c>
      <c r="B90" s="16" t="s">
        <v>65</v>
      </c>
      <c r="C90" s="17">
        <v>1</v>
      </c>
      <c r="D90" s="18">
        <v>500</v>
      </c>
      <c r="E90" s="18">
        <v>3000</v>
      </c>
      <c r="F90" s="17">
        <f t="shared" si="2"/>
        <v>1</v>
      </c>
      <c r="G90" s="16" t="s">
        <v>498</v>
      </c>
      <c r="H90" s="16" t="s">
        <v>499</v>
      </c>
      <c r="I90" s="16" t="s">
        <v>500</v>
      </c>
      <c r="J90" s="16" t="s">
        <v>501</v>
      </c>
      <c r="K90" s="16" t="s">
        <v>502</v>
      </c>
      <c r="L90" s="16" t="s">
        <v>53</v>
      </c>
      <c r="M90" s="16" t="s">
        <v>54</v>
      </c>
      <c r="N90" s="16" t="s">
        <v>503</v>
      </c>
      <c r="O90" s="16" t="s">
        <v>504</v>
      </c>
      <c r="P90" s="16" t="s">
        <v>99</v>
      </c>
      <c r="Q90" s="16" t="s">
        <v>58</v>
      </c>
      <c r="R90" s="18">
        <v>500</v>
      </c>
      <c r="S90" s="18">
        <v>500</v>
      </c>
      <c r="T90" s="19">
        <v>46160</v>
      </c>
      <c r="U90" s="19">
        <v>46175</v>
      </c>
      <c r="V90" s="19">
        <v>46190</v>
      </c>
      <c r="W90" s="16"/>
    </row>
    <row r="91" spans="1:23" x14ac:dyDescent="0.35">
      <c r="A91" s="16" t="s">
        <v>505</v>
      </c>
      <c r="B91" s="16" t="s">
        <v>65</v>
      </c>
      <c r="C91" s="17">
        <v>1</v>
      </c>
      <c r="D91" s="18">
        <v>500</v>
      </c>
      <c r="E91" s="18">
        <v>3000</v>
      </c>
      <c r="F91" s="17">
        <f t="shared" si="2"/>
        <v>1</v>
      </c>
      <c r="G91" s="16" t="s">
        <v>506</v>
      </c>
      <c r="H91" s="16" t="s">
        <v>507</v>
      </c>
      <c r="I91" s="16" t="s">
        <v>508</v>
      </c>
      <c r="J91" s="16" t="s">
        <v>501</v>
      </c>
      <c r="K91" s="16" t="s">
        <v>502</v>
      </c>
      <c r="L91" s="16" t="s">
        <v>53</v>
      </c>
      <c r="M91" s="16" t="s">
        <v>54</v>
      </c>
      <c r="N91" s="16" t="s">
        <v>332</v>
      </c>
      <c r="O91" s="16" t="s">
        <v>333</v>
      </c>
      <c r="P91" s="16" t="s">
        <v>142</v>
      </c>
      <c r="Q91" s="16" t="s">
        <v>58</v>
      </c>
      <c r="R91" s="18">
        <v>500</v>
      </c>
      <c r="S91" s="18">
        <v>500</v>
      </c>
      <c r="T91" s="19">
        <v>46160</v>
      </c>
      <c r="U91" s="19">
        <v>46175</v>
      </c>
      <c r="V91" s="19">
        <v>46190</v>
      </c>
      <c r="W91" s="16"/>
    </row>
    <row r="92" spans="1:23" x14ac:dyDescent="0.35">
      <c r="A92" s="16" t="s">
        <v>509</v>
      </c>
      <c r="B92" s="16" t="s">
        <v>65</v>
      </c>
      <c r="C92" s="17">
        <v>1</v>
      </c>
      <c r="D92" s="18">
        <v>500</v>
      </c>
      <c r="E92" s="18">
        <v>3000</v>
      </c>
      <c r="F92" s="17">
        <f t="shared" si="2"/>
        <v>1</v>
      </c>
      <c r="G92" s="16" t="s">
        <v>510</v>
      </c>
      <c r="H92" s="16" t="s">
        <v>511</v>
      </c>
      <c r="I92" s="16" t="s">
        <v>512</v>
      </c>
      <c r="J92" s="16" t="s">
        <v>501</v>
      </c>
      <c r="K92" s="16" t="s">
        <v>502</v>
      </c>
      <c r="L92" s="16" t="s">
        <v>351</v>
      </c>
      <c r="M92" s="16" t="s">
        <v>54</v>
      </c>
      <c r="N92" s="16" t="s">
        <v>332</v>
      </c>
      <c r="O92" s="16" t="s">
        <v>333</v>
      </c>
      <c r="P92" s="16" t="s">
        <v>142</v>
      </c>
      <c r="Q92" s="16" t="s">
        <v>58</v>
      </c>
      <c r="R92" s="18">
        <v>500</v>
      </c>
      <c r="S92" s="18">
        <v>500</v>
      </c>
      <c r="T92" s="19">
        <v>46160</v>
      </c>
      <c r="U92" s="19">
        <v>46175</v>
      </c>
      <c r="V92" s="19">
        <v>46190</v>
      </c>
      <c r="W92" s="16"/>
    </row>
    <row r="93" spans="1:23" x14ac:dyDescent="0.35">
      <c r="A93" s="16" t="s">
        <v>513</v>
      </c>
      <c r="B93" s="16" t="s">
        <v>65</v>
      </c>
      <c r="C93" s="17">
        <v>1</v>
      </c>
      <c r="D93" s="18">
        <v>1000</v>
      </c>
      <c r="E93" s="18">
        <v>3000</v>
      </c>
      <c r="F93" s="17">
        <f t="shared" si="2"/>
        <v>1</v>
      </c>
      <c r="G93" s="16" t="s">
        <v>514</v>
      </c>
      <c r="H93" s="16" t="s">
        <v>515</v>
      </c>
      <c r="I93" s="16" t="s">
        <v>516</v>
      </c>
      <c r="J93" s="16" t="s">
        <v>501</v>
      </c>
      <c r="K93" s="16" t="s">
        <v>517</v>
      </c>
      <c r="L93" s="16" t="s">
        <v>53</v>
      </c>
      <c r="M93" s="16" t="s">
        <v>54</v>
      </c>
      <c r="N93" s="16" t="s">
        <v>63</v>
      </c>
      <c r="O93" s="16" t="s">
        <v>56</v>
      </c>
      <c r="P93" s="16" t="s">
        <v>57</v>
      </c>
      <c r="Q93" s="16" t="s">
        <v>58</v>
      </c>
      <c r="R93" s="18">
        <v>1000</v>
      </c>
      <c r="S93" s="18">
        <v>1000</v>
      </c>
      <c r="T93" s="19">
        <v>46185</v>
      </c>
      <c r="U93" s="19">
        <v>46185</v>
      </c>
      <c r="V93" s="19">
        <v>46193</v>
      </c>
      <c r="W93" s="16"/>
    </row>
  </sheetData>
  <autoFilter ref="A1:W9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Group Suggestions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1002032540 ohb02</cp:lastModifiedBy>
  <dcterms:created xsi:type="dcterms:W3CDTF">2026-07-22T07:00:24Z</dcterms:created>
  <dcterms:modified xsi:type="dcterms:W3CDTF">2026-07-22T10:28:11Z</dcterms:modified>
</cp:coreProperties>
</file>