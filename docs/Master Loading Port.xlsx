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A7C5CA38-4E17-4000-BBEC-7C792EB3B56F}" xr6:coauthVersionLast="47" xr6:coauthVersionMax="47" xr10:uidLastSave="{00000000-0000-0000-0000-000000000000}"/>
  <bookViews>
    <workbookView xWindow="-180" yWindow="-180" windowWidth="19560" windowHeight="11640" xr2:uid="{B202852B-3AF1-46D8-92A8-BD89925DEFB2}"/>
  </bookViews>
  <sheets>
    <sheet name="Load Po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6" i="1" l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<sst xmlns="http://schemas.openxmlformats.org/spreadsheetml/2006/main" count="514" uniqueCount="175">
  <si>
    <t>Region</t>
  </si>
  <si>
    <t>Port</t>
  </si>
  <si>
    <t>Koordinat</t>
  </si>
  <si>
    <t xml:space="preserve">Masuk Alur </t>
  </si>
  <si>
    <t>Lebar Alur</t>
  </si>
  <si>
    <t>Jlh Jembatan</t>
  </si>
  <si>
    <t>Jenis Port</t>
  </si>
  <si>
    <t>Pemilik Port</t>
  </si>
  <si>
    <t>Antri Muat (hari)</t>
  </si>
  <si>
    <t>Jlh Dermaga</t>
  </si>
  <si>
    <t>Pjg Dermaga</t>
  </si>
  <si>
    <t>Draft</t>
  </si>
  <si>
    <t>DWT</t>
  </si>
  <si>
    <t>Siklus Pasang</t>
  </si>
  <si>
    <t>Loading Method</t>
  </si>
  <si>
    <t>Loading Rate (MT/jam)</t>
  </si>
  <si>
    <t>Shipper</t>
  </si>
  <si>
    <t>3.360935, 99.449204</t>
  </si>
  <si>
    <t>3.789160568123109, 98.69031057182485</t>
  </si>
  <si>
    <t>-1.001012, 100.368673</t>
  </si>
  <si>
    <t>-0.3503309, 102.5166065</t>
  </si>
  <si>
    <t>0.155979, 103.165748</t>
  </si>
  <si>
    <t>1.7410574970912346, 101.37210333258164</t>
  </si>
  <si>
    <t>-2.088082, 106.130475</t>
  </si>
  <si>
    <t>-3.0046465745976767, 106.73832740017517</t>
  </si>
  <si>
    <t>1°37'47"S 105°43'57"E</t>
  </si>
  <si>
    <t>0°51'32"N 104°36'42"E</t>
  </si>
  <si>
    <t>1.0759, 104.1372</t>
  </si>
  <si>
    <t>1.518302, 103.668730</t>
  </si>
  <si>
    <t>1°31'11"S 103°40'06"E</t>
  </si>
  <si>
    <t>3°02'30"S 104°12'41"E</t>
  </si>
  <si>
    <t>-2.987380, 104.815421</t>
  </si>
  <si>
    <t>-2.738202, 104.760954</t>
  </si>
  <si>
    <t>2°48'06"S 104°53'58"E</t>
  </si>
  <si>
    <t>2°38'06"S 104°13'59"E</t>
  </si>
  <si>
    <t>-3.905313, 102.307204</t>
  </si>
  <si>
    <t>-6.101511, 106.886031</t>
  </si>
  <si>
    <t>-6.071094896828234, 106.97015994517413</t>
  </si>
  <si>
    <t>-7.196667, 112.732778</t>
  </si>
  <si>
    <t>0.497364, 108.905890</t>
  </si>
  <si>
    <t>0.038889, 109.225000</t>
  </si>
  <si>
    <t>1.1932963, 109.061553</t>
  </si>
  <si>
    <t>-0.28799881181810777, 109.57947044311717</t>
  </si>
  <si>
    <t>0°25'37"S 109°16'09"E</t>
  </si>
  <si>
    <t>-2.8163769165324397, 110.61899240130003</t>
  </si>
  <si>
    <t>-0.042677, 110.066608</t>
  </si>
  <si>
    <t>-0.1067093, 110.2855971</t>
  </si>
  <si>
    <t>0°00'52"S 109°32'37"E</t>
  </si>
  <si>
    <t>-2.8187555567773366, 110.62372304896797</t>
  </si>
  <si>
    <t>0°12'51"N 111°33'26"E</t>
  </si>
  <si>
    <t>0.11823168129064462, 110.59374548516807</t>
  </si>
  <si>
    <t>0°00'30.0"S 110°48'22.2"E</t>
  </si>
  <si>
    <t>0.1241482852856969, 111.13994073433139</t>
  </si>
  <si>
    <t>0.080822, 111.429496</t>
  </si>
  <si>
    <t>0.3554742, 111.6273332</t>
  </si>
  <si>
    <t>-0.9754806, 110.0895106</t>
  </si>
  <si>
    <t>-2.5387629, 110.3509981</t>
  </si>
  <si>
    <t>-2.3121182, 110.3973819</t>
  </si>
  <si>
    <t>-1.3817799, 110.4618014</t>
  </si>
  <si>
    <t>-2.626946, 111.803561</t>
  </si>
  <si>
    <t>-2.717689, 112.928358</t>
  </si>
  <si>
    <t>-2.0231996, 113.0288319</t>
  </si>
  <si>
    <t>-2.6664145, 114.4179018</t>
  </si>
  <si>
    <t>-2.2296527, 114.9390559</t>
  </si>
  <si>
    <t>-3.8028051, 115.482838</t>
  </si>
  <si>
    <t>-2.8002101, 114.779285</t>
  </si>
  <si>
    <t>-2.9066051670401443, 114.9055473066919</t>
  </si>
  <si>
    <t>0.9193333, 117.9873056</t>
  </si>
  <si>
    <t>0.040201453082065804, 117.52873975490958</t>
  </si>
  <si>
    <t>1.331035230501352, 117.70471124545836</t>
  </si>
  <si>
    <t>-0.5730724, 117.2136034</t>
  </si>
  <si>
    <t>-0.3404751, 117.0685787</t>
  </si>
  <si>
    <t>-0.2288888889, 116.6186111</t>
  </si>
  <si>
    <t>-0.2319642, 116.8031467</t>
  </si>
  <si>
    <t>-0.2009725, 116.7765119</t>
  </si>
  <si>
    <t>-0.2830063, 117.0127716</t>
  </si>
  <si>
    <t>-0.3006347, 115.8704202</t>
  </si>
  <si>
    <t>-1.2176157, 116.7444044</t>
  </si>
  <si>
    <t>01 47,979 S /116 15,110 E</t>
  </si>
  <si>
    <t>0.7716531, 117.9903666</t>
  </si>
  <si>
    <t>0.8651052, 118.479409</t>
  </si>
  <si>
    <t>1.2220418554104535, 117.8393126004969</t>
  </si>
  <si>
    <t>1.22207, 117.8389836</t>
  </si>
  <si>
    <t>2.1138997, 117.3705127</t>
  </si>
  <si>
    <t>2.0922285, 117.3182701</t>
  </si>
  <si>
    <t>3.1605083, 117.3044323</t>
  </si>
  <si>
    <t>2.3417241, 118.0700404</t>
  </si>
  <si>
    <t>2°57'26"N 117°17'12"E</t>
  </si>
  <si>
    <t>3.6060101, 117.0325742</t>
  </si>
  <si>
    <t>4.1540708, 117.6979936</t>
  </si>
  <si>
    <t>4.0819712, 117.2506794</t>
  </si>
  <si>
    <t>3.8264953, 117.3554717</t>
  </si>
  <si>
    <t>4.2104081, 117.2663227</t>
  </si>
  <si>
    <t>1.1913556, 121.4245626</t>
  </si>
  <si>
    <t>-2.0991971, 119.1938035</t>
  </si>
  <si>
    <t>-2.4741309, 119.1278044</t>
  </si>
  <si>
    <t>-2.9830179, 120.2524646</t>
  </si>
  <si>
    <t>-1.0296753, 131.2387591</t>
  </si>
  <si>
    <t>-0.871762, 134.058143</t>
  </si>
  <si>
    <t>-6.6442938, 140.4153904</t>
  </si>
  <si>
    <t>-8.4779929, 140.3890594</t>
  </si>
  <si>
    <t>-3.2468189, 135.3198105</t>
  </si>
  <si>
    <t>3.00000, 101.40000</t>
  </si>
  <si>
    <t>1.470288, 103.9029689</t>
  </si>
  <si>
    <t>1°06'36"S 116°44'13"E</t>
  </si>
  <si>
    <t>0°15'57"S 109°15'09"E</t>
  </si>
  <si>
    <t>Tidak</t>
  </si>
  <si>
    <t>Umum</t>
  </si>
  <si>
    <t xml:space="preserve">Pelindo </t>
  </si>
  <si>
    <t>Ya</t>
  </si>
  <si>
    <t>TUKS</t>
  </si>
  <si>
    <t>275 M</t>
  </si>
  <si>
    <t>300 M</t>
  </si>
  <si>
    <t>350 M</t>
  </si>
  <si>
    <t>Pelindo 2</t>
  </si>
  <si>
    <t>500 M</t>
  </si>
  <si>
    <t>700 M</t>
  </si>
  <si>
    <t>200 M</t>
  </si>
  <si>
    <t>150 M</t>
  </si>
  <si>
    <t>50 M</t>
  </si>
  <si>
    <t>100 M</t>
  </si>
  <si>
    <t>600 M</t>
  </si>
  <si>
    <t>650 M</t>
  </si>
  <si>
    <t>400 M</t>
  </si>
  <si>
    <t>250 M</t>
  </si>
  <si>
    <t>70 M</t>
  </si>
  <si>
    <t>180 M</t>
  </si>
  <si>
    <t>170 M</t>
  </si>
  <si>
    <t>220 M</t>
  </si>
  <si>
    <t>Umum/TUKS</t>
  </si>
  <si>
    <t>Pelindo 3</t>
  </si>
  <si>
    <t>60 M</t>
  </si>
  <si>
    <t>490 M</t>
  </si>
  <si>
    <t>75 M</t>
  </si>
  <si>
    <t>90 M</t>
  </si>
  <si>
    <t>260 M</t>
  </si>
  <si>
    <t>240 M</t>
  </si>
  <si>
    <t>710 M</t>
  </si>
  <si>
    <t>40 M</t>
  </si>
  <si>
    <t>800 M</t>
  </si>
  <si>
    <t>330 M</t>
  </si>
  <si>
    <t>280 M</t>
  </si>
  <si>
    <t>80 M</t>
  </si>
  <si>
    <t>Pipe Line</t>
  </si>
  <si>
    <t>Truck Loosing</t>
  </si>
  <si>
    <t>5.8</t>
  </si>
  <si>
    <t>5.0</t>
  </si>
  <si>
    <t xml:space="preserve">Agro Hope, Musirawas,
Menthobi </t>
  </si>
  <si>
    <t>Rhea Kaltim</t>
  </si>
  <si>
    <t>Teladan</t>
  </si>
  <si>
    <t>300 METER</t>
  </si>
  <si>
    <t>6 METER</t>
  </si>
  <si>
    <t xml:space="preserve">BWSS, AAMU, SARASWANTI </t>
  </si>
  <si>
    <t xml:space="preserve">Teladan </t>
  </si>
  <si>
    <t>TAP</t>
  </si>
  <si>
    <t>150 meter</t>
  </si>
  <si>
    <t>1,9 - 2,2 M</t>
  </si>
  <si>
    <t>2 hari 1kali</t>
  </si>
  <si>
    <t>SKJ</t>
  </si>
  <si>
    <t>± 100 meter</t>
  </si>
  <si>
    <t>5 meter</t>
  </si>
  <si>
    <t>Ya, 4 - 6 jam</t>
  </si>
  <si>
    <t>SIL</t>
  </si>
  <si>
    <t>-</t>
  </si>
  <si>
    <t>Ya, 1 hari</t>
  </si>
  <si>
    <t>KHL</t>
  </si>
  <si>
    <t>± 150 meter</t>
  </si>
  <si>
    <t>3,70 meter</t>
  </si>
  <si>
    <t>NJL</t>
  </si>
  <si>
    <t>± 130 meter</t>
  </si>
  <si>
    <t>5,1 meter</t>
  </si>
  <si>
    <t>1 hari 2 kali</t>
  </si>
  <si>
    <t>Tirtamadu</t>
  </si>
  <si>
    <t>Golden Blossom Sumatra</t>
  </si>
  <si>
    <t>Transpacific Agroindustry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</si>
</sst>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#\ &quot;M&quot;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6705-BA62-4734-80C0-D8D7F6F3ABAB}">
  <sheetPr>
    <outlinePr summaryBelow="0" summaryRight="0"/>
  </sheetPr>
  <dimension ref="A1:S159"/>
  <sheetViews>
    <sheetView tabSelected="1" workbookViewId="0">
      <pane xSplit="2" ySplit="1" topLeftCell="I87" activePane="bottomRight" state="frozen"/>
      <selection pane="topRight" activeCell="C1" sqref="C1"/>
      <selection pane="bottomLeft" activeCell="A2" sqref="A2"/>
      <selection pane="bottomRight" activeCell="D94" sqref="D94"/>
    </sheetView>
  </sheetViews>
  <sheetFormatPr defaultColWidth="12.6328125" defaultRowHeight="15.75" customHeight="1" x14ac:dyDescent="0.25"/>
  <cols>
    <col min="1" max="1" width="16.6328125" bestFit="1" customWidth="1"/>
    <col min="2" max="2" width="17" bestFit="1" customWidth="1"/>
    <col min="3" max="3" width="39.6328125" bestFit="1" customWidth="1"/>
    <col min="4" max="4" width="11" bestFit="1" customWidth="1"/>
    <col min="5" max="5" width="10.08984375" bestFit="1" customWidth="1"/>
    <col min="6" max="6" width="12.81640625" bestFit="1" customWidth="1"/>
    <col min="7" max="7" width="11.26953125" bestFit="1" customWidth="1"/>
    <col min="8" max="8" width="11.54296875" bestFit="1" customWidth="1"/>
    <col min="9" max="9" width="15" bestFit="1" customWidth="1"/>
    <col min="10" max="10" width="12" bestFit="1" customWidth="1"/>
    <col min="11" max="11" width="12.26953125" bestFit="1" customWidth="1"/>
    <col min="12" max="12" width="9.7265625" bestFit="1" customWidth="1"/>
    <col min="13" max="13" width="5" bestFit="1" customWidth="1"/>
    <col min="14" max="14" width="13.1796875" bestFit="1" customWidth="1"/>
    <col min="15" max="15" width="15.08984375" bestFit="1" customWidth="1"/>
    <col min="16" max="16" width="21" bestFit="1" customWidth="1"/>
    <col min="17" max="17" width="26.54296875" bestFit="1" customWidth="1"/>
    <col min="18" max="18" width="12.6328125" customWidth="1"/>
    <col min="19" max="19" width="19.453125" customWidth="1"/>
  </cols>
  <sheetData>
    <row r="1" spans="1:19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/>
      <c r="S1" s="5"/>
    </row>
    <row r="2" spans="1:19" ht="12.5" x14ac:dyDescent="0.25">
      <c r="A2" s="6" t="str">
        <f ca="1">IFERROR(__xludf.DUMMYFUNCTION("query(importrange(""https://docs.google.com/spreadsheets/d/1zHyHSSR6hPP10g5JERrRy866QzdnjgIrDsToidqskoA/edit?gid=1117823717#gid=1117823717"",""Port!A2:Z""),""Select *"",0)"),"Sumatera Utara")</f>
        <v>Sumatera Utara</v>
      </c>
      <c r="B2" s="6" t="str">
        <f ca="1">IFERROR(__xludf.DUMMYFUNCTION("""COMPUTED_VALUE"""),"Kuala Tanjung")</f>
        <v>Kuala Tanjung</v>
      </c>
      <c r="C2" s="6" t="s">
        <v>17</v>
      </c>
      <c r="D2" s="6" t="s">
        <v>106</v>
      </c>
      <c r="E2" s="7"/>
      <c r="F2" s="6">
        <v>0</v>
      </c>
      <c r="G2" s="6" t="s">
        <v>107</v>
      </c>
      <c r="H2" s="6" t="s">
        <v>108</v>
      </c>
      <c r="I2" s="6">
        <v>1</v>
      </c>
      <c r="J2" s="6"/>
      <c r="K2" s="6"/>
      <c r="L2" s="6"/>
      <c r="M2" s="6"/>
      <c r="N2" s="6"/>
      <c r="O2" s="6" t="s">
        <v>143</v>
      </c>
      <c r="P2" s="6">
        <v>150</v>
      </c>
      <c r="Q2" s="6"/>
      <c r="R2" s="6"/>
    </row>
    <row r="3" spans="1:19" ht="12.5" x14ac:dyDescent="0.25">
      <c r="A3" s="6" t="str">
        <f ca="1">IFERROR(__xludf.DUMMYFUNCTION("""COMPUTED_VALUE"""),"Sumatera Utara")</f>
        <v>Sumatera Utara</v>
      </c>
      <c r="B3" s="6" t="str">
        <f ca="1">IFERROR(__xludf.DUMMYFUNCTION("""COMPUTED_VALUE"""),"Belawan")</f>
        <v>Belawan</v>
      </c>
      <c r="C3" s="6" t="s">
        <v>18</v>
      </c>
      <c r="D3" s="6" t="s">
        <v>106</v>
      </c>
      <c r="E3" s="7"/>
      <c r="F3" s="6">
        <v>0</v>
      </c>
      <c r="G3" s="6" t="s">
        <v>107</v>
      </c>
      <c r="H3" s="6" t="s">
        <v>108</v>
      </c>
      <c r="I3" s="6">
        <v>2</v>
      </c>
      <c r="J3" s="6"/>
      <c r="K3" s="6"/>
      <c r="L3" s="6"/>
      <c r="M3" s="6"/>
      <c r="N3" s="6"/>
      <c r="O3" s="6" t="s">
        <v>143</v>
      </c>
      <c r="P3" s="6">
        <v>100</v>
      </c>
      <c r="Q3" s="6"/>
      <c r="R3" s="6"/>
    </row>
    <row r="4" spans="1:19" ht="12.5" x14ac:dyDescent="0.25">
      <c r="A4" s="6" t="str">
        <f ca="1">IFERROR(__xludf.DUMMYFUNCTION("""COMPUTED_VALUE"""),"Sumatera Barat")</f>
        <v>Sumatera Barat</v>
      </c>
      <c r="B4" s="6" t="str">
        <f ca="1">IFERROR(__xludf.DUMMYFUNCTION("""COMPUTED_VALUE"""),"Teluk Bayur")</f>
        <v>Teluk Bayur</v>
      </c>
      <c r="C4" s="6" t="s">
        <v>19</v>
      </c>
      <c r="D4" s="6" t="s">
        <v>106</v>
      </c>
      <c r="E4" s="7"/>
      <c r="F4" s="6">
        <v>0</v>
      </c>
      <c r="G4" s="6" t="s">
        <v>107</v>
      </c>
      <c r="H4" s="6" t="s">
        <v>108</v>
      </c>
      <c r="I4" s="6">
        <v>1</v>
      </c>
      <c r="J4" s="6"/>
      <c r="K4" s="6"/>
      <c r="L4" s="6"/>
      <c r="M4" s="6"/>
      <c r="N4" s="6" t="s">
        <v>171</v>
      </c>
      <c r="O4" s="6" t="s">
        <v>143</v>
      </c>
      <c r="P4" s="6">
        <v>150</v>
      </c>
      <c r="Q4" s="6"/>
      <c r="R4" s="6"/>
    </row>
    <row r="5" spans="1:19" ht="12.5" x14ac:dyDescent="0.25">
      <c r="A5" s="6" t="str">
        <f ca="1">IFERROR(__xludf.DUMMYFUNCTION("""COMPUTED_VALUE"""),"Riau")</f>
        <v>Riau</v>
      </c>
      <c r="B5" s="6" t="str">
        <f ca="1">IFERROR(__xludf.DUMMYFUNCTION("""COMPUTED_VALUE"""),"Rengat")</f>
        <v>Rengat</v>
      </c>
      <c r="C5" s="6" t="s">
        <v>20</v>
      </c>
      <c r="D5" s="6" t="s">
        <v>109</v>
      </c>
      <c r="E5" s="7"/>
      <c r="F5" s="6">
        <v>3</v>
      </c>
      <c r="G5" s="6" t="s">
        <v>110</v>
      </c>
      <c r="H5" s="6"/>
      <c r="I5" s="6">
        <v>1</v>
      </c>
      <c r="J5" s="6"/>
      <c r="K5" s="6"/>
      <c r="L5" s="6"/>
      <c r="M5" s="6"/>
      <c r="N5" s="6" t="s">
        <v>171</v>
      </c>
      <c r="O5" s="6" t="s">
        <v>143</v>
      </c>
      <c r="P5" s="6">
        <v>150</v>
      </c>
      <c r="Q5" s="6"/>
      <c r="R5" s="6"/>
    </row>
    <row r="6" spans="1:19" ht="12.5" x14ac:dyDescent="0.25">
      <c r="A6" s="6" t="str">
        <f ca="1">IFERROR(__xludf.DUMMYFUNCTION("""COMPUTED_VALUE"""),"Riau")</f>
        <v>Riau</v>
      </c>
      <c r="B6" s="6" t="str">
        <f ca="1">IFERROR(__xludf.DUMMYFUNCTION("""COMPUTED_VALUE"""),"Sungai Guntung")</f>
        <v>Sungai Guntung</v>
      </c>
      <c r="C6" s="6" t="s">
        <v>21</v>
      </c>
      <c r="D6" s="6" t="s">
        <v>109</v>
      </c>
      <c r="E6" s="7"/>
      <c r="F6" s="6">
        <v>0</v>
      </c>
      <c r="G6" s="6" t="s">
        <v>110</v>
      </c>
      <c r="H6" s="6"/>
      <c r="I6" s="6">
        <v>1</v>
      </c>
      <c r="J6" s="6"/>
      <c r="K6" s="6"/>
      <c r="L6" s="6"/>
      <c r="M6" s="6"/>
      <c r="N6" s="6" t="s">
        <v>171</v>
      </c>
      <c r="O6" s="6" t="s">
        <v>143</v>
      </c>
      <c r="P6" s="6">
        <v>150</v>
      </c>
      <c r="Q6" s="6"/>
      <c r="R6" s="6"/>
    </row>
    <row r="7" spans="1:19" ht="12.5" x14ac:dyDescent="0.25">
      <c r="A7" s="6" t="str">
        <f ca="1">IFERROR(__xludf.DUMMYFUNCTION("""COMPUTED_VALUE"""),"Riau")</f>
        <v>Riau</v>
      </c>
      <c r="B7" s="6" t="str">
        <f ca="1">IFERROR(__xludf.DUMMYFUNCTION("""COMPUTED_VALUE"""),"Dumai")</f>
        <v>Dumai</v>
      </c>
      <c r="C7" s="6" t="s">
        <v>22</v>
      </c>
      <c r="D7" s="6" t="s">
        <v>106</v>
      </c>
      <c r="E7" s="7"/>
      <c r="F7" s="6">
        <v>0</v>
      </c>
      <c r="G7" s="6" t="s">
        <v>110</v>
      </c>
      <c r="H7" s="6"/>
      <c r="I7" s="6">
        <v>1</v>
      </c>
      <c r="J7" s="6"/>
      <c r="K7" s="6"/>
      <c r="L7" s="6"/>
      <c r="M7" s="6"/>
      <c r="N7" s="6"/>
      <c r="O7" s="6" t="s">
        <v>143</v>
      </c>
      <c r="P7" s="6">
        <v>150</v>
      </c>
      <c r="Q7" s="6"/>
      <c r="R7" s="6"/>
    </row>
    <row r="8" spans="1:19" ht="12.5" x14ac:dyDescent="0.25">
      <c r="A8" s="6" t="str">
        <f ca="1">IFERROR(__xludf.DUMMYFUNCTION("""COMPUTED_VALUE"""),"Riau")</f>
        <v>Riau</v>
      </c>
      <c r="B8" s="6" t="str">
        <f ca="1">IFERROR(__xludf.DUMMYFUNCTION("""COMPUTED_VALUE"""),"Lubuk Gaung")</f>
        <v>Lubuk Gaung</v>
      </c>
      <c r="C8" s="6" t="s">
        <v>22</v>
      </c>
      <c r="D8" s="6" t="s">
        <v>106</v>
      </c>
      <c r="E8" s="7"/>
      <c r="F8" s="6">
        <v>0</v>
      </c>
      <c r="G8" s="6" t="s">
        <v>110</v>
      </c>
      <c r="H8" s="6"/>
      <c r="I8" s="6">
        <v>1</v>
      </c>
      <c r="J8" s="6"/>
      <c r="K8" s="6"/>
      <c r="L8" s="6"/>
      <c r="M8" s="6"/>
      <c r="N8" s="6"/>
      <c r="O8" s="6" t="s">
        <v>143</v>
      </c>
      <c r="P8" s="6">
        <v>150</v>
      </c>
      <c r="Q8" s="6"/>
      <c r="R8" s="6"/>
    </row>
    <row r="9" spans="1:19" ht="12.5" x14ac:dyDescent="0.25">
      <c r="A9" s="6" t="str">
        <f ca="1">IFERROR(__xludf.DUMMYFUNCTION("""COMPUTED_VALUE"""),"Kep. Riau")</f>
        <v>Kep. Riau</v>
      </c>
      <c r="B9" s="6" t="str">
        <f ca="1">IFERROR(__xludf.DUMMYFUNCTION("""COMPUTED_VALUE"""),"Pangkal Balam - TL")</f>
        <v>Pangkal Balam - TL</v>
      </c>
      <c r="C9" s="6" t="s">
        <v>23</v>
      </c>
      <c r="D9" s="6" t="s">
        <v>109</v>
      </c>
      <c r="E9" s="7"/>
      <c r="F9" s="6">
        <v>1</v>
      </c>
      <c r="G9" s="6" t="s">
        <v>107</v>
      </c>
      <c r="H9" s="6"/>
      <c r="I9" s="6">
        <v>4</v>
      </c>
      <c r="J9" s="6"/>
      <c r="K9" s="6"/>
      <c r="L9" s="6"/>
      <c r="M9" s="6"/>
      <c r="N9" s="6"/>
      <c r="O9" s="6" t="s">
        <v>144</v>
      </c>
      <c r="P9" s="6">
        <v>50</v>
      </c>
      <c r="Q9" s="6"/>
      <c r="R9" s="6"/>
    </row>
    <row r="10" spans="1:19" ht="12.5" x14ac:dyDescent="0.25">
      <c r="A10" s="6" t="str">
        <f ca="1">IFERROR(__xludf.DUMMYFUNCTION("""COMPUTED_VALUE"""),"Kep. Riau")</f>
        <v>Kep. Riau</v>
      </c>
      <c r="B10" s="6" t="str">
        <f ca="1">IFERROR(__xludf.DUMMYFUNCTION("""COMPUTED_VALUE"""),"Sadai")</f>
        <v>Sadai</v>
      </c>
      <c r="C10" s="6" t="s">
        <v>24</v>
      </c>
      <c r="D10" s="6" t="s">
        <v>106</v>
      </c>
      <c r="E10" s="7"/>
      <c r="F10" s="6">
        <v>0</v>
      </c>
      <c r="G10" s="6" t="s">
        <v>107</v>
      </c>
      <c r="H10" s="6"/>
      <c r="I10" s="6">
        <v>1</v>
      </c>
      <c r="J10" s="6"/>
      <c r="K10" s="6"/>
      <c r="L10" s="6"/>
      <c r="M10" s="6"/>
      <c r="N10" s="6"/>
      <c r="O10" s="6" t="s">
        <v>144</v>
      </c>
      <c r="P10" s="6">
        <v>30</v>
      </c>
      <c r="Q10" s="6"/>
      <c r="R10" s="6"/>
    </row>
    <row r="11" spans="1:19" ht="12.5" x14ac:dyDescent="0.25">
      <c r="A11" s="6" t="str">
        <f ca="1">IFERROR(__xludf.DUMMYFUNCTION("""COMPUTED_VALUE"""),"Kep. Riau")</f>
        <v>Kep. Riau</v>
      </c>
      <c r="B11" s="6" t="str">
        <f ca="1">IFERROR(__xludf.DUMMYFUNCTION("""COMPUTED_VALUE"""),"Belinyu")</f>
        <v>Belinyu</v>
      </c>
      <c r="C11" s="6" t="s">
        <v>25</v>
      </c>
      <c r="D11" s="6" t="s">
        <v>106</v>
      </c>
      <c r="E11" s="7"/>
      <c r="F11" s="6">
        <v>0</v>
      </c>
      <c r="G11" s="6" t="s">
        <v>107</v>
      </c>
      <c r="H11" s="6"/>
      <c r="I11" s="6">
        <v>1</v>
      </c>
      <c r="J11" s="6"/>
      <c r="K11" s="6"/>
      <c r="L11" s="6"/>
      <c r="M11" s="6"/>
      <c r="N11" s="6"/>
      <c r="O11" s="6" t="s">
        <v>143</v>
      </c>
      <c r="P11" s="6">
        <v>150</v>
      </c>
      <c r="Q11" s="6"/>
      <c r="R11" s="6"/>
    </row>
    <row r="12" spans="1:19" ht="12.5" x14ac:dyDescent="0.25">
      <c r="A12" s="6" t="str">
        <f ca="1">IFERROR(__xludf.DUMMYFUNCTION("""COMPUTED_VALUE"""),"Kep. Riau")</f>
        <v>Kep. Riau</v>
      </c>
      <c r="B12" s="6" t="str">
        <f ca="1">IFERROR(__xludf.DUMMYFUNCTION("""COMPUTED_VALUE"""),"Bintan")</f>
        <v>Bintan</v>
      </c>
      <c r="C12" s="6" t="s">
        <v>26</v>
      </c>
      <c r="D12" s="6" t="s">
        <v>106</v>
      </c>
      <c r="E12" s="7"/>
      <c r="F12" s="6">
        <v>0</v>
      </c>
      <c r="G12" s="6" t="s">
        <v>107</v>
      </c>
      <c r="H12" s="6"/>
      <c r="I12" s="6">
        <v>2</v>
      </c>
      <c r="J12" s="6"/>
      <c r="K12" s="6"/>
      <c r="L12" s="6"/>
      <c r="M12" s="6"/>
      <c r="N12" s="6"/>
      <c r="O12" s="6" t="s">
        <v>144</v>
      </c>
      <c r="P12" s="6">
        <v>50</v>
      </c>
      <c r="Q12" s="6" t="s">
        <v>172</v>
      </c>
      <c r="R12" s="6"/>
    </row>
    <row r="13" spans="1:19" ht="12.5" x14ac:dyDescent="0.25">
      <c r="A13" s="6" t="str">
        <f ca="1">IFERROR(__xludf.DUMMYFUNCTION("""COMPUTED_VALUE"""),"Kep. Riau")</f>
        <v>Kep. Riau</v>
      </c>
      <c r="B13" s="6" t="str">
        <f ca="1">IFERROR(__xludf.DUMMYFUNCTION("""COMPUTED_VALUE"""),"Batam")</f>
        <v>Batam</v>
      </c>
      <c r="C13" s="6" t="s">
        <v>27</v>
      </c>
      <c r="D13" s="6" t="s">
        <v>106</v>
      </c>
      <c r="E13" s="7"/>
      <c r="F13" s="6">
        <v>0</v>
      </c>
      <c r="G13" s="6" t="s">
        <v>107</v>
      </c>
      <c r="H13" s="6"/>
      <c r="I13" s="6">
        <v>1</v>
      </c>
      <c r="J13" s="6"/>
      <c r="K13" s="6"/>
      <c r="L13" s="6"/>
      <c r="M13" s="6"/>
      <c r="N13" s="6"/>
      <c r="O13" s="6" t="s">
        <v>143</v>
      </c>
      <c r="P13" s="6">
        <v>150</v>
      </c>
      <c r="Q13" s="6"/>
      <c r="R13" s="6"/>
    </row>
    <row r="14" spans="1:19" ht="12.5" x14ac:dyDescent="0.25">
      <c r="A14" s="6" t="str">
        <f ca="1">IFERROR(__xludf.DUMMYFUNCTION("""COMPUTED_VALUE"""),"Kep. Riau")</f>
        <v>Kep. Riau</v>
      </c>
      <c r="B14" s="6" t="str">
        <f ca="1">IFERROR(__xludf.DUMMYFUNCTION("""COMPUTED_VALUE"""),"Batam")</f>
        <v>Batam</v>
      </c>
      <c r="C14" s="6" t="s">
        <v>28</v>
      </c>
      <c r="D14" s="6" t="s">
        <v>106</v>
      </c>
      <c r="E14" s="7"/>
      <c r="F14" s="6">
        <v>0</v>
      </c>
      <c r="G14" s="6" t="s">
        <v>107</v>
      </c>
      <c r="H14" s="6"/>
      <c r="I14" s="6">
        <v>1</v>
      </c>
      <c r="J14" s="6"/>
      <c r="K14" s="6"/>
      <c r="L14" s="6"/>
      <c r="M14" s="6"/>
      <c r="N14" s="6"/>
      <c r="O14" s="6" t="s">
        <v>143</v>
      </c>
      <c r="P14" s="6">
        <v>150</v>
      </c>
      <c r="Q14" s="6"/>
      <c r="R14" s="6"/>
    </row>
    <row r="15" spans="1:19" ht="12.5" x14ac:dyDescent="0.25">
      <c r="A15" s="6" t="str">
        <f ca="1">IFERROR(__xludf.DUMMYFUNCTION("""COMPUTED_VALUE"""),"Jambi")</f>
        <v>Jambi</v>
      </c>
      <c r="B15" s="6" t="str">
        <f ca="1">IFERROR(__xludf.DUMMYFUNCTION("""COMPUTED_VALUE"""),"Talang Duku")</f>
        <v>Talang Duku</v>
      </c>
      <c r="C15" s="6" t="s">
        <v>29</v>
      </c>
      <c r="D15" s="6" t="s">
        <v>109</v>
      </c>
      <c r="E15" s="7" t="s">
        <v>111</v>
      </c>
      <c r="F15" s="6">
        <v>0</v>
      </c>
      <c r="G15" s="6" t="s">
        <v>107</v>
      </c>
      <c r="H15" s="6"/>
      <c r="I15" s="6">
        <v>2</v>
      </c>
      <c r="J15" s="6"/>
      <c r="K15" s="6"/>
      <c r="L15" s="6"/>
      <c r="M15" s="6"/>
      <c r="N15" s="6"/>
      <c r="O15" s="6" t="s">
        <v>143</v>
      </c>
      <c r="P15" s="6">
        <v>150</v>
      </c>
      <c r="Q15" s="6"/>
      <c r="R15" s="6"/>
    </row>
    <row r="16" spans="1:19" ht="12.5" x14ac:dyDescent="0.25">
      <c r="A16" s="6" t="str">
        <f ca="1">IFERROR(__xludf.DUMMYFUNCTION("""COMPUTED_VALUE"""),"lks")</f>
        <v>lks</v>
      </c>
      <c r="B16" s="6" t="str">
        <f ca="1">IFERROR(__xludf.DUMMYFUNCTION("""COMPUTED_VALUE"""),"GBS Palembang")</f>
        <v>GBS Palembang</v>
      </c>
      <c r="C16" s="6" t="s">
        <v>30</v>
      </c>
      <c r="D16" s="6" t="s">
        <v>109</v>
      </c>
      <c r="E16" s="7" t="s">
        <v>112</v>
      </c>
      <c r="F16" s="6">
        <v>2</v>
      </c>
      <c r="G16" s="6" t="s">
        <v>110</v>
      </c>
      <c r="H16" s="6"/>
      <c r="I16" s="6">
        <v>2</v>
      </c>
      <c r="J16" s="6"/>
      <c r="K16" s="6"/>
      <c r="L16" s="6"/>
      <c r="M16" s="6"/>
      <c r="N16" s="6"/>
      <c r="O16" s="6" t="s">
        <v>143</v>
      </c>
      <c r="P16" s="6">
        <v>100</v>
      </c>
      <c r="Q16" s="6" t="s">
        <v>173</v>
      </c>
      <c r="R16" s="6"/>
    </row>
    <row r="17" spans="1:18" ht="12.5" x14ac:dyDescent="0.25">
      <c r="A17" s="6" t="str">
        <f ca="1">IFERROR(__xludf.DUMMYFUNCTION("""COMPUTED_VALUE"""),"Sumatera Selatan")</f>
        <v>Sumatera Selatan</v>
      </c>
      <c r="B17" s="6" t="str">
        <f ca="1">IFERROR(__xludf.DUMMYFUNCTION("""COMPUTED_VALUE"""),"Boombaru")</f>
        <v>Boombaru</v>
      </c>
      <c r="C17" s="6" t="s">
        <v>31</v>
      </c>
      <c r="D17" s="6" t="s">
        <v>109</v>
      </c>
      <c r="E17" s="7" t="s">
        <v>113</v>
      </c>
      <c r="F17" s="6">
        <v>0</v>
      </c>
      <c r="G17" s="6" t="s">
        <v>107</v>
      </c>
      <c r="H17" s="6"/>
      <c r="I17" s="6">
        <v>2</v>
      </c>
      <c r="J17" s="6"/>
      <c r="K17" s="6"/>
      <c r="L17" s="6"/>
      <c r="M17" s="6"/>
      <c r="N17" s="6"/>
      <c r="O17" s="6" t="s">
        <v>143</v>
      </c>
      <c r="P17" s="6">
        <v>150</v>
      </c>
      <c r="Q17" s="6"/>
      <c r="R17" s="6"/>
    </row>
    <row r="18" spans="1:18" ht="12.5" x14ac:dyDescent="0.25">
      <c r="A18" s="6" t="str">
        <f ca="1">IFERROR(__xludf.DUMMYFUNCTION("""COMPUTED_VALUE"""),"Sumatera Selatan")</f>
        <v>Sumatera Selatan</v>
      </c>
      <c r="B18" s="6" t="str">
        <f ca="1">IFERROR(__xludf.DUMMYFUNCTION("""COMPUTED_VALUE"""),"Boombaru")</f>
        <v>Boombaru</v>
      </c>
      <c r="C18" s="6" t="s">
        <v>31</v>
      </c>
      <c r="D18" s="6" t="s">
        <v>109</v>
      </c>
      <c r="E18" s="7"/>
      <c r="F18" s="6">
        <v>0</v>
      </c>
      <c r="G18" s="6" t="s">
        <v>107</v>
      </c>
      <c r="H18" s="6"/>
      <c r="I18" s="6">
        <v>2</v>
      </c>
      <c r="J18" s="6"/>
      <c r="K18" s="6"/>
      <c r="L18" s="6"/>
      <c r="M18" s="6"/>
      <c r="N18" s="6"/>
      <c r="O18" s="6" t="s">
        <v>143</v>
      </c>
      <c r="P18" s="6">
        <v>150</v>
      </c>
      <c r="Q18" s="8"/>
      <c r="R18" s="6"/>
    </row>
    <row r="19" spans="1:18" ht="12.5" x14ac:dyDescent="0.25">
      <c r="A19" s="6" t="str">
        <f ca="1">IFERROR(__xludf.DUMMYFUNCTION("""COMPUTED_VALUE"""),"Sumatera Selatan")</f>
        <v>Sumatera Selatan</v>
      </c>
      <c r="B19" s="6" t="str">
        <f ca="1">IFERROR(__xludf.DUMMYFUNCTION("""COMPUTED_VALUE"""),"Tanjung Api-api")</f>
        <v>Tanjung Api-api</v>
      </c>
      <c r="C19" s="6" t="s">
        <v>32</v>
      </c>
      <c r="D19" s="6" t="s">
        <v>109</v>
      </c>
      <c r="E19" s="7" t="s">
        <v>112</v>
      </c>
      <c r="F19" s="6">
        <v>0</v>
      </c>
      <c r="G19" s="6" t="s">
        <v>110</v>
      </c>
      <c r="H19" s="6"/>
      <c r="I19" s="6">
        <v>1</v>
      </c>
      <c r="J19" s="6"/>
      <c r="K19" s="6"/>
      <c r="L19" s="6"/>
      <c r="M19" s="6"/>
      <c r="N19" s="6"/>
      <c r="O19" s="6" t="s">
        <v>143</v>
      </c>
      <c r="P19" s="6">
        <v>150</v>
      </c>
      <c r="Q19" s="8"/>
      <c r="R19" s="6"/>
    </row>
    <row r="20" spans="1:18" ht="12.5" x14ac:dyDescent="0.25">
      <c r="A20" s="6" t="str">
        <f ca="1">IFERROR(__xludf.DUMMYFUNCTION("""COMPUTED_VALUE"""),"Sumatera Selatan")</f>
        <v>Sumatera Selatan</v>
      </c>
      <c r="B20" s="6" t="str">
        <f ca="1">IFERROR(__xludf.DUMMYFUNCTION("""COMPUTED_VALUE"""),"Upang Jaya")</f>
        <v>Upang Jaya</v>
      </c>
      <c r="C20" s="6" t="s">
        <v>33</v>
      </c>
      <c r="D20" s="6" t="s">
        <v>109</v>
      </c>
      <c r="E20" s="7"/>
      <c r="F20" s="6">
        <v>0</v>
      </c>
      <c r="G20" s="6" t="s">
        <v>110</v>
      </c>
      <c r="H20" s="6"/>
      <c r="I20" s="6">
        <v>1</v>
      </c>
      <c r="J20" s="6"/>
      <c r="K20" s="6"/>
      <c r="L20" s="6"/>
      <c r="M20" s="6"/>
      <c r="N20" s="6"/>
      <c r="O20" s="6" t="s">
        <v>143</v>
      </c>
      <c r="P20" s="6">
        <v>100</v>
      </c>
      <c r="Q20" s="8" t="s">
        <v>174</v>
      </c>
      <c r="R20" s="6"/>
    </row>
    <row r="21" spans="1:18" ht="12.5" x14ac:dyDescent="0.25">
      <c r="A21" s="6" t="str">
        <f ca="1">IFERROR(__xludf.DUMMYFUNCTION("""COMPUTED_VALUE"""),"Sumatera Selatan")</f>
        <v>Sumatera Selatan</v>
      </c>
      <c r="B21" s="6" t="str">
        <f ca="1">IFERROR(__xludf.DUMMYFUNCTION("""COMPUTED_VALUE"""),"Sei Lilin")</f>
        <v>Sei Lilin</v>
      </c>
      <c r="C21" s="6" t="s">
        <v>34</v>
      </c>
      <c r="D21" s="6" t="s">
        <v>109</v>
      </c>
      <c r="E21" s="7" t="s">
        <v>112</v>
      </c>
      <c r="F21" s="6">
        <v>0</v>
      </c>
      <c r="G21" s="6" t="s">
        <v>110</v>
      </c>
      <c r="H21" s="6"/>
      <c r="I21" s="6">
        <v>1</v>
      </c>
      <c r="J21" s="6"/>
      <c r="K21" s="6"/>
      <c r="L21" s="6"/>
      <c r="M21" s="6"/>
      <c r="N21" s="6"/>
      <c r="O21" s="6" t="s">
        <v>144</v>
      </c>
      <c r="P21" s="6">
        <v>30</v>
      </c>
      <c r="Q21" s="6"/>
      <c r="R21" s="6"/>
    </row>
    <row r="22" spans="1:18" ht="12.5" x14ac:dyDescent="0.25">
      <c r="A22" s="6" t="str">
        <f ca="1">IFERROR(__xludf.DUMMYFUNCTION("""COMPUTED_VALUE"""),"Bengkulu")</f>
        <v>Bengkulu</v>
      </c>
      <c r="B22" s="6" t="str">
        <f ca="1">IFERROR(__xludf.DUMMYFUNCTION("""COMPUTED_VALUE"""),"Pulau Baai")</f>
        <v>Pulau Baai</v>
      </c>
      <c r="C22" s="6" t="s">
        <v>35</v>
      </c>
      <c r="D22" s="6" t="s">
        <v>106</v>
      </c>
      <c r="E22" s="7"/>
      <c r="F22" s="6"/>
      <c r="G22" s="6" t="s">
        <v>107</v>
      </c>
      <c r="H22" s="6" t="s">
        <v>114</v>
      </c>
      <c r="I22" s="6">
        <v>2</v>
      </c>
      <c r="J22" s="6"/>
      <c r="K22" s="6"/>
      <c r="L22" s="6"/>
      <c r="M22" s="6"/>
      <c r="N22" s="6"/>
      <c r="O22" s="6" t="s">
        <v>144</v>
      </c>
      <c r="P22" s="6">
        <v>30</v>
      </c>
      <c r="Q22" s="6"/>
      <c r="R22" s="6"/>
    </row>
    <row r="23" spans="1:18" ht="12.5" x14ac:dyDescent="0.25">
      <c r="A23" s="6" t="str">
        <f ca="1">IFERROR(__xludf.DUMMYFUNCTION("""COMPUTED_VALUE"""),"Jawa")</f>
        <v>Jawa</v>
      </c>
      <c r="B23" s="6" t="str">
        <f ca="1">IFERROR(__xludf.DUMMYFUNCTION("""COMPUTED_VALUE"""),"Tanjung Priok")</f>
        <v>Tanjung Priok</v>
      </c>
      <c r="C23" s="6" t="s">
        <v>36</v>
      </c>
      <c r="D23" s="6" t="s">
        <v>106</v>
      </c>
      <c r="E23" s="7"/>
      <c r="F23" s="6">
        <v>0</v>
      </c>
      <c r="G23" s="6" t="s">
        <v>107</v>
      </c>
      <c r="H23" s="6"/>
      <c r="I23" s="6">
        <v>1</v>
      </c>
      <c r="J23" s="6"/>
      <c r="K23" s="6"/>
      <c r="L23" s="6"/>
      <c r="M23" s="6"/>
      <c r="N23" s="6"/>
      <c r="O23" s="6" t="s">
        <v>144</v>
      </c>
      <c r="P23" s="6">
        <v>50</v>
      </c>
      <c r="Q23" s="6"/>
      <c r="R23" s="6"/>
    </row>
    <row r="24" spans="1:18" ht="12.5" x14ac:dyDescent="0.25">
      <c r="A24" s="6" t="str">
        <f ca="1">IFERROR(__xludf.DUMMYFUNCTION("""COMPUTED_VALUE"""),"Jawa")</f>
        <v>Jawa</v>
      </c>
      <c r="B24" s="6" t="str">
        <f ca="1">IFERROR(__xludf.DUMMYFUNCTION("""COMPUTED_VALUE"""),"Marunda")</f>
        <v>Marunda</v>
      </c>
      <c r="C24" s="6" t="s">
        <v>37</v>
      </c>
      <c r="D24" s="6" t="s">
        <v>106</v>
      </c>
      <c r="E24" s="7"/>
      <c r="F24" s="6">
        <v>0</v>
      </c>
      <c r="G24" s="6" t="s">
        <v>107</v>
      </c>
      <c r="H24" s="6"/>
      <c r="I24" s="6">
        <v>2</v>
      </c>
      <c r="J24" s="6"/>
      <c r="K24" s="6"/>
      <c r="L24" s="6"/>
      <c r="M24" s="6"/>
      <c r="N24" s="6"/>
      <c r="O24" s="6" t="s">
        <v>144</v>
      </c>
      <c r="P24" s="6">
        <v>50</v>
      </c>
      <c r="Q24" s="6"/>
      <c r="R24" s="6"/>
    </row>
    <row r="25" spans="1:18" ht="12.5" x14ac:dyDescent="0.25">
      <c r="A25" s="6" t="str">
        <f ca="1">IFERROR(__xludf.DUMMYFUNCTION("""COMPUTED_VALUE"""),"Jawa")</f>
        <v>Jawa</v>
      </c>
      <c r="B25" s="6" t="str">
        <f ca="1">IFERROR(__xludf.DUMMYFUNCTION("""COMPUTED_VALUE"""),"Surabaya")</f>
        <v>Surabaya</v>
      </c>
      <c r="C25" s="6" t="s">
        <v>38</v>
      </c>
      <c r="D25" s="6" t="s">
        <v>106</v>
      </c>
      <c r="E25" s="7"/>
      <c r="F25" s="6">
        <v>0</v>
      </c>
      <c r="G25" s="6" t="s">
        <v>107</v>
      </c>
      <c r="H25" s="6"/>
      <c r="I25" s="6">
        <v>1</v>
      </c>
      <c r="J25" s="6"/>
      <c r="K25" s="6"/>
      <c r="L25" s="6"/>
      <c r="M25" s="6"/>
      <c r="N25" s="6"/>
      <c r="O25" s="6" t="s">
        <v>144</v>
      </c>
      <c r="P25" s="6">
        <v>50</v>
      </c>
      <c r="Q25" s="6"/>
      <c r="R25" s="6"/>
    </row>
    <row r="26" spans="1:18" ht="12.5" x14ac:dyDescent="0.25">
      <c r="A26" s="6" t="str">
        <f ca="1">IFERROR(__xludf.DUMMYFUNCTION("""COMPUTED_VALUE"""),"Kalimantan Barat")</f>
        <v>Kalimantan Barat</v>
      </c>
      <c r="B26" s="6" t="str">
        <f ca="1">IFERROR(__xludf.DUMMYFUNCTION("""COMPUTED_VALUE"""),"Tanjung Pura")</f>
        <v>Tanjung Pura</v>
      </c>
      <c r="C26" s="6" t="s">
        <v>39</v>
      </c>
      <c r="D26" s="6" t="s">
        <v>106</v>
      </c>
      <c r="E26" s="7"/>
      <c r="F26" s="6">
        <v>0</v>
      </c>
      <c r="G26" s="6" t="s">
        <v>107</v>
      </c>
      <c r="H26" s="6" t="s">
        <v>114</v>
      </c>
      <c r="I26" s="6">
        <v>2</v>
      </c>
      <c r="J26" s="6"/>
      <c r="K26" s="6"/>
      <c r="L26" s="6"/>
      <c r="M26" s="6"/>
      <c r="N26" s="6"/>
      <c r="O26" s="6" t="s">
        <v>144</v>
      </c>
      <c r="P26" s="6">
        <v>50</v>
      </c>
      <c r="Q26" s="6"/>
      <c r="R26" s="6"/>
    </row>
    <row r="27" spans="1:18" ht="12.5" x14ac:dyDescent="0.25">
      <c r="A27" s="6" t="str">
        <f ca="1">IFERROR(__xludf.DUMMYFUNCTION("""COMPUTED_VALUE"""),"Kalimantan Barat")</f>
        <v>Kalimantan Barat</v>
      </c>
      <c r="B27" s="6" t="str">
        <f ca="1">IFERROR(__xludf.DUMMYFUNCTION("""COMPUTED_VALUE"""),"Wajok")</f>
        <v>Wajok</v>
      </c>
      <c r="C27" s="6" t="s">
        <v>40</v>
      </c>
      <c r="D27" s="6" t="s">
        <v>109</v>
      </c>
      <c r="E27" s="7" t="s">
        <v>115</v>
      </c>
      <c r="F27" s="6">
        <v>0</v>
      </c>
      <c r="G27" s="6" t="s">
        <v>110</v>
      </c>
      <c r="H27" s="6"/>
      <c r="I27" s="6">
        <v>1</v>
      </c>
      <c r="J27" s="6"/>
      <c r="K27" s="6"/>
      <c r="L27" s="6"/>
      <c r="M27" s="6"/>
      <c r="N27" s="6"/>
      <c r="O27" s="6" t="s">
        <v>143</v>
      </c>
      <c r="P27" s="6">
        <v>150</v>
      </c>
      <c r="Q27" s="6"/>
      <c r="R27" s="6"/>
    </row>
    <row r="28" spans="1:18" ht="12.5" x14ac:dyDescent="0.25">
      <c r="A28" s="6" t="str">
        <f ca="1">IFERROR(__xludf.DUMMYFUNCTION("""COMPUTED_VALUE"""),"Kalimantan Barat")</f>
        <v>Kalimantan Barat</v>
      </c>
      <c r="B28" s="6" t="str">
        <f ca="1">IFERROR(__xludf.DUMMYFUNCTION("""COMPUTED_VALUE"""),"Sintete")</f>
        <v>Sintete</v>
      </c>
      <c r="C28" s="6" t="s">
        <v>41</v>
      </c>
      <c r="D28" s="6" t="s">
        <v>109</v>
      </c>
      <c r="E28" s="7" t="s">
        <v>116</v>
      </c>
      <c r="F28" s="6">
        <v>0</v>
      </c>
      <c r="G28" s="6" t="s">
        <v>107</v>
      </c>
      <c r="H28" s="6"/>
      <c r="I28" s="6">
        <v>2</v>
      </c>
      <c r="J28" s="6"/>
      <c r="K28" s="6"/>
      <c r="L28" s="6"/>
      <c r="M28" s="6"/>
      <c r="N28" s="6"/>
      <c r="O28" s="6" t="s">
        <v>144</v>
      </c>
      <c r="P28" s="6">
        <v>50</v>
      </c>
      <c r="Q28" s="6"/>
      <c r="R28" s="6"/>
    </row>
    <row r="29" spans="1:18" ht="12.5" x14ac:dyDescent="0.25">
      <c r="A29" s="6" t="str">
        <f ca="1">IFERROR(__xludf.DUMMYFUNCTION("""COMPUTED_VALUE"""),"Kalimantan Barat")</f>
        <v>Kalimantan Barat</v>
      </c>
      <c r="B29" s="6" t="str">
        <f ca="1">IFERROR(__xludf.DUMMYFUNCTION("""COMPUTED_VALUE"""),"Sukalanting")</f>
        <v>Sukalanting</v>
      </c>
      <c r="C29" s="6" t="s">
        <v>42</v>
      </c>
      <c r="D29" s="6" t="s">
        <v>109</v>
      </c>
      <c r="E29" s="7" t="s">
        <v>117</v>
      </c>
      <c r="F29" s="6">
        <v>2</v>
      </c>
      <c r="G29" s="6" t="s">
        <v>110</v>
      </c>
      <c r="H29" s="6"/>
      <c r="I29" s="6">
        <v>1</v>
      </c>
      <c r="J29" s="6"/>
      <c r="K29" s="6"/>
      <c r="L29" s="6"/>
      <c r="M29" s="6"/>
      <c r="N29" s="6"/>
      <c r="O29" s="6" t="s">
        <v>143</v>
      </c>
      <c r="P29" s="6">
        <v>150</v>
      </c>
      <c r="Q29" s="6"/>
      <c r="R29" s="6"/>
    </row>
    <row r="30" spans="1:18" ht="12.5" x14ac:dyDescent="0.25">
      <c r="A30" s="6" t="str">
        <f ca="1">IFERROR(__xludf.DUMMYFUNCTION("""COMPUTED_VALUE"""),"Kalimantan Barat")</f>
        <v>Kalimantan Barat</v>
      </c>
      <c r="B30" s="6" t="str">
        <f ca="1">IFERROR(__xludf.DUMMYFUNCTION("""COMPUTED_VALUE"""),"Kubu")</f>
        <v>Kubu</v>
      </c>
      <c r="C30" s="6" t="s">
        <v>43</v>
      </c>
      <c r="D30" s="6" t="s">
        <v>109</v>
      </c>
      <c r="E30" s="7" t="s">
        <v>118</v>
      </c>
      <c r="F30" s="6">
        <v>0</v>
      </c>
      <c r="G30" s="6" t="s">
        <v>110</v>
      </c>
      <c r="H30" s="6"/>
      <c r="I30" s="6">
        <v>2</v>
      </c>
      <c r="J30" s="6"/>
      <c r="K30" s="6"/>
      <c r="L30" s="6"/>
      <c r="M30" s="6"/>
      <c r="N30" s="6"/>
      <c r="O30" s="6" t="s">
        <v>143</v>
      </c>
      <c r="P30" s="6">
        <v>20</v>
      </c>
      <c r="Q30" s="6"/>
      <c r="R30" s="6"/>
    </row>
    <row r="31" spans="1:18" ht="12.5" x14ac:dyDescent="0.25">
      <c r="A31" s="6" t="str">
        <f ca="1">IFERROR(__xludf.DUMMYFUNCTION("""COMPUTED_VALUE"""),"Kalimantan Barat")</f>
        <v>Kalimantan Barat</v>
      </c>
      <c r="B31" s="6" t="str">
        <f ca="1">IFERROR(__xludf.DUMMYFUNCTION("""COMPUTED_VALUE"""),"Air Hitam")</f>
        <v>Air Hitam</v>
      </c>
      <c r="C31" s="6" t="s">
        <v>44</v>
      </c>
      <c r="D31" s="6" t="s">
        <v>109</v>
      </c>
      <c r="E31" s="7" t="s">
        <v>119</v>
      </c>
      <c r="F31" s="6">
        <v>0</v>
      </c>
      <c r="G31" s="6" t="s">
        <v>110</v>
      </c>
      <c r="H31" s="6"/>
      <c r="I31" s="6">
        <v>1</v>
      </c>
      <c r="J31" s="6"/>
      <c r="K31" s="6"/>
      <c r="L31" s="6"/>
      <c r="M31" s="6"/>
      <c r="N31" s="6"/>
      <c r="O31" s="6" t="s">
        <v>144</v>
      </c>
      <c r="P31" s="6">
        <v>30</v>
      </c>
      <c r="Q31" s="6"/>
      <c r="R31" s="6"/>
    </row>
    <row r="32" spans="1:18" ht="12.5" x14ac:dyDescent="0.25">
      <c r="A32" s="6" t="str">
        <f ca="1">IFERROR(__xludf.DUMMYFUNCTION("""COMPUTED_VALUE"""),"Kalimantan Barat")</f>
        <v>Kalimantan Barat</v>
      </c>
      <c r="B32" s="6" t="str">
        <f ca="1">IFERROR(__xludf.DUMMYFUNCTION("""COMPUTED_VALUE"""),"Tayan")</f>
        <v>Tayan</v>
      </c>
      <c r="C32" s="6" t="s">
        <v>45</v>
      </c>
      <c r="D32" s="6" t="s">
        <v>109</v>
      </c>
      <c r="E32" s="7" t="s">
        <v>120</v>
      </c>
      <c r="F32" s="6">
        <v>0</v>
      </c>
      <c r="G32" s="6" t="s">
        <v>110</v>
      </c>
      <c r="H32" s="6"/>
      <c r="I32" s="6">
        <v>1</v>
      </c>
      <c r="J32" s="6"/>
      <c r="K32" s="6"/>
      <c r="L32" s="6"/>
      <c r="M32" s="6"/>
      <c r="N32" s="6"/>
      <c r="O32" s="6" t="s">
        <v>143</v>
      </c>
      <c r="P32" s="6">
        <v>150</v>
      </c>
      <c r="Q32" s="6"/>
      <c r="R32" s="6"/>
    </row>
    <row r="33" spans="1:18" ht="12.5" x14ac:dyDescent="0.25">
      <c r="A33" s="6" t="str">
        <f ca="1">IFERROR(__xludf.DUMMYFUNCTION("""COMPUTED_VALUE"""),"Kalimantan Barat")</f>
        <v>Kalimantan Barat</v>
      </c>
      <c r="B33" s="6" t="str">
        <f ca="1">IFERROR(__xludf.DUMMYFUNCTION("""COMPUTED_VALUE"""),"Meliau - Sei Mayam")</f>
        <v>Meliau - Sei Mayam</v>
      </c>
      <c r="C33" s="6" t="s">
        <v>46</v>
      </c>
      <c r="D33" s="6" t="s">
        <v>109</v>
      </c>
      <c r="E33" s="7" t="s">
        <v>120</v>
      </c>
      <c r="F33" s="6">
        <v>1</v>
      </c>
      <c r="G33" s="6" t="s">
        <v>110</v>
      </c>
      <c r="H33" s="6"/>
      <c r="I33" s="6">
        <v>1</v>
      </c>
      <c r="J33" s="6"/>
      <c r="K33" s="6"/>
      <c r="L33" s="6"/>
      <c r="M33" s="6"/>
      <c r="N33" s="6"/>
      <c r="O33" s="6" t="s">
        <v>143</v>
      </c>
      <c r="P33" s="6">
        <v>150</v>
      </c>
      <c r="Q33" s="6"/>
      <c r="R33" s="6"/>
    </row>
    <row r="34" spans="1:18" ht="12.5" x14ac:dyDescent="0.25">
      <c r="A34" s="6" t="str">
        <f ca="1">IFERROR(__xludf.DUMMYFUNCTION("""COMPUTED_VALUE"""),"Kalimantan Barat")</f>
        <v>Kalimantan Barat</v>
      </c>
      <c r="B34" s="6" t="str">
        <f ca="1">IFERROR(__xludf.DUMMYFUNCTION("""COMPUTED_VALUE"""),"Korek (PLK)")</f>
        <v>Korek (PLK)</v>
      </c>
      <c r="C34" s="6" t="s">
        <v>47</v>
      </c>
      <c r="D34" s="6" t="s">
        <v>109</v>
      </c>
      <c r="E34" s="7" t="s">
        <v>120</v>
      </c>
      <c r="F34" s="6">
        <v>1</v>
      </c>
      <c r="G34" s="6" t="s">
        <v>110</v>
      </c>
      <c r="H34" s="6"/>
      <c r="I34" s="6">
        <v>1</v>
      </c>
      <c r="J34" s="6"/>
      <c r="K34" s="6"/>
      <c r="L34" s="6"/>
      <c r="M34" s="6"/>
      <c r="N34" s="6"/>
      <c r="O34" s="6" t="s">
        <v>143</v>
      </c>
      <c r="P34" s="6">
        <v>150</v>
      </c>
      <c r="Q34" s="6"/>
      <c r="R34" s="6"/>
    </row>
    <row r="35" spans="1:18" ht="12.5" x14ac:dyDescent="0.25">
      <c r="A35" s="6" t="str">
        <f ca="1">IFERROR(__xludf.DUMMYFUNCTION("""COMPUTED_VALUE"""),"Kalimantan Barat")</f>
        <v>Kalimantan Barat</v>
      </c>
      <c r="B35" s="6" t="str">
        <f ca="1">IFERROR(__xludf.DUMMYFUNCTION("""COMPUTED_VALUE"""),"Rimba Belian")</f>
        <v>Rimba Belian</v>
      </c>
      <c r="C35" s="6" t="s">
        <v>48</v>
      </c>
      <c r="D35" s="6" t="s">
        <v>109</v>
      </c>
      <c r="E35" s="7" t="s">
        <v>120</v>
      </c>
      <c r="F35" s="6">
        <v>1</v>
      </c>
      <c r="G35" s="6" t="s">
        <v>110</v>
      </c>
      <c r="H35" s="6"/>
      <c r="I35" s="6">
        <v>1</v>
      </c>
      <c r="J35" s="6"/>
      <c r="K35" s="6"/>
      <c r="L35" s="6"/>
      <c r="M35" s="6"/>
      <c r="N35" s="6"/>
      <c r="O35" s="6" t="s">
        <v>144</v>
      </c>
      <c r="P35" s="6">
        <v>30</v>
      </c>
      <c r="Q35" s="6"/>
      <c r="R35" s="6"/>
    </row>
    <row r="36" spans="1:18" ht="12.5" x14ac:dyDescent="0.25">
      <c r="A36" s="6" t="str">
        <f ca="1">IFERROR(__xludf.DUMMYFUNCTION("""COMPUTED_VALUE"""),"Kalimantan Barat")</f>
        <v>Kalimantan Barat</v>
      </c>
      <c r="B36" s="6" t="str">
        <f ca="1">IFERROR(__xludf.DUMMYFUNCTION("""COMPUTED_VALUE"""),"Mensiku")</f>
        <v>Mensiku</v>
      </c>
      <c r="C36" s="6" t="s">
        <v>49</v>
      </c>
      <c r="D36" s="6" t="s">
        <v>109</v>
      </c>
      <c r="E36" s="7"/>
      <c r="F36" s="6">
        <v>1</v>
      </c>
      <c r="G36" s="6" t="s">
        <v>110</v>
      </c>
      <c r="H36" s="6"/>
      <c r="I36" s="6">
        <v>1</v>
      </c>
      <c r="J36" s="6"/>
      <c r="K36" s="6"/>
      <c r="L36" s="6"/>
      <c r="M36" s="6"/>
      <c r="N36" s="6"/>
      <c r="O36" s="6" t="s">
        <v>143</v>
      </c>
      <c r="P36" s="6">
        <v>150</v>
      </c>
      <c r="Q36" s="6"/>
      <c r="R36" s="6"/>
    </row>
    <row r="37" spans="1:18" ht="12.5" x14ac:dyDescent="0.25">
      <c r="A37" s="6" t="str">
        <f ca="1">IFERROR(__xludf.DUMMYFUNCTION("""COMPUTED_VALUE"""),"Kalimantan Barat")</f>
        <v>Kalimantan Barat</v>
      </c>
      <c r="B37" s="6" t="str">
        <f ca="1">IFERROR(__xludf.DUMMYFUNCTION("""COMPUTED_VALUE"""),"Sanggau")</f>
        <v>Sanggau</v>
      </c>
      <c r="C37" s="6" t="s">
        <v>50</v>
      </c>
      <c r="D37" s="6" t="s">
        <v>109</v>
      </c>
      <c r="E37" s="7" t="s">
        <v>121</v>
      </c>
      <c r="F37" s="6">
        <v>1</v>
      </c>
      <c r="G37" s="6" t="s">
        <v>110</v>
      </c>
      <c r="H37" s="6"/>
      <c r="I37" s="6">
        <v>1</v>
      </c>
      <c r="J37" s="6"/>
      <c r="K37" s="6"/>
      <c r="L37" s="6"/>
      <c r="M37" s="6"/>
      <c r="N37" s="6"/>
      <c r="O37" s="6" t="s">
        <v>144</v>
      </c>
      <c r="P37" s="6">
        <v>30</v>
      </c>
      <c r="Q37" s="6"/>
      <c r="R37" s="6"/>
    </row>
    <row r="38" spans="1:18" ht="12.5" x14ac:dyDescent="0.25">
      <c r="A38" s="6" t="str">
        <f ca="1">IFERROR(__xludf.DUMMYFUNCTION("""COMPUTED_VALUE"""),"Kalimantan Barat")</f>
        <v>Kalimantan Barat</v>
      </c>
      <c r="B38" s="6" t="str">
        <f ca="1">IFERROR(__xludf.DUMMYFUNCTION("""COMPUTED_VALUE"""),"Sekadau")</f>
        <v>Sekadau</v>
      </c>
      <c r="C38" s="6"/>
      <c r="D38" s="6" t="s">
        <v>109</v>
      </c>
      <c r="E38" s="7" t="s">
        <v>122</v>
      </c>
      <c r="F38" s="6">
        <v>1</v>
      </c>
      <c r="G38" s="6" t="s">
        <v>110</v>
      </c>
      <c r="H38" s="6"/>
      <c r="I38" s="6">
        <v>1</v>
      </c>
      <c r="J38" s="6"/>
      <c r="K38" s="6"/>
      <c r="L38" s="6"/>
      <c r="M38" s="6"/>
      <c r="N38" s="6"/>
      <c r="O38" s="6" t="s">
        <v>144</v>
      </c>
      <c r="P38" s="6">
        <v>30</v>
      </c>
      <c r="Q38" s="6"/>
      <c r="R38" s="6"/>
    </row>
    <row r="39" spans="1:18" ht="12.5" x14ac:dyDescent="0.25">
      <c r="A39" s="6" t="str">
        <f ca="1">IFERROR(__xludf.DUMMYFUNCTION("""COMPUTED_VALUE"""),"Kalimantan Barat")</f>
        <v>Kalimantan Barat</v>
      </c>
      <c r="B39" s="6" t="str">
        <f ca="1">IFERROR(__xludf.DUMMYFUNCTION("""COMPUTED_VALUE"""),"Belitang")</f>
        <v>Belitang</v>
      </c>
      <c r="C39" s="6" t="s">
        <v>51</v>
      </c>
      <c r="D39" s="6" t="s">
        <v>109</v>
      </c>
      <c r="E39" s="7" t="s">
        <v>119</v>
      </c>
      <c r="F39" s="6">
        <v>2</v>
      </c>
      <c r="G39" s="6" t="s">
        <v>110</v>
      </c>
      <c r="H39" s="6"/>
      <c r="I39" s="6">
        <v>2</v>
      </c>
      <c r="J39" s="6"/>
      <c r="K39" s="6"/>
      <c r="L39" s="6"/>
      <c r="M39" s="6"/>
      <c r="N39" s="6"/>
      <c r="O39" s="6" t="s">
        <v>144</v>
      </c>
      <c r="P39" s="6">
        <v>21</v>
      </c>
      <c r="Q39" s="6"/>
      <c r="R39" s="6"/>
    </row>
    <row r="40" spans="1:18" ht="12.5" x14ac:dyDescent="0.25">
      <c r="A40" s="6" t="str">
        <f ca="1">IFERROR(__xludf.DUMMYFUNCTION("""COMPUTED_VALUE"""),"Kalimantan Barat")</f>
        <v>Kalimantan Barat</v>
      </c>
      <c r="B40" s="6" t="str">
        <f ca="1">IFERROR(__xludf.DUMMYFUNCTION("""COMPUTED_VALUE"""),"Sintang")</f>
        <v>Sintang</v>
      </c>
      <c r="C40" s="6" t="s">
        <v>52</v>
      </c>
      <c r="D40" s="6" t="s">
        <v>109</v>
      </c>
      <c r="E40" s="7" t="s">
        <v>123</v>
      </c>
      <c r="F40" s="6">
        <v>1</v>
      </c>
      <c r="G40" s="6" t="s">
        <v>110</v>
      </c>
      <c r="H40" s="6"/>
      <c r="I40" s="6">
        <v>1</v>
      </c>
      <c r="J40" s="6"/>
      <c r="K40" s="6"/>
      <c r="L40" s="6"/>
      <c r="M40" s="6"/>
      <c r="N40" s="6"/>
      <c r="O40" s="6" t="s">
        <v>144</v>
      </c>
      <c r="P40" s="6">
        <v>30</v>
      </c>
      <c r="Q40" s="6"/>
      <c r="R40" s="6"/>
    </row>
    <row r="41" spans="1:18" ht="12.5" x14ac:dyDescent="0.25">
      <c r="A41" s="6" t="str">
        <f ca="1">IFERROR(__xludf.DUMMYFUNCTION("""COMPUTED_VALUE"""),"Kalimantan Barat")</f>
        <v>Kalimantan Barat</v>
      </c>
      <c r="B41" s="6" t="str">
        <f ca="1">IFERROR(__xludf.DUMMYFUNCTION("""COMPUTED_VALUE"""),"Nanga Ketungau")</f>
        <v>Nanga Ketungau</v>
      </c>
      <c r="C41" s="6" t="s">
        <v>53</v>
      </c>
      <c r="D41" s="6" t="s">
        <v>109</v>
      </c>
      <c r="E41" s="7" t="s">
        <v>123</v>
      </c>
      <c r="F41" s="6">
        <v>1</v>
      </c>
      <c r="G41" s="6" t="s">
        <v>110</v>
      </c>
      <c r="H41" s="6"/>
      <c r="I41" s="6">
        <v>1</v>
      </c>
      <c r="J41" s="6"/>
      <c r="K41" s="6"/>
      <c r="L41" s="6"/>
      <c r="M41" s="6"/>
      <c r="N41" s="6"/>
      <c r="O41" s="6" t="s">
        <v>143</v>
      </c>
      <c r="P41" s="6">
        <v>150</v>
      </c>
      <c r="Q41" s="6"/>
      <c r="R41" s="6"/>
    </row>
    <row r="42" spans="1:18" ht="12.5" x14ac:dyDescent="0.25">
      <c r="A42" s="6" t="str">
        <f ca="1">IFERROR(__xludf.DUMMYFUNCTION("""COMPUTED_VALUE"""),"Kalimantan Barat")</f>
        <v>Kalimantan Barat</v>
      </c>
      <c r="B42" s="6" t="str">
        <f ca="1">IFERROR(__xludf.DUMMYFUNCTION("""COMPUTED_VALUE"""),"Kayong Utara")</f>
        <v>Kayong Utara</v>
      </c>
      <c r="C42" s="6" t="s">
        <v>54</v>
      </c>
      <c r="D42" s="6" t="s">
        <v>109</v>
      </c>
      <c r="E42" s="7" t="s">
        <v>124</v>
      </c>
      <c r="F42" s="6">
        <v>1</v>
      </c>
      <c r="G42" s="6" t="s">
        <v>110</v>
      </c>
      <c r="H42" s="6"/>
      <c r="I42" s="6">
        <v>1</v>
      </c>
      <c r="J42" s="6"/>
      <c r="K42" s="6"/>
      <c r="L42" s="6"/>
      <c r="M42" s="6"/>
      <c r="N42" s="6"/>
      <c r="O42" s="6" t="s">
        <v>144</v>
      </c>
      <c r="P42" s="6">
        <v>25</v>
      </c>
      <c r="Q42" s="6"/>
      <c r="R42" s="6"/>
    </row>
    <row r="43" spans="1:18" ht="12.5" x14ac:dyDescent="0.25">
      <c r="A43" s="6" t="str">
        <f ca="1">IFERROR(__xludf.DUMMYFUNCTION("""COMPUTED_VALUE"""),"Kalimantan Barat")</f>
        <v>Kalimantan Barat</v>
      </c>
      <c r="B43" s="6" t="str">
        <f ca="1">IFERROR(__xludf.DUMMYFUNCTION("""COMPUTED_VALUE"""),"Sei Matan")</f>
        <v>Sei Matan</v>
      </c>
      <c r="C43" s="6"/>
      <c r="D43" s="6" t="s">
        <v>109</v>
      </c>
      <c r="E43" s="7"/>
      <c r="F43" s="6">
        <v>1</v>
      </c>
      <c r="G43" s="6" t="s">
        <v>110</v>
      </c>
      <c r="H43" s="6"/>
      <c r="I43" s="6">
        <v>1</v>
      </c>
      <c r="J43" s="6"/>
      <c r="K43" s="6"/>
      <c r="L43" s="6"/>
      <c r="M43" s="6"/>
      <c r="N43" s="6"/>
      <c r="O43" s="6" t="s">
        <v>144</v>
      </c>
      <c r="P43" s="6">
        <v>30</v>
      </c>
      <c r="Q43" s="6"/>
      <c r="R43" s="6"/>
    </row>
    <row r="44" spans="1:18" ht="12.5" x14ac:dyDescent="0.25">
      <c r="A44" s="6" t="str">
        <f ca="1">IFERROR(__xludf.DUMMYFUNCTION("""COMPUTED_VALUE"""),"Kalimantan Barat")</f>
        <v>Kalimantan Barat</v>
      </c>
      <c r="B44" s="6" t="str">
        <f ca="1">IFERROR(__xludf.DUMMYFUNCTION("""COMPUTED_VALUE"""),"Kendawangan")</f>
        <v>Kendawangan</v>
      </c>
      <c r="C44" s="6" t="s">
        <v>55</v>
      </c>
      <c r="D44" s="6" t="s">
        <v>109</v>
      </c>
      <c r="E44" s="7" t="s">
        <v>125</v>
      </c>
      <c r="F44" s="6">
        <v>1</v>
      </c>
      <c r="G44" s="6" t="s">
        <v>110</v>
      </c>
      <c r="H44" s="6"/>
      <c r="I44" s="6">
        <v>1</v>
      </c>
      <c r="J44" s="6"/>
      <c r="K44" s="6"/>
      <c r="L44" s="6"/>
      <c r="M44" s="6"/>
      <c r="N44" s="6"/>
      <c r="O44" s="6" t="s">
        <v>143</v>
      </c>
      <c r="P44" s="6">
        <v>150</v>
      </c>
      <c r="Q44" s="6"/>
      <c r="R44" s="6"/>
    </row>
    <row r="45" spans="1:18" ht="12.5" x14ac:dyDescent="0.25">
      <c r="A45" s="6" t="str">
        <f ca="1">IFERROR(__xludf.DUMMYFUNCTION("""COMPUTED_VALUE"""),"Kalimantan Barat")</f>
        <v>Kalimantan Barat</v>
      </c>
      <c r="B45" s="6" t="str">
        <f ca="1">IFERROR(__xludf.DUMMYFUNCTION("""COMPUTED_VALUE"""),"Kelampai")</f>
        <v>Kelampai</v>
      </c>
      <c r="C45" s="6" t="s">
        <v>56</v>
      </c>
      <c r="D45" s="6" t="s">
        <v>109</v>
      </c>
      <c r="E45" s="7" t="s">
        <v>126</v>
      </c>
      <c r="F45" s="6">
        <v>0</v>
      </c>
      <c r="G45" s="6" t="s">
        <v>110</v>
      </c>
      <c r="H45" s="6"/>
      <c r="I45" s="6">
        <v>2</v>
      </c>
      <c r="J45" s="6"/>
      <c r="K45" s="6"/>
      <c r="L45" s="6"/>
      <c r="M45" s="6"/>
      <c r="N45" s="6"/>
      <c r="O45" s="6" t="s">
        <v>144</v>
      </c>
      <c r="P45" s="6">
        <v>50</v>
      </c>
      <c r="Q45" s="6"/>
      <c r="R45" s="6"/>
    </row>
    <row r="46" spans="1:18" ht="12.5" x14ac:dyDescent="0.25">
      <c r="A46" s="6" t="str">
        <f ca="1">IFERROR(__xludf.DUMMYFUNCTION("""COMPUTED_VALUE"""),"Kalimantan Barat")</f>
        <v>Kalimantan Barat</v>
      </c>
      <c r="B46" s="6" t="str">
        <f ca="1">IFERROR(__xludf.DUMMYFUNCTION("""COMPUTED_VALUE"""),"Ketapang")</f>
        <v>Ketapang</v>
      </c>
      <c r="C46" s="6" t="s">
        <v>57</v>
      </c>
      <c r="D46" s="6" t="s">
        <v>109</v>
      </c>
      <c r="E46" s="7" t="s">
        <v>118</v>
      </c>
      <c r="F46" s="6">
        <v>0</v>
      </c>
      <c r="G46" s="6" t="s">
        <v>110</v>
      </c>
      <c r="H46" s="6"/>
      <c r="I46" s="6">
        <v>2</v>
      </c>
      <c r="J46" s="6"/>
      <c r="K46" s="6"/>
      <c r="L46" s="6"/>
      <c r="M46" s="6"/>
      <c r="N46" s="6"/>
      <c r="O46" s="6" t="s">
        <v>143</v>
      </c>
      <c r="P46" s="6">
        <v>150</v>
      </c>
      <c r="Q46" s="6"/>
      <c r="R46" s="6"/>
    </row>
    <row r="47" spans="1:18" ht="12.5" x14ac:dyDescent="0.25">
      <c r="A47" s="6" t="str">
        <f ca="1">IFERROR(__xludf.DUMMYFUNCTION("""COMPUTED_VALUE"""),"Kalimantan Barat")</f>
        <v>Kalimantan Barat</v>
      </c>
      <c r="B47" s="6" t="str">
        <f ca="1">IFERROR(__xludf.DUMMYFUNCTION("""COMPUTED_VALUE"""),"Ketapang")</f>
        <v>Ketapang</v>
      </c>
      <c r="C47" s="6" t="s">
        <v>58</v>
      </c>
      <c r="D47" s="6" t="s">
        <v>109</v>
      </c>
      <c r="E47" s="7" t="s">
        <v>127</v>
      </c>
      <c r="F47" s="6">
        <v>1</v>
      </c>
      <c r="G47" s="6" t="s">
        <v>110</v>
      </c>
      <c r="H47" s="6"/>
      <c r="I47" s="6">
        <v>1</v>
      </c>
      <c r="J47" s="6"/>
      <c r="K47" s="6"/>
      <c r="L47" s="6"/>
      <c r="M47" s="6"/>
      <c r="N47" s="6"/>
      <c r="O47" s="6" t="s">
        <v>144</v>
      </c>
      <c r="P47" s="6">
        <v>50</v>
      </c>
      <c r="Q47" s="6"/>
      <c r="R47" s="6"/>
    </row>
    <row r="48" spans="1:18" ht="12.5" x14ac:dyDescent="0.25">
      <c r="A48" s="6" t="str">
        <f ca="1">IFERROR(__xludf.DUMMYFUNCTION("""COMPUTED_VALUE"""),"Kalimantan Barat")</f>
        <v>Kalimantan Barat</v>
      </c>
      <c r="B48" s="6" t="str">
        <f ca="1">IFERROR(__xludf.DUMMYFUNCTION("""COMPUTED_VALUE"""),"Matan (Melano)")</f>
        <v>Matan (Melano)</v>
      </c>
      <c r="C48" s="6" t="s">
        <v>58</v>
      </c>
      <c r="D48" s="6" t="s">
        <v>109</v>
      </c>
      <c r="E48" s="7" t="s">
        <v>127</v>
      </c>
      <c r="F48" s="6">
        <v>1</v>
      </c>
      <c r="G48" s="6" t="s">
        <v>110</v>
      </c>
      <c r="H48" s="6"/>
      <c r="I48" s="6">
        <v>1</v>
      </c>
      <c r="J48" s="6"/>
      <c r="K48" s="6"/>
      <c r="L48" s="6"/>
      <c r="M48" s="6"/>
      <c r="N48" s="6"/>
      <c r="O48" s="6" t="s">
        <v>144</v>
      </c>
      <c r="P48" s="6">
        <v>50</v>
      </c>
      <c r="Q48" s="6"/>
      <c r="R48" s="6"/>
    </row>
    <row r="49" spans="1:18" ht="12.5" x14ac:dyDescent="0.25">
      <c r="A49" s="6" t="str">
        <f ca="1">IFERROR(__xludf.DUMMYFUNCTION("""COMPUTED_VALUE"""),"Kalimantan Tengah")</f>
        <v>Kalimantan Tengah</v>
      </c>
      <c r="B49" s="6" t="str">
        <f ca="1">IFERROR(__xludf.DUMMYFUNCTION("""COMPUTED_VALUE"""),"Kumai - TL")</f>
        <v>Kumai - TL</v>
      </c>
      <c r="C49" s="6"/>
      <c r="D49" s="6" t="s">
        <v>109</v>
      </c>
      <c r="E49" s="7" t="s">
        <v>128</v>
      </c>
      <c r="F49" s="6">
        <v>1</v>
      </c>
      <c r="G49" s="6" t="s">
        <v>110</v>
      </c>
      <c r="H49" s="6"/>
      <c r="I49" s="6">
        <v>1</v>
      </c>
      <c r="J49" s="6"/>
      <c r="K49" s="6"/>
      <c r="L49" s="6"/>
      <c r="M49" s="6"/>
      <c r="N49" s="6"/>
      <c r="O49" s="6" t="s">
        <v>144</v>
      </c>
      <c r="P49" s="6">
        <v>50</v>
      </c>
      <c r="Q49" s="6"/>
      <c r="R49" s="6"/>
    </row>
    <row r="50" spans="1:18" ht="12.5" x14ac:dyDescent="0.25">
      <c r="A50" s="6" t="str">
        <f ca="1">IFERROR(__xludf.DUMMYFUNCTION("""COMPUTED_VALUE"""),"Kalimantan Tengah")</f>
        <v>Kalimantan Tengah</v>
      </c>
      <c r="B50" s="6" t="str">
        <f ca="1">IFERROR(__xludf.DUMMYFUNCTION("""COMPUTED_VALUE"""),"Kumai - PL")</f>
        <v>Kumai - PL</v>
      </c>
      <c r="C50" s="6" t="s">
        <v>59</v>
      </c>
      <c r="D50" s="6" t="s">
        <v>109</v>
      </c>
      <c r="E50" s="7" t="s">
        <v>121</v>
      </c>
      <c r="F50" s="6">
        <v>0</v>
      </c>
      <c r="G50" s="6" t="s">
        <v>129</v>
      </c>
      <c r="H50" s="6"/>
      <c r="I50" s="6">
        <v>2</v>
      </c>
      <c r="J50" s="6"/>
      <c r="K50" s="6"/>
      <c r="L50" s="6" t="s">
        <v>145</v>
      </c>
      <c r="M50" s="6"/>
      <c r="N50" s="6"/>
      <c r="O50" s="6" t="s">
        <v>144</v>
      </c>
      <c r="P50" s="6">
        <v>40</v>
      </c>
      <c r="Q50" s="6"/>
      <c r="R50" s="6"/>
    </row>
    <row r="51" spans="1:18" ht="12.5" x14ac:dyDescent="0.25">
      <c r="A51" s="6" t="str">
        <f ca="1">IFERROR(__xludf.DUMMYFUNCTION("""COMPUTED_VALUE"""),"Kalimantan Tengah")</f>
        <v>Kalimantan Tengah</v>
      </c>
      <c r="B51" s="6" t="str">
        <f ca="1">IFERROR(__xludf.DUMMYFUNCTION("""COMPUTED_VALUE"""),"Bagendang - PL")</f>
        <v>Bagendang - PL</v>
      </c>
      <c r="C51" s="6" t="s">
        <v>59</v>
      </c>
      <c r="D51" s="6" t="s">
        <v>109</v>
      </c>
      <c r="E51" s="7" t="s">
        <v>121</v>
      </c>
      <c r="F51" s="6">
        <v>0</v>
      </c>
      <c r="G51" s="6" t="s">
        <v>129</v>
      </c>
      <c r="H51" s="6"/>
      <c r="I51" s="6">
        <v>2</v>
      </c>
      <c r="J51" s="6"/>
      <c r="K51" s="6"/>
      <c r="L51" s="6" t="s">
        <v>145</v>
      </c>
      <c r="M51" s="6"/>
      <c r="N51" s="6"/>
      <c r="O51" s="6" t="s">
        <v>143</v>
      </c>
      <c r="P51" s="6">
        <v>150</v>
      </c>
      <c r="Q51" s="6"/>
      <c r="R51" s="6"/>
    </row>
    <row r="52" spans="1:18" ht="25" x14ac:dyDescent="0.25">
      <c r="A52" s="6" t="str">
        <f ca="1">IFERROR(__xludf.DUMMYFUNCTION("""COMPUTED_VALUE"""),"Kalimantan Tengah")</f>
        <v>Kalimantan Tengah</v>
      </c>
      <c r="B52" s="6" t="str">
        <f ca="1">IFERROR(__xludf.DUMMYFUNCTION("""COMPUTED_VALUE"""),"Bagendang - TL")</f>
        <v>Bagendang - TL</v>
      </c>
      <c r="C52" s="6" t="s">
        <v>60</v>
      </c>
      <c r="D52" s="6" t="s">
        <v>109</v>
      </c>
      <c r="E52" s="7" t="s">
        <v>121</v>
      </c>
      <c r="F52" s="6">
        <v>0</v>
      </c>
      <c r="G52" s="6" t="s">
        <v>107</v>
      </c>
      <c r="H52" s="6" t="s">
        <v>130</v>
      </c>
      <c r="I52" s="6">
        <v>2</v>
      </c>
      <c r="J52" s="6">
        <v>2</v>
      </c>
      <c r="K52" s="6" t="s">
        <v>128</v>
      </c>
      <c r="L52" s="6" t="s">
        <v>146</v>
      </c>
      <c r="M52" s="6">
        <v>6000</v>
      </c>
      <c r="N52" s="6"/>
      <c r="O52" s="6" t="s">
        <v>143</v>
      </c>
      <c r="P52" s="6">
        <v>150</v>
      </c>
      <c r="Q52" s="8" t="s">
        <v>147</v>
      </c>
      <c r="R52" s="6"/>
    </row>
    <row r="53" spans="1:18" ht="25" x14ac:dyDescent="0.25">
      <c r="A53" s="6" t="str">
        <f ca="1">IFERROR(__xludf.DUMMYFUNCTION("""COMPUTED_VALUE"""),"Kalimantan Tengah")</f>
        <v>Kalimantan Tengah</v>
      </c>
      <c r="B53" s="6" t="str">
        <f ca="1">IFERROR(__xludf.DUMMYFUNCTION("""COMPUTED_VALUE"""),"Luwuk Bunter")</f>
        <v>Luwuk Bunter</v>
      </c>
      <c r="C53" s="6" t="s">
        <v>60</v>
      </c>
      <c r="D53" s="6" t="s">
        <v>109</v>
      </c>
      <c r="E53" s="7" t="s">
        <v>121</v>
      </c>
      <c r="F53" s="6">
        <v>0</v>
      </c>
      <c r="G53" s="6" t="s">
        <v>107</v>
      </c>
      <c r="H53" s="6" t="s">
        <v>130</v>
      </c>
      <c r="I53" s="6">
        <v>2</v>
      </c>
      <c r="J53" s="6">
        <v>2</v>
      </c>
      <c r="K53" s="6" t="s">
        <v>128</v>
      </c>
      <c r="L53" s="6" t="s">
        <v>146</v>
      </c>
      <c r="M53" s="6">
        <v>6000</v>
      </c>
      <c r="N53" s="6"/>
      <c r="O53" s="6" t="s">
        <v>144</v>
      </c>
      <c r="P53" s="6">
        <v>50</v>
      </c>
      <c r="Q53" s="8" t="s">
        <v>147</v>
      </c>
      <c r="R53" s="6"/>
    </row>
    <row r="54" spans="1:18" ht="25" x14ac:dyDescent="0.25">
      <c r="A54" s="6" t="str">
        <f ca="1">IFERROR(__xludf.DUMMYFUNCTION("""COMPUTED_VALUE"""),"Kalimantan Tengah")</f>
        <v>Kalimantan Tengah</v>
      </c>
      <c r="B54" s="6" t="str">
        <f ca="1">IFERROR(__xludf.DUMMYFUNCTION("""COMPUTED_VALUE"""),"Kabuau")</f>
        <v>Kabuau</v>
      </c>
      <c r="C54" s="6" t="s">
        <v>60</v>
      </c>
      <c r="D54" s="6" t="s">
        <v>109</v>
      </c>
      <c r="E54" s="7" t="s">
        <v>121</v>
      </c>
      <c r="F54" s="6">
        <v>0</v>
      </c>
      <c r="G54" s="6" t="s">
        <v>107</v>
      </c>
      <c r="H54" s="6" t="s">
        <v>130</v>
      </c>
      <c r="I54" s="6">
        <v>2</v>
      </c>
      <c r="J54" s="6">
        <v>2</v>
      </c>
      <c r="K54" s="6" t="s">
        <v>128</v>
      </c>
      <c r="L54" s="6" t="s">
        <v>146</v>
      </c>
      <c r="M54" s="6">
        <v>6000</v>
      </c>
      <c r="N54" s="6"/>
      <c r="O54" s="6" t="s">
        <v>143</v>
      </c>
      <c r="P54" s="6">
        <v>150</v>
      </c>
      <c r="Q54" s="8" t="s">
        <v>147</v>
      </c>
      <c r="R54" s="6"/>
    </row>
    <row r="55" spans="1:18" ht="12.5" x14ac:dyDescent="0.25">
      <c r="A55" s="6" t="str">
        <f ca="1">IFERROR(__xludf.DUMMYFUNCTION("""COMPUTED_VALUE"""),"Kalimantan Tengah")</f>
        <v>Kalimantan Tengah</v>
      </c>
      <c r="B55" s="6" t="str">
        <f ca="1">IFERROR(__xludf.DUMMYFUNCTION("""COMPUTED_VALUE"""),"Cempaga")</f>
        <v>Cempaga</v>
      </c>
      <c r="C55" s="6"/>
      <c r="D55" s="6" t="s">
        <v>109</v>
      </c>
      <c r="E55" s="7" t="s">
        <v>131</v>
      </c>
      <c r="F55" s="6">
        <v>0</v>
      </c>
      <c r="G55" s="6"/>
      <c r="H55" s="6"/>
      <c r="I55" s="6">
        <v>2</v>
      </c>
      <c r="J55" s="6"/>
      <c r="K55" s="6"/>
      <c r="L55" s="6"/>
      <c r="M55" s="6"/>
      <c r="N55" s="6"/>
      <c r="O55" s="6" t="s">
        <v>144</v>
      </c>
      <c r="P55" s="6">
        <v>45</v>
      </c>
      <c r="Q55" s="6"/>
      <c r="R55" s="6"/>
    </row>
    <row r="56" spans="1:18" ht="12.5" x14ac:dyDescent="0.25">
      <c r="A56" s="6" t="str">
        <f ca="1">IFERROR(__xludf.DUMMYFUNCTION("""COMPUTED_VALUE"""),"Kalimantan Tengah")</f>
        <v>Kalimantan Tengah</v>
      </c>
      <c r="B56" s="6" t="str">
        <f ca="1">IFERROR(__xludf.DUMMYFUNCTION("""COMPUTED_VALUE"""),"Kuala Kapuas")</f>
        <v>Kuala Kapuas</v>
      </c>
      <c r="C56" s="6" t="s">
        <v>61</v>
      </c>
      <c r="D56" s="6" t="s">
        <v>109</v>
      </c>
      <c r="E56" s="7" t="s">
        <v>125</v>
      </c>
      <c r="F56" s="6">
        <v>0</v>
      </c>
      <c r="G56" s="6"/>
      <c r="H56" s="6"/>
      <c r="I56" s="6">
        <v>2</v>
      </c>
      <c r="J56" s="6"/>
      <c r="K56" s="6"/>
      <c r="L56" s="6"/>
      <c r="M56" s="6"/>
      <c r="N56" s="6"/>
      <c r="O56" s="6" t="s">
        <v>144</v>
      </c>
      <c r="P56" s="6">
        <v>30</v>
      </c>
      <c r="Q56" s="6"/>
      <c r="R56" s="6"/>
    </row>
    <row r="57" spans="1:18" ht="12.5" x14ac:dyDescent="0.25">
      <c r="A57" s="6" t="str">
        <f ca="1">IFERROR(__xludf.DUMMYFUNCTION("""COMPUTED_VALUE"""),"Kalimantan Tengah")</f>
        <v>Kalimantan Tengah</v>
      </c>
      <c r="B57" s="6" t="str">
        <f ca="1">IFERROR(__xludf.DUMMYFUNCTION("""COMPUTED_VALUE"""),"Buntok")</f>
        <v>Buntok</v>
      </c>
      <c r="C57" s="6" t="s">
        <v>62</v>
      </c>
      <c r="D57" s="6" t="s">
        <v>109</v>
      </c>
      <c r="E57" s="7" t="s">
        <v>132</v>
      </c>
      <c r="F57" s="6">
        <v>0</v>
      </c>
      <c r="G57" s="6" t="s">
        <v>110</v>
      </c>
      <c r="H57" s="6"/>
      <c r="I57" s="6">
        <v>2</v>
      </c>
      <c r="J57" s="6"/>
      <c r="K57" s="6"/>
      <c r="L57" s="6"/>
      <c r="M57" s="6"/>
      <c r="N57" s="6"/>
      <c r="O57" s="6" t="s">
        <v>144</v>
      </c>
      <c r="P57" s="6">
        <v>30</v>
      </c>
      <c r="Q57" s="6"/>
      <c r="R57" s="6"/>
    </row>
    <row r="58" spans="1:18" ht="12.5" x14ac:dyDescent="0.25">
      <c r="A58" s="6" t="str">
        <f ca="1">IFERROR(__xludf.DUMMYFUNCTION("""COMPUTED_VALUE"""),"Kalimantan Selatan")</f>
        <v>Kalimantan Selatan</v>
      </c>
      <c r="B58" s="6" t="str">
        <f ca="1">IFERROR(__xludf.DUMMYFUNCTION("""COMPUTED_VALUE"""),"Satui")</f>
        <v>Satui</v>
      </c>
      <c r="C58" s="6" t="s">
        <v>63</v>
      </c>
      <c r="D58" s="6" t="s">
        <v>109</v>
      </c>
      <c r="E58" s="7" t="s">
        <v>133</v>
      </c>
      <c r="F58" s="6">
        <v>0</v>
      </c>
      <c r="G58" s="6" t="s">
        <v>110</v>
      </c>
      <c r="H58" s="6"/>
      <c r="I58" s="6">
        <v>2</v>
      </c>
      <c r="J58" s="6"/>
      <c r="K58" s="6"/>
      <c r="L58" s="6"/>
      <c r="M58" s="6">
        <v>4000</v>
      </c>
      <c r="N58" s="6"/>
      <c r="O58" s="6" t="s">
        <v>144</v>
      </c>
      <c r="P58" s="6">
        <v>30</v>
      </c>
      <c r="Q58" s="6"/>
      <c r="R58" s="6"/>
    </row>
    <row r="59" spans="1:18" ht="12.5" x14ac:dyDescent="0.25">
      <c r="A59" s="6" t="str">
        <f ca="1">IFERROR(__xludf.DUMMYFUNCTION("""COMPUTED_VALUE"""),"Kalimantan Selatan")</f>
        <v>Kalimantan Selatan</v>
      </c>
      <c r="B59" s="6" t="str">
        <f ca="1">IFERROR(__xludf.DUMMYFUNCTION("""COMPUTED_VALUE"""),"Marabahan")</f>
        <v>Marabahan</v>
      </c>
      <c r="C59" s="6" t="s">
        <v>64</v>
      </c>
      <c r="D59" s="6" t="s">
        <v>109</v>
      </c>
      <c r="E59" s="7" t="s">
        <v>134</v>
      </c>
      <c r="F59" s="6">
        <v>0</v>
      </c>
      <c r="G59" s="6" t="s">
        <v>107</v>
      </c>
      <c r="H59" s="6"/>
      <c r="I59" s="6">
        <v>1</v>
      </c>
      <c r="J59" s="6"/>
      <c r="K59" s="6"/>
      <c r="L59" s="6"/>
      <c r="M59" s="6"/>
      <c r="N59" s="6"/>
      <c r="O59" s="6" t="s">
        <v>144</v>
      </c>
      <c r="P59" s="6">
        <v>50</v>
      </c>
      <c r="Q59" s="6"/>
      <c r="R59" s="6"/>
    </row>
    <row r="60" spans="1:18" ht="12.5" x14ac:dyDescent="0.25">
      <c r="A60" s="6" t="str">
        <f ca="1">IFERROR(__xludf.DUMMYFUNCTION("""COMPUTED_VALUE"""),"Kalimantan Selatan")</f>
        <v>Kalimantan Selatan</v>
      </c>
      <c r="B60" s="6" t="str">
        <f ca="1">IFERROR(__xludf.DUMMYFUNCTION("""COMPUTED_VALUE"""),"Tapin")</f>
        <v>Tapin</v>
      </c>
      <c r="C60" s="6" t="s">
        <v>65</v>
      </c>
      <c r="D60" s="6" t="s">
        <v>109</v>
      </c>
      <c r="E60" s="7" t="s">
        <v>135</v>
      </c>
      <c r="F60" s="6">
        <v>0</v>
      </c>
      <c r="G60" s="6" t="s">
        <v>110</v>
      </c>
      <c r="H60" s="6"/>
      <c r="I60" s="6">
        <v>2</v>
      </c>
      <c r="J60" s="6"/>
      <c r="K60" s="6"/>
      <c r="L60" s="6"/>
      <c r="M60" s="6"/>
      <c r="N60" s="6"/>
      <c r="O60" s="6" t="s">
        <v>144</v>
      </c>
      <c r="P60" s="6">
        <v>30</v>
      </c>
      <c r="Q60" s="6"/>
      <c r="R60" s="6"/>
    </row>
    <row r="61" spans="1:18" ht="12.5" x14ac:dyDescent="0.25">
      <c r="A61" s="6" t="str">
        <f ca="1">IFERROR(__xludf.DUMMYFUNCTION("""COMPUTED_VALUE"""),"Kalimantan Selatan")</f>
        <v>Kalimantan Selatan</v>
      </c>
      <c r="B61" s="6" t="str">
        <f ca="1">IFERROR(__xludf.DUMMYFUNCTION("""COMPUTED_VALUE"""),"Pulau Laut")</f>
        <v>Pulau Laut</v>
      </c>
      <c r="C61" s="6" t="s">
        <v>66</v>
      </c>
      <c r="D61" s="6" t="s">
        <v>109</v>
      </c>
      <c r="E61" s="7" t="s">
        <v>136</v>
      </c>
      <c r="F61" s="6">
        <v>0</v>
      </c>
      <c r="G61" s="6" t="s">
        <v>110</v>
      </c>
      <c r="H61" s="6"/>
      <c r="I61" s="6">
        <v>1</v>
      </c>
      <c r="J61" s="6"/>
      <c r="K61" s="6"/>
      <c r="L61" s="6"/>
      <c r="M61" s="6"/>
      <c r="N61" s="6"/>
      <c r="O61" s="6" t="s">
        <v>144</v>
      </c>
      <c r="P61" s="6">
        <v>30</v>
      </c>
      <c r="Q61" s="6"/>
      <c r="R61" s="6"/>
    </row>
    <row r="62" spans="1:18" ht="12.5" x14ac:dyDescent="0.25">
      <c r="A62" s="6" t="str">
        <f ca="1">IFERROR(__xludf.DUMMYFUNCTION("""COMPUTED_VALUE"""),"Kalimantan Timur")</f>
        <v>Kalimantan Timur</v>
      </c>
      <c r="B62" s="6" t="str">
        <f ca="1">IFERROR(__xludf.DUMMYFUNCTION("""COMPUTED_VALUE"""),"Maloy")</f>
        <v>Maloy</v>
      </c>
      <c r="C62" s="6"/>
      <c r="D62" s="6" t="s">
        <v>106</v>
      </c>
      <c r="E62" s="7"/>
      <c r="F62" s="6">
        <v>0</v>
      </c>
      <c r="G62" s="6" t="s">
        <v>110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2.5" x14ac:dyDescent="0.25">
      <c r="A63" s="6" t="str">
        <f ca="1">IFERROR(__xludf.DUMMYFUNCTION("""COMPUTED_VALUE"""),"Kalimantan Timur")</f>
        <v>Kalimantan Timur</v>
      </c>
      <c r="B63" s="6" t="str">
        <f ca="1">IFERROR(__xludf.DUMMYFUNCTION("""COMPUTED_VALUE"""),"Bontang")</f>
        <v>Bontang</v>
      </c>
      <c r="C63" s="6" t="s">
        <v>67</v>
      </c>
      <c r="D63" s="6" t="s">
        <v>109</v>
      </c>
      <c r="E63" s="7" t="s">
        <v>137</v>
      </c>
      <c r="F63" s="6">
        <v>0</v>
      </c>
      <c r="G63" s="6" t="s">
        <v>107</v>
      </c>
      <c r="H63" s="6"/>
      <c r="I63" s="6">
        <v>1</v>
      </c>
      <c r="J63" s="6"/>
      <c r="K63" s="6"/>
      <c r="L63" s="6"/>
      <c r="M63" s="6"/>
      <c r="N63" s="6"/>
      <c r="O63" s="6" t="s">
        <v>143</v>
      </c>
      <c r="P63" s="6">
        <v>150</v>
      </c>
      <c r="Q63" s="6"/>
      <c r="R63" s="6"/>
    </row>
    <row r="64" spans="1:18" ht="12.5" x14ac:dyDescent="0.25">
      <c r="A64" s="6" t="str">
        <f ca="1">IFERROR(__xludf.DUMMYFUNCTION("""COMPUTED_VALUE"""),"Kalimantan Timur")</f>
        <v>Kalimantan Timur</v>
      </c>
      <c r="B64" s="6" t="str">
        <f ca="1">IFERROR(__xludf.DUMMYFUNCTION("""COMPUTED_VALUE"""),"Pangadan")</f>
        <v>Pangadan</v>
      </c>
      <c r="C64" s="6" t="s">
        <v>68</v>
      </c>
      <c r="D64" s="6" t="s">
        <v>106</v>
      </c>
      <c r="E64" s="7"/>
      <c r="F64" s="6">
        <v>0</v>
      </c>
      <c r="G64" s="6" t="s">
        <v>110</v>
      </c>
      <c r="H64" s="6"/>
      <c r="I64" s="6">
        <v>2</v>
      </c>
      <c r="J64" s="6"/>
      <c r="K64" s="6"/>
      <c r="L64" s="6"/>
      <c r="M64" s="6"/>
      <c r="N64" s="6"/>
      <c r="O64" s="6" t="s">
        <v>143</v>
      </c>
      <c r="P64" s="6">
        <v>50</v>
      </c>
      <c r="Q64" s="6"/>
      <c r="R64" s="6"/>
    </row>
    <row r="65" spans="1:18" ht="12.5" x14ac:dyDescent="0.25">
      <c r="A65" s="6" t="str">
        <f ca="1">IFERROR(__xludf.DUMMYFUNCTION("""COMPUTED_VALUE"""),"Kalimantan Timur")</f>
        <v>Kalimantan Timur</v>
      </c>
      <c r="B65" s="6" t="str">
        <f ca="1">IFERROR(__xludf.DUMMYFUNCTION("""COMPUTED_VALUE"""),"Samarinda")</f>
        <v>Samarinda</v>
      </c>
      <c r="C65" s="6" t="s">
        <v>69</v>
      </c>
      <c r="D65" s="6" t="s">
        <v>109</v>
      </c>
      <c r="E65" s="7" t="s">
        <v>138</v>
      </c>
      <c r="F65" s="6">
        <v>0</v>
      </c>
      <c r="G65" s="6" t="s">
        <v>110</v>
      </c>
      <c r="H65" s="6"/>
      <c r="I65" s="6">
        <v>2</v>
      </c>
      <c r="J65" s="6"/>
      <c r="K65" s="6"/>
      <c r="L65" s="6"/>
      <c r="M65" s="6"/>
      <c r="N65" s="6"/>
      <c r="O65" s="6" t="s">
        <v>144</v>
      </c>
      <c r="P65" s="6">
        <v>30</v>
      </c>
      <c r="Q65" s="6"/>
      <c r="R65" s="6"/>
    </row>
    <row r="66" spans="1:18" ht="12.5" x14ac:dyDescent="0.25">
      <c r="A66" s="6" t="str">
        <f ca="1">IFERROR(__xludf.DUMMYFUNCTION("""COMPUTED_VALUE"""),"Kalimantan Timur")</f>
        <v>Kalimantan Timur</v>
      </c>
      <c r="B66" s="6" t="str">
        <f ca="1">IFERROR(__xludf.DUMMYFUNCTION("""COMPUTED_VALUE"""),"Lempake")</f>
        <v>Lempake</v>
      </c>
      <c r="C66" s="6" t="s">
        <v>70</v>
      </c>
      <c r="D66" s="6" t="s">
        <v>109</v>
      </c>
      <c r="E66" s="7"/>
      <c r="F66" s="6">
        <v>0</v>
      </c>
      <c r="G66" s="6" t="s">
        <v>107</v>
      </c>
      <c r="H66" s="6"/>
      <c r="I66" s="6">
        <v>1</v>
      </c>
      <c r="J66" s="6"/>
      <c r="K66" s="6"/>
      <c r="L66" s="6"/>
      <c r="M66" s="6"/>
      <c r="N66" s="6"/>
      <c r="O66" s="6" t="s">
        <v>143</v>
      </c>
      <c r="P66" s="6">
        <v>150</v>
      </c>
      <c r="Q66" s="6" t="s">
        <v>148</v>
      </c>
      <c r="R66" s="6"/>
    </row>
    <row r="67" spans="1:18" ht="12.5" x14ac:dyDescent="0.25">
      <c r="A67" s="6" t="str">
        <f ca="1">IFERROR(__xludf.DUMMYFUNCTION("""COMPUTED_VALUE"""),"Kalimantan Timur")</f>
        <v>Kalimantan Timur</v>
      </c>
      <c r="B67" s="6" t="str">
        <f ca="1">IFERROR(__xludf.DUMMYFUNCTION("""COMPUTED_VALUE"""),"Palaran")</f>
        <v>Palaran</v>
      </c>
      <c r="C67" s="6" t="s">
        <v>71</v>
      </c>
      <c r="D67" s="6" t="s">
        <v>109</v>
      </c>
      <c r="E67" s="7" t="s">
        <v>124</v>
      </c>
      <c r="F67" s="6">
        <v>0</v>
      </c>
      <c r="G67" s="6" t="s">
        <v>110</v>
      </c>
      <c r="H67" s="6"/>
      <c r="I67" s="6">
        <v>1</v>
      </c>
      <c r="J67" s="6"/>
      <c r="K67" s="6"/>
      <c r="L67" s="6"/>
      <c r="M67" s="6"/>
      <c r="N67" s="6"/>
      <c r="O67" s="6" t="s">
        <v>144</v>
      </c>
      <c r="P67" s="6">
        <v>50</v>
      </c>
      <c r="Q67" s="6" t="s">
        <v>149</v>
      </c>
      <c r="R67" s="6"/>
    </row>
    <row r="68" spans="1:18" ht="12.5" x14ac:dyDescent="0.25">
      <c r="A68" s="6" t="str">
        <f ca="1">IFERROR(__xludf.DUMMYFUNCTION("""COMPUTED_VALUE"""),"Kalimantan Timur")</f>
        <v>Kalimantan Timur</v>
      </c>
      <c r="B68" s="6" t="str">
        <f ca="1">IFERROR(__xludf.DUMMYFUNCTION("""COMPUTED_VALUE"""),"Kota Bangun")</f>
        <v>Kota Bangun</v>
      </c>
      <c r="C68" s="6" t="s">
        <v>70</v>
      </c>
      <c r="D68" s="6" t="s">
        <v>109</v>
      </c>
      <c r="E68" s="7" t="s">
        <v>139</v>
      </c>
      <c r="F68" s="6">
        <v>0</v>
      </c>
      <c r="G68" s="6" t="s">
        <v>107</v>
      </c>
      <c r="H68" s="6"/>
      <c r="I68" s="6">
        <v>1</v>
      </c>
      <c r="J68" s="6"/>
      <c r="K68" s="6"/>
      <c r="L68" s="6"/>
      <c r="M68" s="6"/>
      <c r="N68" s="6"/>
      <c r="O68" s="6" t="s">
        <v>144</v>
      </c>
      <c r="P68" s="6">
        <v>50</v>
      </c>
      <c r="Q68" s="6"/>
      <c r="R68" s="6"/>
    </row>
    <row r="69" spans="1:18" ht="12.5" x14ac:dyDescent="0.25">
      <c r="A69" s="6" t="str">
        <f ca="1">IFERROR(__xludf.DUMMYFUNCTION("""COMPUTED_VALUE"""),"Kalimantan Timur")</f>
        <v>Kalimantan Timur</v>
      </c>
      <c r="B69" s="6" t="str">
        <f ca="1">IFERROR(__xludf.DUMMYFUNCTION("""COMPUTED_VALUE"""),"Muara Kaman")</f>
        <v>Muara Kaman</v>
      </c>
      <c r="C69" s="6" t="s">
        <v>72</v>
      </c>
      <c r="D69" s="6" t="s">
        <v>109</v>
      </c>
      <c r="E69" s="7" t="s">
        <v>136</v>
      </c>
      <c r="F69" s="6">
        <v>0</v>
      </c>
      <c r="G69" s="6"/>
      <c r="H69" s="6"/>
      <c r="I69" s="6">
        <v>1</v>
      </c>
      <c r="J69" s="6"/>
      <c r="K69" s="6"/>
      <c r="L69" s="6"/>
      <c r="M69" s="6"/>
      <c r="N69" s="6"/>
      <c r="O69" s="6" t="s">
        <v>143</v>
      </c>
      <c r="P69" s="6">
        <v>150</v>
      </c>
      <c r="Q69" s="6"/>
      <c r="R69" s="6"/>
    </row>
    <row r="70" spans="1:18" ht="12.5" x14ac:dyDescent="0.25">
      <c r="A70" s="6" t="str">
        <f ca="1">IFERROR(__xludf.DUMMYFUNCTION("""COMPUTED_VALUE"""),"Kalimantan Timur")</f>
        <v>Kalimantan Timur</v>
      </c>
      <c r="B70" s="6" t="str">
        <f ca="1">IFERROR(__xludf.DUMMYFUNCTION("""COMPUTED_VALUE"""),"Rantau Hempang")</f>
        <v>Rantau Hempang</v>
      </c>
      <c r="C70" s="6" t="s">
        <v>73</v>
      </c>
      <c r="D70" s="6" t="s">
        <v>109</v>
      </c>
      <c r="E70" s="7" t="s">
        <v>140</v>
      </c>
      <c r="F70" s="6">
        <v>1</v>
      </c>
      <c r="G70" s="6" t="s">
        <v>110</v>
      </c>
      <c r="H70" s="6"/>
      <c r="I70" s="6">
        <v>1</v>
      </c>
      <c r="J70" s="6"/>
      <c r="K70" s="6"/>
      <c r="L70" s="6"/>
      <c r="M70" s="6"/>
      <c r="N70" s="6"/>
      <c r="O70" s="6" t="s">
        <v>143</v>
      </c>
      <c r="P70" s="6">
        <v>150</v>
      </c>
      <c r="Q70" s="6"/>
      <c r="R70" s="6"/>
    </row>
    <row r="71" spans="1:18" ht="12.5" x14ac:dyDescent="0.25">
      <c r="A71" s="6" t="str">
        <f ca="1">IFERROR(__xludf.DUMMYFUNCTION("""COMPUTED_VALUE"""),"Kalimantan Timur")</f>
        <v>Kalimantan Timur</v>
      </c>
      <c r="B71" s="6" t="str">
        <f ca="1">IFERROR(__xludf.DUMMYFUNCTION("""COMPUTED_VALUE"""),"Sebulu")</f>
        <v>Sebulu</v>
      </c>
      <c r="C71" s="6" t="s">
        <v>74</v>
      </c>
      <c r="D71" s="6" t="s">
        <v>109</v>
      </c>
      <c r="E71" s="7" t="s">
        <v>140</v>
      </c>
      <c r="F71" s="6">
        <v>1</v>
      </c>
      <c r="G71" s="6" t="s">
        <v>110</v>
      </c>
      <c r="H71" s="6"/>
      <c r="I71" s="6">
        <v>1</v>
      </c>
      <c r="J71" s="6"/>
      <c r="K71" s="6"/>
      <c r="L71" s="6"/>
      <c r="M71" s="6"/>
      <c r="N71" s="6"/>
      <c r="O71" s="6" t="s">
        <v>143</v>
      </c>
      <c r="P71" s="6">
        <v>150</v>
      </c>
      <c r="Q71" s="6"/>
      <c r="R71" s="6"/>
    </row>
    <row r="72" spans="1:18" ht="12.5" x14ac:dyDescent="0.25">
      <c r="A72" s="6" t="str">
        <f ca="1">IFERROR(__xludf.DUMMYFUNCTION("""COMPUTED_VALUE"""),"Kalimantan Timur")</f>
        <v>Kalimantan Timur</v>
      </c>
      <c r="B72" s="6" t="str">
        <f ca="1">IFERROR(__xludf.DUMMYFUNCTION("""COMPUTED_VALUE"""),"Melak,kutai barat")</f>
        <v>Melak,kutai barat</v>
      </c>
      <c r="C72" s="6" t="s">
        <v>75</v>
      </c>
      <c r="D72" s="6" t="s">
        <v>109</v>
      </c>
      <c r="E72" s="7" t="s">
        <v>124</v>
      </c>
      <c r="F72" s="6">
        <v>1</v>
      </c>
      <c r="G72" s="6" t="s">
        <v>110</v>
      </c>
      <c r="H72" s="6"/>
      <c r="I72" s="6">
        <v>1</v>
      </c>
      <c r="J72" s="6"/>
      <c r="K72" s="6"/>
      <c r="L72" s="6"/>
      <c r="M72" s="6"/>
      <c r="N72" s="6"/>
      <c r="O72" s="6" t="s">
        <v>143</v>
      </c>
      <c r="P72" s="6">
        <v>150</v>
      </c>
      <c r="Q72" s="6"/>
      <c r="R72" s="6"/>
    </row>
    <row r="73" spans="1:18" ht="12.5" x14ac:dyDescent="0.25">
      <c r="A73" s="6" t="str">
        <f ca="1">IFERROR(__xludf.DUMMYFUNCTION("""COMPUTED_VALUE"""),"Kalimantan Timur")</f>
        <v>Kalimantan Timur</v>
      </c>
      <c r="B73" s="6" t="str">
        <f ca="1">IFERROR(__xludf.DUMMYFUNCTION("""COMPUTED_VALUE"""),"Buluminung")</f>
        <v>Buluminung</v>
      </c>
      <c r="C73" s="6" t="s">
        <v>76</v>
      </c>
      <c r="D73" s="6" t="s">
        <v>109</v>
      </c>
      <c r="E73" s="7" t="s">
        <v>128</v>
      </c>
      <c r="F73" s="6">
        <v>2</v>
      </c>
      <c r="G73" s="6" t="s">
        <v>110</v>
      </c>
      <c r="H73" s="6"/>
      <c r="I73" s="6">
        <v>4</v>
      </c>
      <c r="J73" s="6"/>
      <c r="K73" s="6"/>
      <c r="L73" s="6"/>
      <c r="M73" s="6"/>
      <c r="N73" s="6"/>
      <c r="O73" s="6" t="s">
        <v>144</v>
      </c>
      <c r="P73" s="6">
        <v>15</v>
      </c>
      <c r="Q73" s="6"/>
      <c r="R73" s="6"/>
    </row>
    <row r="74" spans="1:18" ht="12.5" x14ac:dyDescent="0.25">
      <c r="A74" s="6" t="str">
        <f ca="1">IFERROR(__xludf.DUMMYFUNCTION("""COMPUTED_VALUE"""),"Kalimantan Timur")</f>
        <v>Kalimantan Timur</v>
      </c>
      <c r="B74" s="6" t="str">
        <f ca="1">IFERROR(__xludf.DUMMYFUNCTION("""COMPUTED_VALUE"""),"Pondong")</f>
        <v>Pondong</v>
      </c>
      <c r="C74" s="6" t="s">
        <v>77</v>
      </c>
      <c r="D74" s="6" t="s">
        <v>106</v>
      </c>
      <c r="E74" s="7"/>
      <c r="F74" s="6">
        <v>0</v>
      </c>
      <c r="G74" s="6" t="s">
        <v>107</v>
      </c>
      <c r="H74" s="6"/>
      <c r="I74" s="6">
        <v>4</v>
      </c>
      <c r="J74" s="6"/>
      <c r="K74" s="6"/>
      <c r="L74" s="6"/>
      <c r="M74" s="6"/>
      <c r="N74" s="6"/>
      <c r="O74" s="6" t="s">
        <v>144</v>
      </c>
      <c r="P74" s="6">
        <v>50</v>
      </c>
      <c r="Q74" s="6"/>
      <c r="R74" s="6"/>
    </row>
    <row r="75" spans="1:18" ht="12.5" x14ac:dyDescent="0.25">
      <c r="A75" s="6" t="str">
        <f ca="1">IFERROR(__xludf.DUMMYFUNCTION("""COMPUTED_VALUE"""),"Kalimantan Timur")</f>
        <v>Kalimantan Timur</v>
      </c>
      <c r="B75" s="6" t="str">
        <f ca="1">IFERROR(__xludf.DUMMYFUNCTION("""COMPUTED_VALUE"""),"Tanah Grogot")</f>
        <v>Tanah Grogot</v>
      </c>
      <c r="C75" s="6" t="s">
        <v>78</v>
      </c>
      <c r="D75" s="6" t="s">
        <v>109</v>
      </c>
      <c r="E75" s="7"/>
      <c r="F75" s="6"/>
      <c r="G75" s="6" t="s">
        <v>107</v>
      </c>
      <c r="H75" s="6"/>
      <c r="I75" s="6">
        <v>4</v>
      </c>
      <c r="J75" s="6">
        <v>1</v>
      </c>
      <c r="K75" s="6" t="s">
        <v>150</v>
      </c>
      <c r="L75" s="6" t="s">
        <v>151</v>
      </c>
      <c r="M75" s="6">
        <v>3000</v>
      </c>
      <c r="N75" s="6"/>
      <c r="O75" s="6" t="s">
        <v>144</v>
      </c>
      <c r="P75" s="6">
        <v>45</v>
      </c>
      <c r="Q75" s="6" t="s">
        <v>152</v>
      </c>
      <c r="R75" s="6"/>
    </row>
    <row r="76" spans="1:18" ht="12.5" x14ac:dyDescent="0.25">
      <c r="A76" s="6" t="str">
        <f ca="1">IFERROR(__xludf.DUMMYFUNCTION("""COMPUTED_VALUE"""),"Kalimantan Timur")</f>
        <v>Kalimantan Timur</v>
      </c>
      <c r="B76" s="6" t="str">
        <f ca="1">IFERROR(__xludf.DUMMYFUNCTION("""COMPUTED_VALUE"""),"Maloy - PL")</f>
        <v>Maloy - PL</v>
      </c>
      <c r="C76" s="6" t="s">
        <v>78</v>
      </c>
      <c r="D76" s="6" t="s">
        <v>109</v>
      </c>
      <c r="E76" s="7"/>
      <c r="F76" s="6"/>
      <c r="G76" s="6" t="s">
        <v>107</v>
      </c>
      <c r="H76" s="6"/>
      <c r="I76" s="6">
        <v>2</v>
      </c>
      <c r="J76" s="6"/>
      <c r="K76" s="6"/>
      <c r="L76" s="6"/>
      <c r="M76" s="6"/>
      <c r="N76" s="6"/>
      <c r="O76" s="6" t="s">
        <v>144</v>
      </c>
      <c r="P76" s="6">
        <v>45</v>
      </c>
      <c r="Q76" s="6"/>
      <c r="R76" s="6"/>
    </row>
    <row r="77" spans="1:18" ht="12.5" x14ac:dyDescent="0.25">
      <c r="A77" s="6" t="str">
        <f ca="1">IFERROR(__xludf.DUMMYFUNCTION("""COMPUTED_VALUE"""),"Kalimantan Timur")</f>
        <v>Kalimantan Timur</v>
      </c>
      <c r="B77" s="6" t="str">
        <f ca="1">IFERROR(__xludf.DUMMYFUNCTION("""COMPUTED_VALUE"""),"Maloy - TL")</f>
        <v>Maloy - TL</v>
      </c>
      <c r="C77" s="6" t="s">
        <v>79</v>
      </c>
      <c r="D77" s="6" t="s">
        <v>106</v>
      </c>
      <c r="E77" s="7"/>
      <c r="F77" s="6">
        <v>0</v>
      </c>
      <c r="G77" s="6" t="s">
        <v>110</v>
      </c>
      <c r="H77" s="6"/>
      <c r="I77" s="6">
        <v>1</v>
      </c>
      <c r="J77" s="6"/>
      <c r="K77" s="6"/>
      <c r="L77" s="6"/>
      <c r="M77" s="6"/>
      <c r="N77" s="6"/>
      <c r="O77" s="6" t="s">
        <v>143</v>
      </c>
      <c r="P77" s="6">
        <v>150</v>
      </c>
      <c r="Q77" s="6"/>
      <c r="R77" s="6"/>
    </row>
    <row r="78" spans="1:18" ht="12.5" x14ac:dyDescent="0.25">
      <c r="A78" s="6" t="str">
        <f ca="1">IFERROR(__xludf.DUMMYFUNCTION("""COMPUTED_VALUE"""),"Kalimantan Timur")</f>
        <v>Kalimantan Timur</v>
      </c>
      <c r="B78" s="6" t="str">
        <f ca="1">IFERROR(__xludf.DUMMYFUNCTION("""COMPUTED_VALUE"""),"Sandaran")</f>
        <v>Sandaran</v>
      </c>
      <c r="C78" s="6" t="s">
        <v>79</v>
      </c>
      <c r="D78" s="6" t="s">
        <v>106</v>
      </c>
      <c r="E78" s="7"/>
      <c r="F78" s="6">
        <v>0</v>
      </c>
      <c r="G78" s="6" t="s">
        <v>107</v>
      </c>
      <c r="H78" s="6"/>
      <c r="I78" s="6">
        <v>1</v>
      </c>
      <c r="J78" s="6"/>
      <c r="K78" s="6"/>
      <c r="L78" s="6"/>
      <c r="M78" s="6"/>
      <c r="N78" s="6"/>
      <c r="O78" s="6" t="s">
        <v>144</v>
      </c>
      <c r="P78" s="6">
        <v>25</v>
      </c>
      <c r="Q78" s="6"/>
      <c r="R78" s="6"/>
    </row>
    <row r="79" spans="1:18" ht="12.5" x14ac:dyDescent="0.25">
      <c r="A79" s="6" t="str">
        <f ca="1">IFERROR(__xludf.DUMMYFUNCTION("""COMPUTED_VALUE"""),"Kalimantan Timur")</f>
        <v>Kalimantan Timur</v>
      </c>
      <c r="B79" s="6" t="str">
        <f ca="1">IFERROR(__xludf.DUMMYFUNCTION("""COMPUTED_VALUE"""),"Sangkulirang")</f>
        <v>Sangkulirang</v>
      </c>
      <c r="C79" s="6" t="s">
        <v>80</v>
      </c>
      <c r="D79" s="6" t="s">
        <v>106</v>
      </c>
      <c r="E79" s="7" t="s">
        <v>117</v>
      </c>
      <c r="F79" s="6">
        <v>0</v>
      </c>
      <c r="G79" s="6"/>
      <c r="H79" s="6"/>
      <c r="I79" s="6">
        <v>2</v>
      </c>
      <c r="J79" s="6"/>
      <c r="K79" s="6"/>
      <c r="L79" s="6"/>
      <c r="M79" s="6"/>
      <c r="N79" s="6"/>
      <c r="O79" s="6" t="s">
        <v>143</v>
      </c>
      <c r="P79" s="6">
        <v>150</v>
      </c>
      <c r="Q79" s="6"/>
      <c r="R79" s="6"/>
    </row>
    <row r="80" spans="1:18" ht="12.5" x14ac:dyDescent="0.25">
      <c r="A80" s="6" t="str">
        <f ca="1">IFERROR(__xludf.DUMMYFUNCTION("""COMPUTED_VALUE"""),"Kalimantan Timur")</f>
        <v>Kalimantan Timur</v>
      </c>
      <c r="B80" s="6" t="str">
        <f ca="1">IFERROR(__xludf.DUMMYFUNCTION("""COMPUTED_VALUE"""),"Pengandan")</f>
        <v>Pengandan</v>
      </c>
      <c r="C80" s="6" t="s">
        <v>81</v>
      </c>
      <c r="D80" s="6" t="s">
        <v>109</v>
      </c>
      <c r="E80" s="7"/>
      <c r="F80" s="6">
        <v>0</v>
      </c>
      <c r="G80" s="6"/>
      <c r="H80" s="6"/>
      <c r="I80" s="6">
        <v>2</v>
      </c>
      <c r="J80" s="6"/>
      <c r="K80" s="6"/>
      <c r="L80" s="6"/>
      <c r="M80" s="6"/>
      <c r="N80" s="6"/>
      <c r="O80" s="6" t="s">
        <v>144</v>
      </c>
      <c r="P80" s="6">
        <v>30</v>
      </c>
      <c r="Q80" s="6"/>
      <c r="R80" s="6"/>
    </row>
    <row r="81" spans="1:18" ht="12.5" x14ac:dyDescent="0.25">
      <c r="A81" s="6" t="str">
        <f ca="1">IFERROR(__xludf.DUMMYFUNCTION("""COMPUTED_VALUE"""),"Kalimantan Timur")</f>
        <v>Kalimantan Timur</v>
      </c>
      <c r="B81" s="6" t="str">
        <f ca="1">IFERROR(__xludf.DUMMYFUNCTION("""COMPUTED_VALUE"""),"Tanjung Redeb")</f>
        <v>Tanjung Redeb</v>
      </c>
      <c r="C81" s="6" t="s">
        <v>82</v>
      </c>
      <c r="D81" s="6" t="s">
        <v>109</v>
      </c>
      <c r="E81" s="7" t="s">
        <v>120</v>
      </c>
      <c r="F81" s="6">
        <v>0</v>
      </c>
      <c r="G81" s="6"/>
      <c r="H81" s="6"/>
      <c r="I81" s="6">
        <v>2</v>
      </c>
      <c r="J81" s="6"/>
      <c r="K81" s="6"/>
      <c r="L81" s="6"/>
      <c r="M81" s="6"/>
      <c r="N81" s="6"/>
      <c r="O81" s="6" t="s">
        <v>143</v>
      </c>
      <c r="P81" s="6">
        <v>150</v>
      </c>
      <c r="Q81" s="6" t="s">
        <v>153</v>
      </c>
      <c r="R81" s="6"/>
    </row>
    <row r="82" spans="1:18" ht="12.5" x14ac:dyDescent="0.25">
      <c r="A82" s="6" t="str">
        <f ca="1">IFERROR(__xludf.DUMMYFUNCTION("""COMPUTED_VALUE"""),"Kalimantan Timur")</f>
        <v>Kalimantan Timur</v>
      </c>
      <c r="B82" s="6" t="str">
        <f ca="1">IFERROR(__xludf.DUMMYFUNCTION("""COMPUTED_VALUE"""),"Labanan")</f>
        <v>Labanan</v>
      </c>
      <c r="C82" s="6" t="s">
        <v>83</v>
      </c>
      <c r="D82" s="6" t="s">
        <v>109</v>
      </c>
      <c r="E82" s="7" t="s">
        <v>112</v>
      </c>
      <c r="F82" s="6">
        <v>0</v>
      </c>
      <c r="G82" s="6"/>
      <c r="H82" s="6"/>
      <c r="I82" s="6">
        <v>2</v>
      </c>
      <c r="J82" s="6"/>
      <c r="K82" s="6"/>
      <c r="L82" s="6"/>
      <c r="M82" s="6"/>
      <c r="N82" s="6"/>
      <c r="O82" s="6" t="s">
        <v>143</v>
      </c>
      <c r="P82" s="6">
        <v>150</v>
      </c>
      <c r="Q82" s="6"/>
      <c r="R82" s="6"/>
    </row>
    <row r="83" spans="1:18" ht="12.5" x14ac:dyDescent="0.25">
      <c r="A83" s="6" t="str">
        <f ca="1">IFERROR(__xludf.DUMMYFUNCTION("""COMPUTED_VALUE"""),"Kalimantan Timur")</f>
        <v>Kalimantan Timur</v>
      </c>
      <c r="B83" s="6" t="str">
        <f ca="1">IFERROR(__xludf.DUMMYFUNCTION("""COMPUTED_VALUE"""),"Bulungan")</f>
        <v>Bulungan</v>
      </c>
      <c r="C83" s="6" t="s">
        <v>84</v>
      </c>
      <c r="D83" s="6" t="s">
        <v>109</v>
      </c>
      <c r="E83" s="7" t="s">
        <v>141</v>
      </c>
      <c r="F83" s="6">
        <v>1</v>
      </c>
      <c r="G83" s="6" t="s">
        <v>110</v>
      </c>
      <c r="H83" s="6"/>
      <c r="I83" s="6">
        <v>1</v>
      </c>
      <c r="J83" s="6"/>
      <c r="K83" s="6"/>
      <c r="L83" s="6"/>
      <c r="M83" s="6"/>
      <c r="N83" s="6"/>
      <c r="O83" s="6" t="s">
        <v>143</v>
      </c>
      <c r="P83" s="6">
        <v>150</v>
      </c>
      <c r="Q83" s="6" t="s">
        <v>154</v>
      </c>
      <c r="R83" s="6"/>
    </row>
    <row r="84" spans="1:18" ht="12.5" x14ac:dyDescent="0.25">
      <c r="A84" s="6" t="str">
        <f ca="1">IFERROR(__xludf.DUMMYFUNCTION("""COMPUTED_VALUE"""),"Kalimantan Timur")</f>
        <v>Kalimantan Timur</v>
      </c>
      <c r="B84" s="6" t="str">
        <f ca="1">IFERROR(__xludf.DUMMYFUNCTION("""COMPUTED_VALUE"""),"Derawan")</f>
        <v>Derawan</v>
      </c>
      <c r="C84" s="6" t="s">
        <v>85</v>
      </c>
      <c r="D84" s="6" t="s">
        <v>109</v>
      </c>
      <c r="E84" s="7"/>
      <c r="F84" s="6">
        <v>0</v>
      </c>
      <c r="G84" s="6" t="s">
        <v>110</v>
      </c>
      <c r="H84" s="6"/>
      <c r="I84" s="6">
        <v>2</v>
      </c>
      <c r="J84" s="6"/>
      <c r="K84" s="6"/>
      <c r="L84" s="6"/>
      <c r="M84" s="6"/>
      <c r="N84" s="6"/>
      <c r="O84" s="6" t="s">
        <v>143</v>
      </c>
      <c r="P84" s="6">
        <v>150</v>
      </c>
      <c r="Q84" s="6"/>
      <c r="R84" s="6"/>
    </row>
    <row r="85" spans="1:18" ht="12.5" x14ac:dyDescent="0.25">
      <c r="A85" s="6" t="str">
        <f ca="1">IFERROR(__xludf.DUMMYFUNCTION("""COMPUTED_VALUE"""),"Kalimantan Timur")</f>
        <v>Kalimantan Timur</v>
      </c>
      <c r="B85" s="6" t="str">
        <f ca="1">IFERROR(__xludf.DUMMYFUNCTION("""COMPUTED_VALUE"""),"Salim Batu")</f>
        <v>Salim Batu</v>
      </c>
      <c r="C85" s="6" t="s">
        <v>86</v>
      </c>
      <c r="D85" s="6" t="s">
        <v>109</v>
      </c>
      <c r="E85" s="7"/>
      <c r="F85" s="6">
        <v>0</v>
      </c>
      <c r="G85" s="6" t="s">
        <v>107</v>
      </c>
      <c r="H85" s="6"/>
      <c r="I85" s="6">
        <v>2</v>
      </c>
      <c r="J85" s="6">
        <v>1</v>
      </c>
      <c r="K85" s="6" t="s">
        <v>155</v>
      </c>
      <c r="L85" s="6" t="s">
        <v>156</v>
      </c>
      <c r="M85" s="6"/>
      <c r="N85" s="6" t="s">
        <v>157</v>
      </c>
      <c r="O85" s="6" t="s">
        <v>143</v>
      </c>
      <c r="P85" s="6">
        <v>150</v>
      </c>
      <c r="Q85" s="6" t="s">
        <v>158</v>
      </c>
      <c r="R85" s="6"/>
    </row>
    <row r="86" spans="1:18" ht="12.5" x14ac:dyDescent="0.25">
      <c r="A86" s="6" t="str">
        <f ca="1">IFERROR(__xludf.DUMMYFUNCTION("""COMPUTED_VALUE"""),"Kalimantan Timur")</f>
        <v>Kalimantan Timur</v>
      </c>
      <c r="B86" s="6" t="str">
        <f ca="1">IFERROR(__xludf.DUMMYFUNCTION("""COMPUTED_VALUE"""),"Sesayap")</f>
        <v>Sesayap</v>
      </c>
      <c r="C86" s="6" t="s">
        <v>87</v>
      </c>
      <c r="D86" s="6" t="s">
        <v>109</v>
      </c>
      <c r="E86" s="7" t="s">
        <v>142</v>
      </c>
      <c r="F86" s="6">
        <v>0</v>
      </c>
      <c r="G86" s="6" t="s">
        <v>110</v>
      </c>
      <c r="H86" s="6"/>
      <c r="I86" s="6">
        <v>1</v>
      </c>
      <c r="J86" s="6"/>
      <c r="K86" s="6"/>
      <c r="L86" s="6"/>
      <c r="M86" s="6"/>
      <c r="N86" s="6"/>
      <c r="O86" s="6" t="s">
        <v>144</v>
      </c>
      <c r="P86" s="6">
        <v>30</v>
      </c>
      <c r="Q86" s="6"/>
      <c r="R86" s="6"/>
    </row>
    <row r="87" spans="1:18" ht="12.5" x14ac:dyDescent="0.25">
      <c r="A87" s="6" t="str">
        <f ca="1">IFERROR(__xludf.DUMMYFUNCTION("""COMPUTED_VALUE"""),"Kalimantan Utara")</f>
        <v>Kalimantan Utara</v>
      </c>
      <c r="B87" s="6" t="str">
        <f ca="1">IFERROR(__xludf.DUMMYFUNCTION("""COMPUTED_VALUE"""),"Tana Tidung")</f>
        <v>Tana Tidung</v>
      </c>
      <c r="C87" s="6"/>
      <c r="D87" s="6" t="s">
        <v>109</v>
      </c>
      <c r="E87" s="7"/>
      <c r="F87" s="6">
        <v>0</v>
      </c>
      <c r="G87" s="6" t="s">
        <v>110</v>
      </c>
      <c r="H87" s="6"/>
      <c r="I87" s="6">
        <v>1</v>
      </c>
      <c r="J87" s="6"/>
      <c r="K87" s="6"/>
      <c r="L87" s="6"/>
      <c r="M87" s="6"/>
      <c r="N87" s="6"/>
      <c r="O87" s="6" t="s">
        <v>143</v>
      </c>
      <c r="P87" s="6">
        <v>100</v>
      </c>
      <c r="Q87" s="6"/>
      <c r="R87" s="6"/>
    </row>
    <row r="88" spans="1:18" ht="12.5" x14ac:dyDescent="0.25">
      <c r="A88" s="6" t="str">
        <f ca="1">IFERROR(__xludf.DUMMYFUNCTION("""COMPUTED_VALUE"""),"Kalimantan Utara")</f>
        <v>Kalimantan Utara</v>
      </c>
      <c r="B88" s="6" t="str">
        <f ca="1">IFERROR(__xludf.DUMMYFUNCTION("""COMPUTED_VALUE"""),"Nunukan")</f>
        <v>Nunukan</v>
      </c>
      <c r="C88" s="6" t="s">
        <v>88</v>
      </c>
      <c r="D88" s="6" t="s">
        <v>106</v>
      </c>
      <c r="E88" s="7"/>
      <c r="F88" s="6">
        <v>0</v>
      </c>
      <c r="G88" s="6" t="s">
        <v>110</v>
      </c>
      <c r="H88" s="6"/>
      <c r="I88" s="6">
        <v>2</v>
      </c>
      <c r="J88" s="6"/>
      <c r="K88" s="6"/>
      <c r="L88" s="6"/>
      <c r="M88" s="6"/>
      <c r="N88" s="6"/>
      <c r="O88" s="6" t="s">
        <v>143</v>
      </c>
      <c r="P88" s="6">
        <v>150</v>
      </c>
      <c r="Q88" s="6"/>
      <c r="R88" s="6"/>
    </row>
    <row r="89" spans="1:18" ht="12.5" x14ac:dyDescent="0.25">
      <c r="A89" s="6" t="str">
        <f ca="1">IFERROR(__xludf.DUMMYFUNCTION("""COMPUTED_VALUE"""),"Kalimantan Utara")</f>
        <v>Kalimantan Utara</v>
      </c>
      <c r="B89" s="6" t="str">
        <f ca="1">IFERROR(__xludf.DUMMYFUNCTION("""COMPUTED_VALUE"""),"Sebakis")</f>
        <v>Sebakis</v>
      </c>
      <c r="C89" s="6" t="s">
        <v>89</v>
      </c>
      <c r="D89" s="6" t="s">
        <v>106</v>
      </c>
      <c r="E89" s="7"/>
      <c r="F89" s="6">
        <v>0</v>
      </c>
      <c r="G89" s="6" t="s">
        <v>110</v>
      </c>
      <c r="H89" s="6"/>
      <c r="I89" s="6">
        <v>2</v>
      </c>
      <c r="J89" s="6"/>
      <c r="K89" s="6"/>
      <c r="L89" s="6"/>
      <c r="M89" s="6"/>
      <c r="N89" s="6"/>
      <c r="O89" s="6" t="s">
        <v>144</v>
      </c>
      <c r="P89" s="6">
        <v>25</v>
      </c>
      <c r="Q89" s="6"/>
      <c r="R89" s="6"/>
    </row>
    <row r="90" spans="1:18" ht="12.5" x14ac:dyDescent="0.25">
      <c r="A90" s="6" t="str">
        <f ca="1">IFERROR(__xludf.DUMMYFUNCTION("""COMPUTED_VALUE"""),"Kalimantan Utara")</f>
        <v>Kalimantan Utara</v>
      </c>
      <c r="B90" s="6" t="str">
        <f ca="1">IFERROR(__xludf.DUMMYFUNCTION("""COMPUTED_VALUE"""),"Sebuku")</f>
        <v>Sebuku</v>
      </c>
      <c r="C90" s="6" t="s">
        <v>90</v>
      </c>
      <c r="D90" s="6" t="s">
        <v>109</v>
      </c>
      <c r="E90" s="7"/>
      <c r="F90" s="6">
        <v>0</v>
      </c>
      <c r="G90" s="6" t="s">
        <v>110</v>
      </c>
      <c r="H90" s="6"/>
      <c r="I90" s="6">
        <v>2</v>
      </c>
      <c r="J90" s="6">
        <v>1</v>
      </c>
      <c r="K90" s="6" t="s">
        <v>159</v>
      </c>
      <c r="L90" s="6" t="s">
        <v>160</v>
      </c>
      <c r="M90" s="6">
        <v>6000</v>
      </c>
      <c r="N90" s="6" t="s">
        <v>161</v>
      </c>
      <c r="O90" s="6" t="s">
        <v>143</v>
      </c>
      <c r="P90" s="6">
        <v>150</v>
      </c>
      <c r="Q90" s="6" t="s">
        <v>162</v>
      </c>
      <c r="R90" s="6"/>
    </row>
    <row r="91" spans="1:18" ht="12.5" x14ac:dyDescent="0.25">
      <c r="A91" s="6" t="str">
        <f ca="1">IFERROR(__xludf.DUMMYFUNCTION("""COMPUTED_VALUE"""),"Kalimantan Utara")</f>
        <v>Kalimantan Utara</v>
      </c>
      <c r="B91" s="6" t="str">
        <f ca="1">IFERROR(__xludf.DUMMYFUNCTION("""COMPUTED_VALUE"""),"Simanggaris")</f>
        <v>Simanggaris</v>
      </c>
      <c r="C91" s="6" t="s">
        <v>91</v>
      </c>
      <c r="D91" s="6" t="s">
        <v>109</v>
      </c>
      <c r="E91" s="7"/>
      <c r="F91" s="6">
        <v>0</v>
      </c>
      <c r="G91" s="6" t="s">
        <v>110</v>
      </c>
      <c r="H91" s="6"/>
      <c r="I91" s="6">
        <v>2</v>
      </c>
      <c r="J91" s="6">
        <v>1</v>
      </c>
      <c r="K91" s="6" t="s">
        <v>163</v>
      </c>
      <c r="L91" s="6">
        <v>3.75</v>
      </c>
      <c r="M91" s="6">
        <v>4000</v>
      </c>
      <c r="N91" s="6" t="s">
        <v>164</v>
      </c>
      <c r="O91" s="6" t="s">
        <v>144</v>
      </c>
      <c r="P91" s="6">
        <v>50</v>
      </c>
      <c r="Q91" s="6" t="s">
        <v>165</v>
      </c>
      <c r="R91" s="6"/>
    </row>
    <row r="92" spans="1:18" ht="12.5" x14ac:dyDescent="0.25">
      <c r="A92" s="6" t="str">
        <f ca="1">IFERROR(__xludf.DUMMYFUNCTION("""COMPUTED_VALUE"""),"Sulawesi Tengah")</f>
        <v>Sulawesi Tengah</v>
      </c>
      <c r="B92" s="6" t="str">
        <f ca="1">IFERROR(__xludf.DUMMYFUNCTION("""COMPUTED_VALUE"""),"Buol")</f>
        <v>Buol</v>
      </c>
      <c r="C92" s="6" t="s">
        <v>92</v>
      </c>
      <c r="D92" s="6" t="s">
        <v>109</v>
      </c>
      <c r="E92" s="7" t="s">
        <v>131</v>
      </c>
      <c r="F92" s="6">
        <v>0</v>
      </c>
      <c r="G92" s="6" t="s">
        <v>110</v>
      </c>
      <c r="H92" s="6"/>
      <c r="I92" s="6">
        <v>2</v>
      </c>
      <c r="J92" s="6">
        <v>1</v>
      </c>
      <c r="K92" s="6" t="s">
        <v>166</v>
      </c>
      <c r="L92" s="6" t="s">
        <v>167</v>
      </c>
      <c r="M92" s="6">
        <v>3000</v>
      </c>
      <c r="N92" s="6" t="s">
        <v>161</v>
      </c>
      <c r="O92" s="6" t="s">
        <v>143</v>
      </c>
      <c r="P92" s="6">
        <v>150</v>
      </c>
      <c r="Q92" s="6" t="s">
        <v>168</v>
      </c>
      <c r="R92" s="6"/>
    </row>
    <row r="93" spans="1:18" ht="12.5" x14ac:dyDescent="0.25">
      <c r="A93" s="6" t="str">
        <f ca="1">IFERROR(__xludf.DUMMYFUNCTION("""COMPUTED_VALUE"""),"Sulawesi Barat")</f>
        <v>Sulawesi Barat</v>
      </c>
      <c r="B93" s="6" t="str">
        <f ca="1">IFERROR(__xludf.DUMMYFUNCTION("""COMPUTED_VALUE"""),"Babana")</f>
        <v>Babana</v>
      </c>
      <c r="C93" s="6" t="s">
        <v>93</v>
      </c>
      <c r="D93" s="6" t="s">
        <v>106</v>
      </c>
      <c r="E93" s="7"/>
      <c r="F93" s="6">
        <v>0</v>
      </c>
      <c r="G93" s="6"/>
      <c r="H93" s="6"/>
      <c r="I93" s="6">
        <v>1</v>
      </c>
      <c r="J93" s="6"/>
      <c r="K93" s="6"/>
      <c r="L93" s="6"/>
      <c r="M93" s="6"/>
      <c r="N93" s="6"/>
      <c r="O93" s="6" t="s">
        <v>143</v>
      </c>
      <c r="P93" s="6">
        <v>150</v>
      </c>
      <c r="Q93" s="6"/>
      <c r="R93" s="6"/>
    </row>
    <row r="94" spans="1:18" ht="12.5" x14ac:dyDescent="0.25">
      <c r="A94" s="6" t="str">
        <f ca="1">IFERROR(__xludf.DUMMYFUNCTION("""COMPUTED_VALUE"""),"Sulawesi Barat")</f>
        <v>Sulawesi Barat</v>
      </c>
      <c r="B94" s="6" t="str">
        <f ca="1">IFERROR(__xludf.DUMMYFUNCTION("""COMPUTED_VALUE"""),"Belang-belang")</f>
        <v>Belang-belang</v>
      </c>
      <c r="C94" s="6" t="s">
        <v>94</v>
      </c>
      <c r="D94" s="6" t="s">
        <v>106</v>
      </c>
      <c r="E94" s="7"/>
      <c r="F94" s="6">
        <v>0</v>
      </c>
      <c r="G94" s="6"/>
      <c r="H94" s="6"/>
      <c r="I94" s="6">
        <v>2</v>
      </c>
      <c r="J94" s="6"/>
      <c r="K94" s="6"/>
      <c r="L94" s="6"/>
      <c r="M94" s="6"/>
      <c r="N94" s="6"/>
      <c r="O94" s="6" t="s">
        <v>144</v>
      </c>
      <c r="P94" s="6">
        <v>25</v>
      </c>
      <c r="Q94" s="6"/>
      <c r="R94" s="6"/>
    </row>
    <row r="95" spans="1:18" ht="12.5" x14ac:dyDescent="0.25">
      <c r="A95" s="6" t="str">
        <f ca="1">IFERROR(__xludf.DUMMYFUNCTION("""COMPUTED_VALUE"""),"Sulawesi Barat")</f>
        <v>Sulawesi Barat</v>
      </c>
      <c r="B95" s="6" t="str">
        <f ca="1">IFERROR(__xludf.DUMMYFUNCTION("""COMPUTED_VALUE"""),"Bonemanjing")</f>
        <v>Bonemanjing</v>
      </c>
      <c r="C95" s="6" t="s">
        <v>95</v>
      </c>
      <c r="D95" s="6" t="s">
        <v>106</v>
      </c>
      <c r="E95" s="7"/>
      <c r="F95" s="6">
        <v>0</v>
      </c>
      <c r="G95" s="6"/>
      <c r="H95" s="6"/>
      <c r="I95" s="6">
        <v>2</v>
      </c>
      <c r="J95" s="6"/>
      <c r="K95" s="6"/>
      <c r="L95" s="6"/>
      <c r="M95" s="6"/>
      <c r="N95" s="6"/>
      <c r="O95" s="6" t="s">
        <v>144</v>
      </c>
      <c r="P95" s="6">
        <v>25</v>
      </c>
      <c r="Q95" s="6"/>
      <c r="R95" s="6"/>
    </row>
    <row r="96" spans="1:18" ht="12.5" x14ac:dyDescent="0.25">
      <c r="A96" s="6" t="str">
        <f ca="1">IFERROR(__xludf.DUMMYFUNCTION("""COMPUTED_VALUE"""),"Sulawesi Selatan")</f>
        <v>Sulawesi Selatan</v>
      </c>
      <c r="B96" s="6" t="str">
        <f ca="1">IFERROR(__xludf.DUMMYFUNCTION("""COMPUTED_VALUE"""),"Palopo")</f>
        <v>Palopo</v>
      </c>
      <c r="C96" s="6"/>
      <c r="D96" s="6" t="s">
        <v>106</v>
      </c>
      <c r="E96" s="7"/>
      <c r="F96" s="6">
        <v>0</v>
      </c>
      <c r="G96" s="6"/>
      <c r="H96" s="6"/>
      <c r="I96" s="6">
        <v>1</v>
      </c>
      <c r="J96" s="6"/>
      <c r="K96" s="6"/>
      <c r="L96" s="6"/>
      <c r="M96" s="6"/>
      <c r="N96" s="6"/>
      <c r="O96" s="6" t="s">
        <v>143</v>
      </c>
      <c r="P96" s="6">
        <v>150</v>
      </c>
      <c r="Q96" s="6"/>
      <c r="R96" s="6"/>
    </row>
    <row r="97" spans="1:18" ht="12.5" x14ac:dyDescent="0.25">
      <c r="A97" s="6" t="str">
        <f ca="1">IFERROR(__xludf.DUMMYFUNCTION("""COMPUTED_VALUE"""),"Sulawesi Selatan")</f>
        <v>Sulawesi Selatan</v>
      </c>
      <c r="B97" s="6" t="str">
        <f ca="1">IFERROR(__xludf.DUMMYFUNCTION("""COMPUTED_VALUE"""),"Mamuju")</f>
        <v>Mamuju</v>
      </c>
      <c r="C97" s="6" t="s">
        <v>96</v>
      </c>
      <c r="D97" s="6" t="s">
        <v>106</v>
      </c>
      <c r="E97" s="7"/>
      <c r="F97" s="6">
        <v>0</v>
      </c>
      <c r="G97" s="6" t="s">
        <v>107</v>
      </c>
      <c r="H97" s="6"/>
      <c r="I97" s="6">
        <v>2</v>
      </c>
      <c r="J97" s="6"/>
      <c r="K97" s="6"/>
      <c r="L97" s="6"/>
      <c r="M97" s="6">
        <v>3000</v>
      </c>
      <c r="N97" s="6"/>
      <c r="O97" s="6" t="s">
        <v>143</v>
      </c>
      <c r="P97" s="6">
        <v>25</v>
      </c>
      <c r="Q97" s="6"/>
      <c r="R97" s="6"/>
    </row>
    <row r="98" spans="1:18" ht="12.5" x14ac:dyDescent="0.25">
      <c r="A98" s="6" t="str">
        <f ca="1">IFERROR(__xludf.DUMMYFUNCTION("""COMPUTED_VALUE"""),"Papua")</f>
        <v>Papua</v>
      </c>
      <c r="B98" s="6" t="str">
        <f ca="1">IFERROR(__xludf.DUMMYFUNCTION("""COMPUTED_VALUE"""),"Sorong")</f>
        <v>Sorong</v>
      </c>
      <c r="C98" s="6"/>
      <c r="D98" s="6" t="s">
        <v>106</v>
      </c>
      <c r="E98" s="7"/>
      <c r="F98" s="6">
        <v>0</v>
      </c>
      <c r="G98" s="6"/>
      <c r="H98" s="6"/>
      <c r="I98" s="6">
        <v>3</v>
      </c>
      <c r="J98" s="6"/>
      <c r="K98" s="6"/>
      <c r="L98" s="6"/>
      <c r="M98" s="6"/>
      <c r="N98" s="6"/>
      <c r="O98" s="6" t="s">
        <v>144</v>
      </c>
      <c r="P98" s="6">
        <v>25</v>
      </c>
      <c r="Q98" s="6"/>
      <c r="R98" s="6"/>
    </row>
    <row r="99" spans="1:18" ht="12.5" x14ac:dyDescent="0.25">
      <c r="A99" s="6" t="str">
        <f ca="1">IFERROR(__xludf.DUMMYFUNCTION("""COMPUTED_VALUE"""),"Papua")</f>
        <v>Papua</v>
      </c>
      <c r="B99" s="6" t="str">
        <f ca="1">IFERROR(__xludf.DUMMYFUNCTION("""COMPUTED_VALUE"""),"Manokwari")</f>
        <v>Manokwari</v>
      </c>
      <c r="C99" s="6" t="s">
        <v>97</v>
      </c>
      <c r="D99" s="6" t="s">
        <v>106</v>
      </c>
      <c r="E99" s="7"/>
      <c r="F99" s="6"/>
      <c r="G99" s="6"/>
      <c r="H99" s="6"/>
      <c r="I99" s="6">
        <v>1</v>
      </c>
      <c r="J99" s="6"/>
      <c r="K99" s="6"/>
      <c r="L99" s="6"/>
      <c r="M99" s="6"/>
      <c r="N99" s="6"/>
      <c r="O99" s="6" t="s">
        <v>143</v>
      </c>
      <c r="P99" s="6">
        <v>150</v>
      </c>
      <c r="Q99" s="6"/>
      <c r="R99" s="6"/>
    </row>
    <row r="100" spans="1:18" ht="12.5" x14ac:dyDescent="0.25">
      <c r="A100" s="6" t="str">
        <f ca="1">IFERROR(__xludf.DUMMYFUNCTION("""COMPUTED_VALUE"""),"Papua")</f>
        <v>Papua</v>
      </c>
      <c r="B100" s="6" t="str">
        <f ca="1">IFERROR(__xludf.DUMMYFUNCTION("""COMPUTED_VALUE"""),"Asike")</f>
        <v>Asike</v>
      </c>
      <c r="C100" s="6" t="s">
        <v>98</v>
      </c>
      <c r="D100" s="6" t="s">
        <v>106</v>
      </c>
      <c r="E100" s="7"/>
      <c r="F100" s="6"/>
      <c r="G100" s="6"/>
      <c r="H100" s="6"/>
      <c r="I100" s="6">
        <v>1</v>
      </c>
      <c r="J100" s="6"/>
      <c r="K100" s="6"/>
      <c r="L100" s="6"/>
      <c r="M100" s="6"/>
      <c r="N100" s="6"/>
      <c r="O100" s="6" t="s">
        <v>143</v>
      </c>
      <c r="P100" s="6">
        <v>150</v>
      </c>
      <c r="Q100" s="6"/>
      <c r="R100" s="6"/>
    </row>
    <row r="101" spans="1:18" ht="12.5" x14ac:dyDescent="0.25">
      <c r="A101" s="6" t="str">
        <f ca="1">IFERROR(__xludf.DUMMYFUNCTION("""COMPUTED_VALUE"""),"Papua")</f>
        <v>Papua</v>
      </c>
      <c r="B101" s="6" t="str">
        <f ca="1">IFERROR(__xludf.DUMMYFUNCTION("""COMPUTED_VALUE"""),"Merauke")</f>
        <v>Merauke</v>
      </c>
      <c r="C101" s="6" t="s">
        <v>99</v>
      </c>
      <c r="D101" s="6" t="s">
        <v>109</v>
      </c>
      <c r="E101" s="7"/>
      <c r="F101" s="6"/>
      <c r="G101" s="6"/>
      <c r="H101" s="6"/>
      <c r="I101" s="6">
        <v>1</v>
      </c>
      <c r="J101" s="6"/>
      <c r="K101" s="6"/>
      <c r="L101" s="6"/>
      <c r="M101" s="6"/>
      <c r="N101" s="6"/>
      <c r="O101" s="6" t="s">
        <v>143</v>
      </c>
      <c r="P101" s="6">
        <v>150</v>
      </c>
      <c r="Q101" s="6"/>
      <c r="R101" s="6"/>
    </row>
    <row r="102" spans="1:18" ht="12.5" x14ac:dyDescent="0.25">
      <c r="A102" s="6" t="str">
        <f ca="1">IFERROR(__xludf.DUMMYFUNCTION("""COMPUTED_VALUE"""),"Papua")</f>
        <v>Papua</v>
      </c>
      <c r="B102" s="6" t="str">
        <f ca="1">IFERROR(__xludf.DUMMYFUNCTION("""COMPUTED_VALUE"""),"Nabire")</f>
        <v>Nabire</v>
      </c>
      <c r="C102" s="6" t="s">
        <v>100</v>
      </c>
      <c r="D102" s="6" t="s">
        <v>109</v>
      </c>
      <c r="E102" s="7"/>
      <c r="F102" s="6"/>
      <c r="G102" s="6" t="s">
        <v>107</v>
      </c>
      <c r="H102" s="6"/>
      <c r="I102" s="6">
        <v>3</v>
      </c>
      <c r="J102" s="6"/>
      <c r="K102" s="6" t="s">
        <v>169</v>
      </c>
      <c r="L102" s="6" t="s">
        <v>170</v>
      </c>
      <c r="M102" s="6"/>
      <c r="N102" s="6"/>
      <c r="O102" s="6" t="s">
        <v>144</v>
      </c>
      <c r="P102" s="6">
        <v>15</v>
      </c>
      <c r="Q102" s="6"/>
      <c r="R102" s="6"/>
    </row>
    <row r="103" spans="1:18" ht="12.5" x14ac:dyDescent="0.25">
      <c r="A103" s="6" t="str">
        <f ca="1">IFERROR(__xludf.DUMMYFUNCTION("""COMPUTED_VALUE"""),"Malaysia")</f>
        <v>Malaysia</v>
      </c>
      <c r="B103" s="6" t="str">
        <f ca="1">IFERROR(__xludf.DUMMYFUNCTION("""COMPUTED_VALUE"""),"Port Klang")</f>
        <v>Port Klang</v>
      </c>
      <c r="C103" s="6" t="s">
        <v>101</v>
      </c>
      <c r="D103" s="6" t="s">
        <v>106</v>
      </c>
      <c r="E103" s="7"/>
      <c r="F103" s="6"/>
      <c r="G103" s="6"/>
      <c r="H103" s="6"/>
      <c r="I103" s="6">
        <v>1</v>
      </c>
      <c r="J103" s="6"/>
      <c r="K103" s="6"/>
      <c r="L103" s="6"/>
      <c r="M103" s="6"/>
      <c r="N103" s="6"/>
      <c r="O103" s="6" t="s">
        <v>143</v>
      </c>
      <c r="P103" s="6">
        <v>150</v>
      </c>
      <c r="Q103" s="6"/>
      <c r="R103" s="6"/>
    </row>
    <row r="104" spans="1:18" ht="12.5" x14ac:dyDescent="0.25">
      <c r="A104" s="6" t="str">
        <f ca="1">IFERROR(__xludf.DUMMYFUNCTION("""COMPUTED_VALUE"""),"Malaysia")</f>
        <v>Malaysia</v>
      </c>
      <c r="B104" s="6" t="str">
        <f ca="1">IFERROR(__xludf.DUMMYFUNCTION("""COMPUTED_VALUE"""),"Pasir Gudang")</f>
        <v>Pasir Gudang</v>
      </c>
      <c r="C104" s="6" t="s">
        <v>102</v>
      </c>
      <c r="D104" s="6" t="s">
        <v>106</v>
      </c>
      <c r="E104" s="7"/>
      <c r="F104" s="6"/>
      <c r="G104" s="6"/>
      <c r="H104" s="6"/>
      <c r="I104" s="6">
        <v>1</v>
      </c>
      <c r="J104" s="6"/>
      <c r="K104" s="6"/>
      <c r="L104" s="6"/>
      <c r="M104" s="6"/>
      <c r="N104" s="6"/>
      <c r="O104" s="6" t="s">
        <v>143</v>
      </c>
      <c r="P104" s="6">
        <v>150</v>
      </c>
      <c r="Q104" s="6"/>
      <c r="R104" s="6"/>
    </row>
    <row r="105" spans="1:18" ht="12.5" x14ac:dyDescent="0.25">
      <c r="A105" s="6" t="str">
        <f ca="1">IFERROR(__xludf.DUMMYFUNCTION("""COMPUTED_VALUE"""),"Kalimantan Timur")</f>
        <v>Kalimantan Timur</v>
      </c>
      <c r="B105" s="6" t="str">
        <f ca="1">IFERROR(__xludf.DUMMYFUNCTION("""COMPUTED_VALUE"""),"Balikpapan - PL")</f>
        <v>Balikpapan - PL</v>
      </c>
      <c r="C105" s="6" t="s">
        <v>103</v>
      </c>
      <c r="D105" s="6" t="s">
        <v>106</v>
      </c>
      <c r="E105" s="7"/>
      <c r="F105" s="6"/>
      <c r="G105" s="6"/>
      <c r="H105" s="6"/>
      <c r="I105" s="6">
        <v>1</v>
      </c>
      <c r="J105" s="6"/>
      <c r="K105" s="6"/>
      <c r="L105" s="6"/>
      <c r="M105" s="6"/>
      <c r="N105" s="6"/>
      <c r="O105" s="6" t="s">
        <v>143</v>
      </c>
      <c r="P105" s="6">
        <v>150</v>
      </c>
      <c r="Q105" s="6"/>
      <c r="R105" s="6"/>
    </row>
    <row r="106" spans="1:18" ht="12.5" x14ac:dyDescent="0.25">
      <c r="A106" s="6" t="str">
        <f ca="1">IFERROR(__xludf.DUMMYFUNCTION("""COMPUTED_VALUE"""),"Kalimantan Barat")</f>
        <v>Kalimantan Barat</v>
      </c>
      <c r="B106" s="6" t="str">
        <f ca="1">IFERROR(__xludf.DUMMYFUNCTION("""COMPUTED_VALUE"""),"RK Sei Deras")</f>
        <v>RK Sei Deras</v>
      </c>
      <c r="C106" s="6" t="s">
        <v>104</v>
      </c>
      <c r="D106" s="6" t="s">
        <v>106</v>
      </c>
      <c r="E106" s="7"/>
      <c r="F106" s="6"/>
      <c r="G106" s="6"/>
      <c r="H106" s="6"/>
      <c r="I106" s="6">
        <v>1</v>
      </c>
      <c r="J106" s="6"/>
      <c r="K106" s="6"/>
      <c r="L106" s="6"/>
      <c r="M106" s="6"/>
      <c r="N106" s="6"/>
      <c r="O106" s="6" t="s">
        <v>143</v>
      </c>
      <c r="P106" s="6">
        <v>150</v>
      </c>
      <c r="Q106" s="6"/>
      <c r="R106" s="6"/>
    </row>
    <row r="107" spans="1:18" ht="12.5" x14ac:dyDescent="0.25">
      <c r="A107" s="6"/>
      <c r="B107" s="6"/>
      <c r="C107" s="6" t="s">
        <v>105</v>
      </c>
      <c r="D107" s="6" t="s">
        <v>109</v>
      </c>
      <c r="E107" s="7"/>
      <c r="F107" s="6"/>
      <c r="G107" s="6"/>
      <c r="H107" s="6"/>
      <c r="I107" s="6">
        <v>1</v>
      </c>
      <c r="J107" s="6"/>
      <c r="K107" s="6"/>
      <c r="L107" s="6"/>
      <c r="M107" s="6"/>
      <c r="N107" s="6"/>
      <c r="O107" s="6" t="s">
        <v>143</v>
      </c>
      <c r="P107" s="6">
        <v>100</v>
      </c>
      <c r="Q107" s="6"/>
      <c r="R107" s="6"/>
    </row>
    <row r="108" spans="1:18" ht="12.5" x14ac:dyDescent="0.25">
      <c r="A108" s="6"/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2.5" x14ac:dyDescent="0.25">
      <c r="A109" s="6"/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2.5" x14ac:dyDescent="0.25">
      <c r="A110" s="6"/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2.5" x14ac:dyDescent="0.25">
      <c r="A111" s="6"/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2.5" x14ac:dyDescent="0.25">
      <c r="A112" s="6"/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2.5" x14ac:dyDescent="0.25">
      <c r="A113" s="6"/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2.5" x14ac:dyDescent="0.25">
      <c r="A114" s="6"/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2.5" x14ac:dyDescent="0.25">
      <c r="A115" s="6"/>
      <c r="B115" s="6"/>
      <c r="C115" s="6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2.5" x14ac:dyDescent="0.25">
      <c r="A116" s="6"/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2.5" x14ac:dyDescent="0.25">
      <c r="A117" s="6"/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2.5" x14ac:dyDescent="0.25">
      <c r="A118" s="6"/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2.5" x14ac:dyDescent="0.25">
      <c r="A119" s="6"/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2.5" x14ac:dyDescent="0.25">
      <c r="A120" s="6"/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2.5" x14ac:dyDescent="0.25">
      <c r="A121" s="6"/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2.5" x14ac:dyDescent="0.25">
      <c r="A122" s="6"/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2.5" x14ac:dyDescent="0.25">
      <c r="A123" s="6"/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2.5" x14ac:dyDescent="0.25">
      <c r="A124" s="6"/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2.5" x14ac:dyDescent="0.25">
      <c r="A125" s="6"/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2.5" x14ac:dyDescent="0.25">
      <c r="A126" s="6"/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2.5" x14ac:dyDescent="0.25">
      <c r="A127" s="6"/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2.5" x14ac:dyDescent="0.25">
      <c r="A128" s="6"/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2.5" x14ac:dyDescent="0.25">
      <c r="A129" s="6"/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2.5" x14ac:dyDescent="0.25">
      <c r="A130" s="6"/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2.5" x14ac:dyDescent="0.25">
      <c r="A131" s="6"/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2.5" x14ac:dyDescent="0.25">
      <c r="A132" s="6"/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2.5" x14ac:dyDescent="0.25">
      <c r="A133" s="6"/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2.5" x14ac:dyDescent="0.25">
      <c r="A134" s="6"/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2.5" x14ac:dyDescent="0.25">
      <c r="A135" s="6"/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2.5" x14ac:dyDescent="0.25">
      <c r="A136" s="6"/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2.5" x14ac:dyDescent="0.25">
      <c r="A137" s="6"/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2.5" x14ac:dyDescent="0.25">
      <c r="A138" s="6"/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2.5" x14ac:dyDescent="0.25">
      <c r="A139" s="6"/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2.5" x14ac:dyDescent="0.25">
      <c r="A140" s="6"/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2.5" x14ac:dyDescent="0.25">
      <c r="A141" s="6"/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2.5" x14ac:dyDescent="0.25">
      <c r="A142" s="6"/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2.5" x14ac:dyDescent="0.25">
      <c r="A143" s="6"/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2.5" x14ac:dyDescent="0.25">
      <c r="A144" s="6"/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2.5" x14ac:dyDescent="0.25">
      <c r="A145" s="6"/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2.5" x14ac:dyDescent="0.25">
      <c r="A146" s="6"/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2.5" x14ac:dyDescent="0.25">
      <c r="A147" s="6"/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2.5" x14ac:dyDescent="0.25">
      <c r="A148" s="6"/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2.5" x14ac:dyDescent="0.25">
      <c r="A149" s="6"/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2.5" x14ac:dyDescent="0.25">
      <c r="A150" s="6"/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2.5" x14ac:dyDescent="0.25">
      <c r="A151" s="6"/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2.5" x14ac:dyDescent="0.25">
      <c r="A152" s="6"/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2.5" x14ac:dyDescent="0.25">
      <c r="A153" s="6"/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2.5" x14ac:dyDescent="0.25">
      <c r="A154" s="6"/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2.5" x14ac:dyDescent="0.25">
      <c r="A155" s="6"/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2.5" x14ac:dyDescent="0.25">
      <c r="A156" s="6"/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2.5" x14ac:dyDescent="0.25">
      <c r="A157" s="6"/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2.5" x14ac:dyDescent="0.25">
      <c r="A158" s="6"/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2.5" x14ac:dyDescent="0.25">
      <c r="A159" s="6"/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Dinna Medhani</dc:creator>
  <cp:lastModifiedBy>1002032540 ohb02</cp:lastModifiedBy>
  <dcterms:created xsi:type="dcterms:W3CDTF">2026-02-26T10:31:58Z</dcterms:created>
  <dcterms:modified xsi:type="dcterms:W3CDTF">2026-03-06T11:04:53Z</dcterms:modified>
</cp:coreProperties>
</file>